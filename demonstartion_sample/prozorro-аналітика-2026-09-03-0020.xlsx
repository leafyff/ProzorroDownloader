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worksheets/sheet5.xml" ContentType="application/vnd.openxmlformats-officedocument.spreadsheetml.worksheet+xml"/>
  <Override PartName="/xl/drawings/drawing4.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worksheets/sheet6.xml" ContentType="application/vnd.openxmlformats-officedocument.spreadsheetml.worksheet+xml"/>
  <Override PartName="/xl/drawings/drawing5.xml" ContentType="application/vnd.openxmlformats-officedocument.drawing+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worksheets/sheet7.xml" ContentType="application/vnd.openxmlformats-officedocument.spreadsheetml.worksheet+xml"/>
  <Override PartName="/xl/drawings/drawing6.xml" ContentType="application/vnd.openxmlformats-officedocument.drawing+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worksheets/sheet8.xml" ContentType="application/vnd.openxmlformats-officedocument.spreadsheetml.worksheet+xml"/>
  <Override PartName="/xl/drawings/drawing7.xml" ContentType="application/vnd.openxmlformats-officedocument.drawing+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worksheets/sheet9.xml" ContentType="application/vnd.openxmlformats-officedocument.spreadsheetml.worksheet+xml"/>
  <Override PartName="/xl/drawings/drawing8.xml" ContentType="application/vnd.openxmlformats-officedocument.drawing+xml"/>
  <Override PartName="/xl/tables/table27.xml" ContentType="application/vnd.openxmlformats-officedocument.spreadsheetml.table+xml"/>
  <Override PartName="/xl/tables/table28.xml" ContentType="application/vnd.openxmlformats-officedocument.spreadsheetml.table+xml"/>
  <Override PartName="/xl/worksheets/sheet10.xml" ContentType="application/vnd.openxmlformats-officedocument.spreadsheetml.worksheet+xml"/>
  <Override PartName="/xl/drawings/drawing9.xml" ContentType="application/vnd.openxmlformats-officedocument.drawing+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worksheets/sheet11.xml" ContentType="application/vnd.openxmlformats-officedocument.spreadsheetml.worksheet+xml"/>
  <Override PartName="/xl/drawings/drawing10.xml" ContentType="application/vnd.openxmlformats-officedocument.drawing+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worksheets/sheet12.xml" ContentType="application/vnd.openxmlformats-officedocument.spreadsheetml.worksheet+xml"/>
  <Override PartName="/xl/drawings/drawing11.xml" ContentType="application/vnd.openxmlformats-officedocument.drawing+xml"/>
  <Override PartName="/xl/tables/table38.xml" ContentType="application/vnd.openxmlformats-officedocument.spreadsheetml.table+xml"/>
  <Override PartName="/xl/worksheets/sheet13.xml" ContentType="application/vnd.openxmlformats-officedocument.spreadsheetml.worksheet+xml"/>
  <Override PartName="/xl/drawings/drawing12.xml" ContentType="application/vnd.openxmlformats-officedocument.drawing+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worksheets/sheet14.xml" ContentType="application/vnd.openxmlformats-officedocument.spreadsheetml.worksheet+xml"/>
  <Override PartName="/xl/drawings/drawing13.xml" ContentType="application/vnd.openxmlformats-officedocument.drawing+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worksheets/sheet15.xml" ContentType="application/vnd.openxmlformats-officedocument.spreadsheetml.worksheet+xml"/>
  <Override PartName="/xl/drawings/drawing14.xml" ContentType="application/vnd.openxmlformats-officedocument.drawing+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worksheets/sheet16.xml" ContentType="application/vnd.openxmlformats-officedocument.spreadsheetml.worksheet+xml"/>
  <Override PartName="/xl/drawings/drawing15.xml" ContentType="application/vnd.openxmlformats-officedocument.drawing+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worksheets/sheet17.xml" ContentType="application/vnd.openxmlformats-officedocument.spreadsheetml.worksheet+xml"/>
  <Override PartName="/xl/drawings/drawing16.xml" ContentType="application/vnd.openxmlformats-officedocument.drawing+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worksheets/sheet18.xml" ContentType="application/vnd.openxmlformats-officedocument.spreadsheetml.worksheet+xml"/>
  <Override PartName="/xl/drawings/drawing17.xml" ContentType="application/vnd.openxmlformats-officedocument.drawing+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worksheets/sheet19.xml" ContentType="application/vnd.openxmlformats-officedocument.spreadsheetml.worksheet+xml"/>
  <Override PartName="/xl/drawings/drawing18.xml" ContentType="application/vnd.openxmlformats-officedocument.drawing+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worksheets/sheet20.xml" ContentType="application/vnd.openxmlformats-officedocument.spreadsheetml.worksheet+xml"/>
  <Override PartName="/xl/drawings/drawing19.xml" ContentType="application/vnd.openxmlformats-officedocument.drawing+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tables/table77.xml" ContentType="application/vnd.openxmlformats-officedocument.spreadsheetml.table+xml"/>
  <Override PartName="/xl/worksheets/sheet21.xml" ContentType="application/vnd.openxmlformats-officedocument.spreadsheetml.worksheet+xml"/>
  <Override PartName="/xl/drawings/drawing20.xml" ContentType="application/vnd.openxmlformats-officedocument.drawing+xml"/>
  <Override PartName="/xl/tables/table78.xml" ContentType="application/vnd.openxmlformats-officedocument.spreadsheetml.table+xml"/>
  <Override PartName="/xl/tables/table79.xml" ContentType="application/vnd.openxmlformats-officedocument.spreadsheetml.table+xml"/>
  <Override PartName="/xl/tables/table80.xml" ContentType="application/vnd.openxmlformats-officedocument.spreadsheetml.table+xml"/>
  <Override PartName="/xl/tables/table81.xml" ContentType="application/vnd.openxmlformats-officedocument.spreadsheetml.table+xml"/>
  <Override PartName="/xl/tables/table82.xml" ContentType="application/vnd.openxmlformats-officedocument.spreadsheetml.table+xml"/>
  <Override PartName="/xl/tables/table83.xml" ContentType="application/vnd.openxmlformats-officedocument.spreadsheetml.table+xml"/>
  <Override PartName="/xl/worksheets/sheet22.xml" ContentType="application/vnd.openxmlformats-officedocument.spreadsheetml.worksheet+xml"/>
  <Override PartName="/xl/drawings/drawing21.xml" ContentType="application/vnd.openxmlformats-officedocument.drawing+xml"/>
  <Override PartName="/xl/tables/table84.xml" ContentType="application/vnd.openxmlformats-officedocument.spreadsheetml.table+xml"/>
  <Override PartName="/xl/tables/table85.xml" ContentType="application/vnd.openxmlformats-officedocument.spreadsheetml.table+xml"/>
  <Override PartName="/xl/tables/table86.xml" ContentType="application/vnd.openxmlformats-officedocument.spreadsheetml.table+xml"/>
  <Override PartName="/xl/tables/table87.xml" ContentType="application/vnd.openxmlformats-officedocument.spreadsheetml.table+xml"/>
  <Override PartName="/xl/worksheets/sheet23.xml" ContentType="application/vnd.openxmlformats-officedocument.spreadsheetml.worksheet+xml"/>
  <Override PartName="/xl/drawings/drawing22.xml" ContentType="application/vnd.openxmlformats-officedocument.drawing+xml"/>
  <Override PartName="/xl/tables/table88.xml" ContentType="application/vnd.openxmlformats-officedocument.spreadsheetml.table+xml"/>
  <Override PartName="/xl/tables/table89.xml" ContentType="application/vnd.openxmlformats-officedocument.spreadsheetml.table+xml"/>
  <Override PartName="/xl/tables/table90.xml" ContentType="application/vnd.openxmlformats-officedocument.spreadsheetml.table+xml"/>
  <Override PartName="/xl/tables/table91.xml" ContentType="application/vnd.openxmlformats-officedocument.spreadsheetml.table+xml"/>
  <Override PartName="/xl/tables/table92.xml" ContentType="application/vnd.openxmlformats-officedocument.spreadsheetml.table+xml"/>
  <Override PartName="/xl/tables/table93.xml" ContentType="application/vnd.openxmlformats-officedocument.spreadsheetml.table+xml"/>
  <Override PartName="/xl/worksheets/sheet24.xml" ContentType="application/vnd.openxmlformats-officedocument.spreadsheetml.worksheet+xml"/>
  <Override PartName="/xl/drawings/drawing23.xml" ContentType="application/vnd.openxmlformats-officedocument.drawing+xml"/>
  <Override PartName="/xl/tables/table94.xml" ContentType="application/vnd.openxmlformats-officedocument.spreadsheetml.table+xml"/>
  <Override PartName="/xl/tables/table95.xml" ContentType="application/vnd.openxmlformats-officedocument.spreadsheetml.table+xml"/>
  <Override PartName="/xl/tables/table96.xml" ContentType="application/vnd.openxmlformats-officedocument.spreadsheetml.table+xml"/>
  <Override PartName="/xl/tables/table97.xml" ContentType="application/vnd.openxmlformats-officedocument.spreadsheetml.table+xml"/>
  <Override PartName="/xl/tables/table98.xml" ContentType="application/vnd.openxmlformats-officedocument.spreadsheetml.table+xml"/>
  <Override PartName="/xl/worksheets/sheet25.xml" ContentType="application/vnd.openxmlformats-officedocument.spreadsheetml.worksheet+xml"/>
  <Override PartName="/xl/drawings/drawing24.xml" ContentType="application/vnd.openxmlformats-officedocument.drawing+xml"/>
  <Override PartName="/xl/tables/table99.xml" ContentType="application/vnd.openxmlformats-officedocument.spreadsheetml.table+xml"/>
  <Override PartName="/xl/tables/table100.xml" ContentType="application/vnd.openxmlformats-officedocument.spreadsheetml.table+xml"/>
  <Override PartName="/xl/tables/table101.xml" ContentType="application/vnd.openxmlformats-officedocument.spreadsheetml.table+xml"/>
  <Override PartName="/xl/tables/table102.xml" ContentType="application/vnd.openxmlformats-officedocument.spreadsheetml.table+xml"/>
  <Override PartName="/xl/tables/table103.xml" ContentType="application/vnd.openxmlformats-officedocument.spreadsheetml.table+xml"/>
  <Override PartName="/xl/tables/table104.xml" ContentType="application/vnd.openxmlformats-officedocument.spreadsheetml.table+xml"/>
  <Override PartName="/xl/worksheets/sheet26.xml" ContentType="application/vnd.openxmlformats-officedocument.spreadsheetml.worksheet+xml"/>
  <Override PartName="/xl/drawings/drawing25.xml" ContentType="application/vnd.openxmlformats-officedocument.drawing+xml"/>
  <Override PartName="/xl/tables/table105.xml" ContentType="application/vnd.openxmlformats-officedocument.spreadsheetml.table+xml"/>
  <Override PartName="/xl/tables/table106.xml" ContentType="application/vnd.openxmlformats-officedocument.spreadsheetml.table+xml"/>
  <Override PartName="/xl/tables/table107.xml" ContentType="application/vnd.openxmlformats-officedocument.spreadsheetml.table+xml"/>
  <Override PartName="/xl/tables/table108.xml" ContentType="application/vnd.openxmlformats-officedocument.spreadsheetml.table+xml"/>
  <Override PartName="/xl/tables/table109.xml" ContentType="application/vnd.openxmlformats-officedocument.spreadsheetml.table+xml"/>
  <Override PartName="/xl/tables/table110.xml" ContentType="application/vnd.openxmlformats-officedocument.spreadsheetml.table+xml"/>
  <Override PartName="/xl/worksheets/sheet27.xml" ContentType="application/vnd.openxmlformats-officedocument.spreadsheetml.worksheet+xml"/>
  <Override PartName="/xl/drawings/drawing26.xml" ContentType="application/vnd.openxmlformats-officedocument.drawing+xml"/>
  <Override PartName="/xl/tables/table111.xml" ContentType="application/vnd.openxmlformats-officedocument.spreadsheetml.table+xml"/>
  <Override PartName="/xl/tables/table112.xml" ContentType="application/vnd.openxmlformats-officedocument.spreadsheetml.table+xml"/>
  <Override PartName="/xl/tables/table113.xml" ContentType="application/vnd.openxmlformats-officedocument.spreadsheetml.table+xml"/>
  <Override PartName="/xl/tables/table114.xml" ContentType="application/vnd.openxmlformats-officedocument.spreadsheetml.table+xml"/>
  <Override PartName="/xl/worksheets/sheet28.xml" ContentType="application/vnd.openxmlformats-officedocument.spreadsheetml.worksheet+xml"/>
  <Override PartName="/xl/drawings/drawing27.xml" ContentType="application/vnd.openxmlformats-officedocument.drawing+xml"/>
  <Override PartName="/xl/tables/table115.xml" ContentType="application/vnd.openxmlformats-officedocument.spreadsheetml.table+xml"/>
  <Override PartName="/xl/tables/table116.xml" ContentType="application/vnd.openxmlformats-officedocument.spreadsheetml.table+xml"/>
  <Override PartName="/xl/tables/table117.xml" ContentType="application/vnd.openxmlformats-officedocument.spreadsheetml.table+xml"/>
  <Override PartName="/xl/tables/table118.xml" ContentType="application/vnd.openxmlformats-officedocument.spreadsheetml.table+xml"/>
  <Override PartName="/xl/worksheets/sheet29.xml" ContentType="application/vnd.openxmlformats-officedocument.spreadsheetml.worksheet+xml"/>
  <Override PartName="/xl/drawings/drawing28.xml" ContentType="application/vnd.openxmlformats-officedocument.drawing+xml"/>
  <Override PartName="/xl/tables/table119.xml" ContentType="application/vnd.openxmlformats-officedocument.spreadsheetml.table+xml"/>
  <Override PartName="/xl/tables/table120.xml" ContentType="application/vnd.openxmlformats-officedocument.spreadsheetml.table+xml"/>
  <Override PartName="/xl/tables/table121.xml" ContentType="application/vnd.openxmlformats-officedocument.spreadsheetml.table+xml"/>
  <Override PartName="/xl/tables/table122.xml" ContentType="application/vnd.openxmlformats-officedocument.spreadsheetml.table+xml"/>
  <Override PartName="/xl/tables/table123.xml" ContentType="application/vnd.openxmlformats-officedocument.spreadsheetml.table+xml"/>
  <Override PartName="/xl/tables/table124.xml" ContentType="application/vnd.openxmlformats-officedocument.spreadsheetml.table+xml"/>
  <Override PartName="/xl/worksheets/sheet30.xml" ContentType="application/vnd.openxmlformats-officedocument.spreadsheetml.worksheet+xml"/>
  <Override PartName="/xl/drawings/drawing29.xml" ContentType="application/vnd.openxmlformats-officedocument.drawing+xml"/>
  <Override PartName="/xl/tables/table125.xml" ContentType="application/vnd.openxmlformats-officedocument.spreadsheetml.table+xml"/>
  <Override PartName="/xl/tables/table126.xml" ContentType="application/vnd.openxmlformats-officedocument.spreadsheetml.table+xml"/>
  <Override PartName="/xl/tables/table127.xml" ContentType="application/vnd.openxmlformats-officedocument.spreadsheetml.table+xml"/>
  <Override PartName="/xl/tables/table128.xml" ContentType="application/vnd.openxmlformats-officedocument.spreadsheetml.table+xml"/>
  <Override PartName="/xl/tables/table129.xml" ContentType="application/vnd.openxmlformats-officedocument.spreadsheetml.table+xml"/>
  <Override PartName="/xl/tables/table130.xml" ContentType="application/vnd.openxmlformats-officedocument.spreadsheetml.table+xml"/>
  <Override PartName="/xl/worksheets/sheet31.xml" ContentType="application/vnd.openxmlformats-officedocument.spreadsheetml.worksheet+xml"/>
  <Override PartName="/xl/drawings/drawing30.xml" ContentType="application/vnd.openxmlformats-officedocument.drawing+xml"/>
  <Override PartName="/xl/tables/table131.xml" ContentType="application/vnd.openxmlformats-officedocument.spreadsheetml.table+xml"/>
  <Override PartName="/xl/tables/table132.xml" ContentType="application/vnd.openxmlformats-officedocument.spreadsheetml.table+xml"/>
  <Override PartName="/xl/tables/table133.xml" ContentType="application/vnd.openxmlformats-officedocument.spreadsheetml.table+xml"/>
  <Override PartName="/xl/tables/table134.xml" ContentType="application/vnd.openxmlformats-officedocument.spreadsheetml.table+xml"/>
  <Override PartName="/xl/worksheets/sheet32.xml" ContentType="application/vnd.openxmlformats-officedocument.spreadsheetml.worksheet+xml"/>
  <Override PartName="/xl/drawings/drawing31.xml" ContentType="application/vnd.openxmlformats-officedocument.drawing+xml"/>
  <Override PartName="/xl/tables/table135.xml" ContentType="application/vnd.openxmlformats-officedocument.spreadsheetml.table+xml"/>
  <Override PartName="/xl/tables/table136.xml" ContentType="application/vnd.openxmlformats-officedocument.spreadsheetml.table+xml"/>
  <Override PartName="/xl/tables/table137.xml" ContentType="application/vnd.openxmlformats-officedocument.spreadsheetml.table+xml"/>
  <Override PartName="/xl/tables/table138.xml" ContentType="application/vnd.openxmlformats-officedocument.spreadsheetml.table+xml"/>
  <Override PartName="/xl/worksheets/sheet33.xml" ContentType="application/vnd.openxmlformats-officedocument.spreadsheetml.worksheet+xml"/>
  <Override PartName="/xl/drawings/drawing32.xml" ContentType="application/vnd.openxmlformats-officedocument.drawing+xml"/>
  <Override PartName="/xl/tables/table139.xml" ContentType="application/vnd.openxmlformats-officedocument.spreadsheetml.table+xml"/>
  <Override PartName="/xl/tables/table140.xml" ContentType="application/vnd.openxmlformats-officedocument.spreadsheetml.table+xml"/>
  <Override PartName="/xl/tables/table141.xml" ContentType="application/vnd.openxmlformats-officedocument.spreadsheetml.table+xml"/>
  <Override PartName="/xl/tables/table142.xml" ContentType="application/vnd.openxmlformats-officedocument.spreadsheetml.table+xml"/>
  <Override PartName="/xl/worksheets/sheet34.xml" ContentType="application/vnd.openxmlformats-officedocument.spreadsheetml.worksheet+xml"/>
  <Override PartName="/xl/drawings/drawing33.xml" ContentType="application/vnd.openxmlformats-officedocument.drawing+xml"/>
  <Override PartName="/xl/tables/table143.xml" ContentType="application/vnd.openxmlformats-officedocument.spreadsheetml.table+xml"/>
  <Override PartName="/xl/tables/table144.xml" ContentType="application/vnd.openxmlformats-officedocument.spreadsheetml.table+xml"/>
  <Override PartName="/xl/tables/table145.xml" ContentType="application/vnd.openxmlformats-officedocument.spreadsheetml.table+xml"/>
  <Override PartName="/xl/tables/table146.xml" ContentType="application/vnd.openxmlformats-officedocument.spreadsheetml.table+xml"/>
  <Override PartName="/xl/tables/table147.xml" ContentType="application/vnd.openxmlformats-officedocument.spreadsheetml.table+xml"/>
  <Override PartName="/xl/worksheets/sheet35.xml" ContentType="application/vnd.openxmlformats-officedocument.spreadsheetml.worksheet+xml"/>
  <Override PartName="/xl/drawings/drawing34.xml" ContentType="application/vnd.openxmlformats-officedocument.drawing+xml"/>
  <Override PartName="/xl/tables/table148.xml" ContentType="application/vnd.openxmlformats-officedocument.spreadsheetml.table+xml"/>
  <Override PartName="/xl/tables/table149.xml" ContentType="application/vnd.openxmlformats-officedocument.spreadsheetml.table+xml"/>
  <Override PartName="/xl/tables/table150.xml" ContentType="application/vnd.openxmlformats-officedocument.spreadsheetml.table+xml"/>
  <Override PartName="/xl/tables/table151.xml" ContentType="application/vnd.openxmlformats-officedocument.spreadsheetml.table+xml"/>
  <Override PartName="/xl/worksheets/sheet36.xml" ContentType="application/vnd.openxmlformats-officedocument.spreadsheetml.worksheet+xml"/>
  <Override PartName="/xl/drawings/drawing35.xml" ContentType="application/vnd.openxmlformats-officedocument.drawing+xml"/>
  <Override PartName="/xl/tables/table152.xml" ContentType="application/vnd.openxmlformats-officedocument.spreadsheetml.table+xml"/>
  <Override PartName="/xl/tables/table153.xml" ContentType="application/vnd.openxmlformats-officedocument.spreadsheetml.table+xml"/>
  <Override PartName="/xl/tables/table154.xml" ContentType="application/vnd.openxmlformats-officedocument.spreadsheetml.table+xml"/>
  <Override PartName="/xl/tables/table155.xml" ContentType="application/vnd.openxmlformats-officedocument.spreadsheetml.table+xml"/>
  <Override PartName="/xl/tables/table156.xml" ContentType="application/vnd.openxmlformats-officedocument.spreadsheetml.table+xml"/>
  <Override PartName="/xl/worksheets/sheet37.xml" ContentType="application/vnd.openxmlformats-officedocument.spreadsheetml.worksheet+xml"/>
  <Override PartName="/xl/drawings/drawing36.xml" ContentType="application/vnd.openxmlformats-officedocument.drawing+xml"/>
  <Override PartName="/xl/tables/table157.xml" ContentType="application/vnd.openxmlformats-officedocument.spreadsheetml.table+xml"/>
  <Override PartName="/xl/tables/table158.xml" ContentType="application/vnd.openxmlformats-officedocument.spreadsheetml.table+xml"/>
  <Override PartName="/xl/tables/table159.xml" ContentType="application/vnd.openxmlformats-officedocument.spreadsheetml.table+xml"/>
  <Override PartName="/xl/tables/table160.xml" ContentType="application/vnd.openxmlformats-officedocument.spreadsheetml.table+xml"/>
  <Override PartName="/xl/tables/table161.xml" ContentType="application/vnd.openxmlformats-officedocument.spreadsheetml.table+xml"/>
  <Override PartName="/xl/tables/table162.xml" ContentType="application/vnd.openxmlformats-officedocument.spreadsheetml.table+xml"/>
  <Override PartName="/xl/worksheets/sheet38.xml" ContentType="application/vnd.openxmlformats-officedocument.spreadsheetml.worksheet+xml"/>
  <Override PartName="/xl/drawings/drawing37.xml" ContentType="application/vnd.openxmlformats-officedocument.drawing+xml"/>
  <Override PartName="/xl/tables/table163.xml" ContentType="application/vnd.openxmlformats-officedocument.spreadsheetml.table+xml"/>
  <Override PartName="/xl/tables/table164.xml" ContentType="application/vnd.openxmlformats-officedocument.spreadsheetml.table+xml"/>
  <Override PartName="/xl/tables/table165.xml" ContentType="application/vnd.openxmlformats-officedocument.spreadsheetml.table+xml"/>
  <Override PartName="/xl/tables/table166.xml" ContentType="application/vnd.openxmlformats-officedocument.spreadsheetml.table+xml"/>
  <Override PartName="/xl/tables/table167.xml" ContentType="application/vnd.openxmlformats-officedocument.spreadsheetml.table+xml"/>
  <Override PartName="/xl/tables/table168.xml" ContentType="application/vnd.openxmlformats-officedocument.spreadsheetml.table+xml"/>
  <Override PartName="/xl/worksheets/sheet39.xml" ContentType="application/vnd.openxmlformats-officedocument.spreadsheetml.worksheet+xml"/>
  <Override PartName="/xl/drawings/drawing38.xml" ContentType="application/vnd.openxmlformats-officedocument.drawing+xml"/>
  <Override PartName="/xl/tables/table169.xml" ContentType="application/vnd.openxmlformats-officedocument.spreadsheetml.table+xml"/>
  <Override PartName="/xl/tables/table170.xml" ContentType="application/vnd.openxmlformats-officedocument.spreadsheetml.table+xml"/>
  <Override PartName="/xl/tables/table171.xml" ContentType="application/vnd.openxmlformats-officedocument.spreadsheetml.table+xml"/>
  <Override PartName="/xl/tables/table172.xml" ContentType="application/vnd.openxmlformats-officedocument.spreadsheetml.table+xml"/>
  <Override PartName="/xl/tables/table173.xml" ContentType="application/vnd.openxmlformats-officedocument.spreadsheetml.table+xml"/>
  <Override PartName="/xl/tables/table174.xml" ContentType="application/vnd.openxmlformats-officedocument.spreadsheetml.table+xml"/>
  <Override PartName="/xl/worksheets/sheet40.xml" ContentType="application/vnd.openxmlformats-officedocument.spreadsheetml.worksheet+xml"/>
  <Override PartName="/xl/drawings/drawing39.xml" ContentType="application/vnd.openxmlformats-officedocument.drawing+xml"/>
  <Override PartName="/xl/tables/table175.xml" ContentType="application/vnd.openxmlformats-officedocument.spreadsheetml.table+xml"/>
  <Override PartName="/xl/tables/table176.xml" ContentType="application/vnd.openxmlformats-officedocument.spreadsheetml.table+xml"/>
  <Override PartName="/xl/tables/table177.xml" ContentType="application/vnd.openxmlformats-officedocument.spreadsheetml.table+xml"/>
  <Override PartName="/xl/tables/table178.xml" ContentType="application/vnd.openxmlformats-officedocument.spreadsheetml.table+xml"/>
  <Override PartName="/xl/worksheets/sheet41.xml" ContentType="application/vnd.openxmlformats-officedocument.spreadsheetml.worksheet+xml"/>
  <Override PartName="/xl/drawings/drawing40.xml" ContentType="application/vnd.openxmlformats-officedocument.drawing+xml"/>
  <Override PartName="/xl/tables/table179.xml" ContentType="application/vnd.openxmlformats-officedocument.spreadsheetml.table+xml"/>
  <Override PartName="/xl/tables/table180.xml" ContentType="application/vnd.openxmlformats-officedocument.spreadsheetml.table+xml"/>
  <Override PartName="/xl/tables/table181.xml" ContentType="application/vnd.openxmlformats-officedocument.spreadsheetml.table+xml"/>
  <Override PartName="/xl/tables/table182.xml" ContentType="application/vnd.openxmlformats-officedocument.spreadsheetml.table+xml"/>
  <Override PartName="/xl/worksheets/sheet42.xml" ContentType="application/vnd.openxmlformats-officedocument.spreadsheetml.worksheet+xml"/>
  <Override PartName="/xl/drawings/drawing41.xml" ContentType="application/vnd.openxmlformats-officedocument.drawing+xml"/>
  <Override PartName="/xl/tables/table183.xml" ContentType="application/vnd.openxmlformats-officedocument.spreadsheetml.table+xml"/>
  <Override PartName="/xl/tables/table184.xml" ContentType="application/vnd.openxmlformats-officedocument.spreadsheetml.table+xml"/>
  <Override PartName="/xl/tables/table185.xml" ContentType="application/vnd.openxmlformats-officedocument.spreadsheetml.table+xml"/>
  <Override PartName="/xl/tables/table186.xml" ContentType="application/vnd.openxmlformats-officedocument.spreadsheetml.table+xml"/>
  <Override PartName="/xl/tables/table187.xml" ContentType="application/vnd.openxmlformats-officedocument.spreadsheetml.table+xml"/>
  <Override PartName="/xl/tables/table188.xml" ContentType="application/vnd.openxmlformats-officedocument.spreadsheetml.table+xml"/>
  <Override PartName="/xl/worksheets/sheet43.xml" ContentType="application/vnd.openxmlformats-officedocument.spreadsheetml.worksheet+xml"/>
  <Override PartName="/xl/drawings/drawing42.xml" ContentType="application/vnd.openxmlformats-officedocument.drawing+xml"/>
  <Override PartName="/xl/tables/table189.xml" ContentType="application/vnd.openxmlformats-officedocument.spreadsheetml.table+xml"/>
  <Override PartName="/xl/tables/table190.xml" ContentType="application/vnd.openxmlformats-officedocument.spreadsheetml.table+xml"/>
  <Override PartName="/xl/tables/table191.xml" ContentType="application/vnd.openxmlformats-officedocument.spreadsheetml.table+xml"/>
  <Override PartName="/xl/tables/table192.xml" ContentType="application/vnd.openxmlformats-officedocument.spreadsheetml.table+xml"/>
  <Override PartName="/xl/tables/table193.xml" ContentType="application/vnd.openxmlformats-officedocument.spreadsheetml.table+xml"/>
  <Override PartName="/xl/tables/table194.xml" ContentType="application/vnd.openxmlformats-officedocument.spreadsheetml.table+xml"/>
  <Override PartName="/xl/worksheets/sheet44.xml" ContentType="application/vnd.openxmlformats-officedocument.spreadsheetml.worksheet+xml"/>
  <Override PartName="/xl/drawings/drawing43.xml" ContentType="application/vnd.openxmlformats-officedocument.drawing+xml"/>
  <Override PartName="/xl/tables/table195.xml" ContentType="application/vnd.openxmlformats-officedocument.spreadsheetml.table+xml"/>
  <Override PartName="/xl/tables/table196.xml" ContentType="application/vnd.openxmlformats-officedocument.spreadsheetml.table+xml"/>
  <Override PartName="/xl/tables/table197.xml" ContentType="application/vnd.openxmlformats-officedocument.spreadsheetml.table+xml"/>
  <Override PartName="/xl/tables/table198.xml" ContentType="application/vnd.openxmlformats-officedocument.spreadsheetml.table+xml"/>
  <Override PartName="/xl/tables/table199.xml" ContentType="application/vnd.openxmlformats-officedocument.spreadsheetml.table+xml"/>
  <Override PartName="/xl/worksheets/sheet45.xml" ContentType="application/vnd.openxmlformats-officedocument.spreadsheetml.worksheet+xml"/>
  <Override PartName="/xl/drawings/drawing44.xml" ContentType="application/vnd.openxmlformats-officedocument.drawing+xml"/>
  <Override PartName="/xl/tables/table200.xml" ContentType="application/vnd.openxmlformats-officedocument.spreadsheetml.table+xml"/>
  <Override PartName="/xl/tables/table201.xml" ContentType="application/vnd.openxmlformats-officedocument.spreadsheetml.table+xml"/>
  <Override PartName="/xl/tables/table202.xml" ContentType="application/vnd.openxmlformats-officedocument.spreadsheetml.table+xml"/>
  <Override PartName="/xl/tables/table203.xml" ContentType="application/vnd.openxmlformats-officedocument.spreadsheetml.table+xml"/>
  <Override PartName="/xl/tables/table204.xml" ContentType="application/vnd.openxmlformats-officedocument.spreadsheetml.table+xml"/>
  <Override PartName="/xl/worksheets/sheet46.xml" ContentType="application/vnd.openxmlformats-officedocument.spreadsheetml.worksheet+xml"/>
  <Override PartName="/xl/drawings/drawing45.xml" ContentType="application/vnd.openxmlformats-officedocument.drawing+xml"/>
  <Override PartName="/xl/tables/table205.xml" ContentType="application/vnd.openxmlformats-officedocument.spreadsheetml.table+xml"/>
  <Override PartName="/xl/tables/table206.xml" ContentType="application/vnd.openxmlformats-officedocument.spreadsheetml.table+xml"/>
  <Override PartName="/xl/tables/table207.xml" ContentType="application/vnd.openxmlformats-officedocument.spreadsheetml.table+xml"/>
  <Override PartName="/xl/tables/table208.xml" ContentType="application/vnd.openxmlformats-officedocument.spreadsheetml.table+xml"/>
  <Override PartName="/xl/tables/table209.xml" ContentType="application/vnd.openxmlformats-officedocument.spreadsheetml.table+xml"/>
  <Override PartName="/xl/worksheets/sheet47.xml" ContentType="application/vnd.openxmlformats-officedocument.spreadsheetml.worksheet+xml"/>
  <Override PartName="/xl/drawings/drawing46.xml" ContentType="application/vnd.openxmlformats-officedocument.drawing+xml"/>
  <Override PartName="/xl/tables/table210.xml" ContentType="application/vnd.openxmlformats-officedocument.spreadsheetml.table+xml"/>
  <Override PartName="/xl/tables/table211.xml" ContentType="application/vnd.openxmlformats-officedocument.spreadsheetml.table+xml"/>
  <Override PartName="/xl/tables/table212.xml" ContentType="application/vnd.openxmlformats-officedocument.spreadsheetml.table+xml"/>
  <Override PartName="/xl/tables/table213.xml" ContentType="application/vnd.openxmlformats-officedocument.spreadsheetml.table+xml"/>
  <Override PartName="/xl/tables/table214.xml" ContentType="application/vnd.openxmlformats-officedocument.spreadsheetml.table+xml"/>
  <Override PartName="/xl/tables/table215.xml" ContentType="application/vnd.openxmlformats-officedocument.spreadsheetml.table+xml"/>
  <Override PartName="/xl/worksheets/sheet48.xml" ContentType="application/vnd.openxmlformats-officedocument.spreadsheetml.worksheet+xml"/>
  <Override PartName="/xl/drawings/drawing47.xml" ContentType="application/vnd.openxmlformats-officedocument.drawing+xml"/>
  <Override PartName="/xl/tables/table216.xml" ContentType="application/vnd.openxmlformats-officedocument.spreadsheetml.table+xml"/>
  <Override PartName="/xl/tables/table217.xml" ContentType="application/vnd.openxmlformats-officedocument.spreadsheetml.table+xml"/>
  <Override PartName="/xl/tables/table218.xml" ContentType="application/vnd.openxmlformats-officedocument.spreadsheetml.table+xml"/>
  <Override PartName="/xl/tables/table219.xml" ContentType="application/vnd.openxmlformats-officedocument.spreadsheetml.table+xml"/>
  <Override PartName="/xl/tables/table220.xml" ContentType="application/vnd.openxmlformats-officedocument.spreadsheetml.table+xml"/>
  <Override PartName="/xl/tables/table221.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charts/chart33.xml" ContentType="application/vnd.openxmlformats-officedocument.drawingml.chart+xml"/>
  <Override PartName="/xl/charts/chart34.xml" ContentType="application/vnd.openxmlformats-officedocument.drawingml.chart+xml"/>
  <Override PartName="/xl/charts/chart35.xml" ContentType="application/vnd.openxmlformats-officedocument.drawingml.chart+xml"/>
  <Override PartName="/xl/charts/chart36.xml" ContentType="application/vnd.openxmlformats-officedocument.drawingml.chart+xml"/>
  <Override PartName="/xl/charts/chart37.xml" ContentType="application/vnd.openxmlformats-officedocument.drawingml.chart+xml"/>
  <Override PartName="/xl/charts/chart38.xml" ContentType="application/vnd.openxmlformats-officedocument.drawingml.chart+xml"/>
  <Override PartName="/xl/charts/chart39.xml" ContentType="application/vnd.openxmlformats-officedocument.drawingml.chart+xml"/>
  <Override PartName="/xl/charts/chart40.xml" ContentType="application/vnd.openxmlformats-officedocument.drawingml.chart+xml"/>
  <Override PartName="/xl/charts/chart41.xml" ContentType="application/vnd.openxmlformats-officedocument.drawingml.chart+xml"/>
  <Override PartName="/xl/charts/chart42.xml" ContentType="application/vnd.openxmlformats-officedocument.drawingml.chart+xml"/>
  <Override PartName="/xl/charts/chart43.xml" ContentType="application/vnd.openxmlformats-officedocument.drawingml.chart+xml"/>
  <Override PartName="/xl/charts/chart44.xml" ContentType="application/vnd.openxmlformats-officedocument.drawingml.chart+xml"/>
  <Override PartName="/xl/charts/chart45.xml" ContentType="application/vnd.openxmlformats-officedocument.drawingml.chart+xml"/>
  <Override PartName="/xl/charts/chart46.xml" ContentType="application/vnd.openxmlformats-officedocument.drawingml.chart+xml"/>
  <Override PartName="/xl/charts/chart47.xml" ContentType="application/vnd.openxmlformats-officedocument.drawingml.chart+xml"/>
  <Override PartName="/xl/charts/chart48.xml" ContentType="application/vnd.openxmlformats-officedocument.drawingml.chart+xml"/>
  <Override PartName="/xl/charts/chart49.xml" ContentType="application/vnd.openxmlformats-officedocument.drawingml.chart+xml"/>
  <Override PartName="/xl/charts/chart50.xml" ContentType="application/vnd.openxmlformats-officedocument.drawingml.chart+xml"/>
  <Override PartName="/xl/charts/chart51.xml" ContentType="application/vnd.openxmlformats-officedocument.drawingml.chart+xml"/>
  <Override PartName="/xl/charts/chart52.xml" ContentType="application/vnd.openxmlformats-officedocument.drawingml.chart+xml"/>
  <Override PartName="/xl/charts/chart53.xml" ContentType="application/vnd.openxmlformats-officedocument.drawingml.chart+xml"/>
  <Override PartName="/xl/charts/chart54.xml" ContentType="application/vnd.openxmlformats-officedocument.drawingml.chart+xml"/>
  <Override PartName="/xl/charts/chart55.xml" ContentType="application/vnd.openxmlformats-officedocument.drawingml.chart+xml"/>
  <Override PartName="/xl/charts/chart56.xml" ContentType="application/vnd.openxmlformats-officedocument.drawingml.chart+xml"/>
  <Override PartName="/xl/charts/chart57.xml" ContentType="application/vnd.openxmlformats-officedocument.drawingml.chart+xml"/>
  <Override PartName="/xl/charts/chart58.xml" ContentType="application/vnd.openxmlformats-officedocument.drawingml.chart+xml"/>
  <Override PartName="/xl/charts/chart59.xml" ContentType="application/vnd.openxmlformats-officedocument.drawingml.chart+xml"/>
  <Override PartName="/xl/charts/chart60.xml" ContentType="application/vnd.openxmlformats-officedocument.drawingml.chart+xml"/>
  <Override PartName="/xl/charts/chart61.xml" ContentType="application/vnd.openxmlformats-officedocument.drawingml.chart+xml"/>
  <Override PartName="/xl/charts/chart62.xml" ContentType="application/vnd.openxmlformats-officedocument.drawingml.chart+xml"/>
  <Override PartName="/xl/charts/chart63.xml" ContentType="application/vnd.openxmlformats-officedocument.drawingml.chart+xml"/>
  <Override PartName="/xl/charts/chart64.xml" ContentType="application/vnd.openxmlformats-officedocument.drawingml.chart+xml"/>
  <Override PartName="/xl/charts/chart65.xml" ContentType="application/vnd.openxmlformats-officedocument.drawingml.chart+xml"/>
  <Override PartName="/xl/charts/chart66.xml" ContentType="application/vnd.openxmlformats-officedocument.drawingml.chart+xml"/>
  <Override PartName="/xl/charts/chart67.xml" ContentType="application/vnd.openxmlformats-officedocument.drawingml.chart+xml"/>
  <Override PartName="/xl/charts/chart68.xml" ContentType="application/vnd.openxmlformats-officedocument.drawingml.chart+xml"/>
  <Override PartName="/xl/charts/chart69.xml" ContentType="application/vnd.openxmlformats-officedocument.drawingml.chart+xml"/>
  <Override PartName="/xl/charts/chart70.xml" ContentType="application/vnd.openxmlformats-officedocument.drawingml.chart+xml"/>
  <Override PartName="/xl/charts/chart71.xml" ContentType="application/vnd.openxmlformats-officedocument.drawingml.chart+xml"/>
  <Override PartName="/xl/charts/chart72.xml" ContentType="application/vnd.openxmlformats-officedocument.drawingml.chart+xml"/>
  <Override PartName="/xl/charts/chart73.xml" ContentType="application/vnd.openxmlformats-officedocument.drawingml.chart+xml"/>
  <Override PartName="/xl/charts/chart74.xml" ContentType="application/vnd.openxmlformats-officedocument.drawingml.chart+xml"/>
  <Override PartName="/xl/charts/chart75.xml" ContentType="application/vnd.openxmlformats-officedocument.drawingml.chart+xml"/>
  <Override PartName="/xl/charts/chart76.xml" ContentType="application/vnd.openxmlformats-officedocument.drawingml.chart+xml"/>
  <Override PartName="/xl/charts/chart77.xml" ContentType="application/vnd.openxmlformats-officedocument.drawingml.chart+xml"/>
  <Override PartName="/xl/charts/chart78.xml" ContentType="application/vnd.openxmlformats-officedocument.drawingml.chart+xml"/>
  <Override PartName="/xl/charts/chart79.xml" ContentType="application/vnd.openxmlformats-officedocument.drawingml.chart+xml"/>
  <Override PartName="/xl/charts/chart80.xml" ContentType="application/vnd.openxmlformats-officedocument.drawingml.chart+xml"/>
  <Override PartName="/xl/charts/chart81.xml" ContentType="application/vnd.openxmlformats-officedocument.drawingml.chart+xml"/>
  <Override PartName="/xl/charts/chart82.xml" ContentType="application/vnd.openxmlformats-officedocument.drawingml.chart+xml"/>
  <Override PartName="/xl/charts/chart83.xml" ContentType="application/vnd.openxmlformats-officedocument.drawingml.chart+xml"/>
  <Override PartName="/xl/charts/chart84.xml" ContentType="application/vnd.openxmlformats-officedocument.drawingml.chart+xml"/>
  <Override PartName="/xl/charts/chart85.xml" ContentType="application/vnd.openxmlformats-officedocument.drawingml.chart+xml"/>
  <Override PartName="/xl/charts/chart86.xml" ContentType="application/vnd.openxmlformats-officedocument.drawingml.chart+xml"/>
  <Override PartName="/xl/charts/chart87.xml" ContentType="application/vnd.openxmlformats-officedocument.drawingml.chart+xml"/>
  <Override PartName="/xl/charts/chart88.xml" ContentType="application/vnd.openxmlformats-officedocument.drawingml.chart+xml"/>
  <Override PartName="/xl/charts/chart89.xml" ContentType="application/vnd.openxmlformats-officedocument.drawingml.chart+xml"/>
  <Override PartName="/xl/charts/chart90.xml" ContentType="application/vnd.openxmlformats-officedocument.drawingml.chart+xml"/>
  <Override PartName="/xl/charts/chart91.xml" ContentType="application/vnd.openxmlformats-officedocument.drawingml.chart+xml"/>
  <Override PartName="/xl/charts/chart92.xml" ContentType="application/vnd.openxmlformats-officedocument.drawingml.chart+xml"/>
  <Override PartName="/xl/charts/chart93.xml" ContentType="application/vnd.openxmlformats-officedocument.drawingml.chart+xml"/>
  <Override PartName="/xl/charts/chart94.xml" ContentType="application/vnd.openxmlformats-officedocument.drawingml.chart+xml"/>
  <Override PartName="/xl/charts/chart95.xml" ContentType="application/vnd.openxmlformats-officedocument.drawingml.chart+xml"/>
  <Override PartName="/xl/charts/chart96.xml" ContentType="application/vnd.openxmlformats-officedocument.drawingml.chart+xml"/>
  <Override PartName="/xl/charts/chart97.xml" ContentType="application/vnd.openxmlformats-officedocument.drawingml.chart+xml"/>
  <Override PartName="/xl/charts/chart98.xml" ContentType="application/vnd.openxmlformats-officedocument.drawingml.chart+xml"/>
  <Override PartName="/xl/charts/chart99.xml" ContentType="application/vnd.openxmlformats-officedocument.drawingml.chart+xml"/>
  <Override PartName="/xl/charts/chart100.xml" ContentType="application/vnd.openxmlformats-officedocument.drawingml.chart+xml"/>
  <Override PartName="/xl/charts/chart101.xml" ContentType="application/vnd.openxmlformats-officedocument.drawingml.chart+xml"/>
  <Override PartName="/xl/charts/chart102.xml" ContentType="application/vnd.openxmlformats-officedocument.drawingml.chart+xml"/>
  <Override PartName="/xl/charts/chart103.xml" ContentType="application/vnd.openxmlformats-officedocument.drawingml.chart+xml"/>
  <Override PartName="/xl/charts/chart104.xml" ContentType="application/vnd.openxmlformats-officedocument.drawingml.chart+xml"/>
  <Override PartName="/xl/charts/chart105.xml" ContentType="application/vnd.openxmlformats-officedocument.drawingml.chart+xml"/>
  <Override PartName="/xl/charts/chart106.xml" ContentType="application/vnd.openxmlformats-officedocument.drawingml.chart+xml"/>
  <Override PartName="/xl/charts/chart107.xml" ContentType="application/vnd.openxmlformats-officedocument.drawingml.chart+xml"/>
  <Override PartName="/xl/charts/chart108.xml" ContentType="application/vnd.openxmlformats-officedocument.drawingml.chart+xml"/>
  <Override PartName="/xl/charts/chart109.xml" ContentType="application/vnd.openxmlformats-officedocument.drawingml.chart+xml"/>
  <Override PartName="/xl/charts/chart110.xml" ContentType="application/vnd.openxmlformats-officedocument.drawingml.chart+xml"/>
  <Override PartName="/xl/charts/chart111.xml" ContentType="application/vnd.openxmlformats-officedocument.drawingml.chart+xml"/>
  <Override PartName="/xl/charts/chart112.xml" ContentType="application/vnd.openxmlformats-officedocument.drawingml.chart+xml"/>
  <Override PartName="/xl/charts/chart113.xml" ContentType="application/vnd.openxmlformats-officedocument.drawingml.chart+xml"/>
  <Override PartName="/xl/charts/chart114.xml" ContentType="application/vnd.openxmlformats-officedocument.drawingml.chart+xml"/>
  <Override PartName="/xl/charts/chart115.xml" ContentType="application/vnd.openxmlformats-officedocument.drawingml.chart+xml"/>
  <Override PartName="/xl/charts/chart116.xml" ContentType="application/vnd.openxmlformats-officedocument.drawingml.chart+xml"/>
  <Override PartName="/xl/charts/chart117.xml" ContentType="application/vnd.openxmlformats-officedocument.drawingml.chart+xml"/>
  <Override PartName="/xl/charts/chart118.xml" ContentType="application/vnd.openxmlformats-officedocument.drawingml.chart+xml"/>
  <Override PartName="/xl/charts/chart119.xml" ContentType="application/vnd.openxmlformats-officedocument.drawingml.chart+xml"/>
  <Override PartName="/xl/charts/chart120.xml" ContentType="application/vnd.openxmlformats-officedocument.drawingml.chart+xml"/>
  <Override PartName="/xl/charts/chart121.xml" ContentType="application/vnd.openxmlformats-officedocument.drawingml.chart+xml"/>
  <Override PartName="/xl/charts/chart122.xml" ContentType="application/vnd.openxmlformats-officedocument.drawingml.chart+xml"/>
  <Override PartName="/xl/charts/chart123.xml" ContentType="application/vnd.openxmlformats-officedocument.drawingml.chart+xml"/>
  <Override PartName="/xl/charts/chart124.xml" ContentType="application/vnd.openxmlformats-officedocument.drawingml.chart+xml"/>
  <Override PartName="/xl/charts/chart125.xml" ContentType="application/vnd.openxmlformats-officedocument.drawingml.chart+xml"/>
  <Override PartName="/xl/charts/chart126.xml" ContentType="application/vnd.openxmlformats-officedocument.drawingml.chart+xml"/>
  <Override PartName="/xl/charts/chart127.xml" ContentType="application/vnd.openxmlformats-officedocument.drawingml.chart+xml"/>
  <Override PartName="/xl/charts/chart128.xml" ContentType="application/vnd.openxmlformats-officedocument.drawingml.chart+xml"/>
  <Override PartName="/xl/charts/chart129.xml" ContentType="application/vnd.openxmlformats-officedocument.drawingml.chart+xml"/>
  <Override PartName="/xl/charts/chart130.xml" ContentType="application/vnd.openxmlformats-officedocument.drawingml.chart+xml"/>
  <Override PartName="/xl/charts/chart131.xml" ContentType="application/vnd.openxmlformats-officedocument.drawingml.chart+xml"/>
  <Override PartName="/xl/charts/chart132.xml" ContentType="application/vnd.openxmlformats-officedocument.drawingml.chart+xml"/>
  <Override PartName="/xl/charts/chart133.xml" ContentType="application/vnd.openxmlformats-officedocument.drawingml.chart+xml"/>
  <Override PartName="/xl/charts/chart134.xml" ContentType="application/vnd.openxmlformats-officedocument.drawingml.chart+xml"/>
  <Override PartName="/xl/charts/chart135.xml" ContentType="application/vnd.openxmlformats-officedocument.drawingml.chart+xml"/>
  <Override PartName="/xl/charts/chart136.xml" ContentType="application/vnd.openxmlformats-officedocument.drawingml.chart+xml"/>
  <Override PartName="/xl/charts/chart137.xml" ContentType="application/vnd.openxmlformats-officedocument.drawingml.chart+xml"/>
  <Override PartName="/xl/charts/chart138.xml" ContentType="application/vnd.openxmlformats-officedocument.drawingml.chart+xml"/>
  <Override PartName="/xl/charts/chart139.xml" ContentType="application/vnd.openxmlformats-officedocument.drawingml.chart+xml"/>
  <Override PartName="/xl/charts/chart140.xml" ContentType="application/vnd.openxmlformats-officedocument.drawingml.chart+xml"/>
  <Override PartName="/xl/charts/chart141.xml" ContentType="application/vnd.openxmlformats-officedocument.drawingml.chart+xml"/>
  <Override PartName="/xl/charts/chart142.xml" ContentType="application/vnd.openxmlformats-officedocument.drawingml.chart+xml"/>
  <Override PartName="/xl/charts/chart143.xml" ContentType="application/vnd.openxmlformats-officedocument.drawingml.chart+xml"/>
  <Override PartName="/xl/charts/chart144.xml" ContentType="application/vnd.openxmlformats-officedocument.drawingml.chart+xml"/>
  <Override PartName="/xl/charts/chart145.xml" ContentType="application/vnd.openxmlformats-officedocument.drawingml.chart+xml"/>
  <Override PartName="/xl/charts/chart146.xml" ContentType="application/vnd.openxmlformats-officedocument.drawingml.chart+xml"/>
  <Override PartName="/xl/charts/chart147.xml" ContentType="application/vnd.openxmlformats-officedocument.drawingml.chart+xml"/>
  <Override PartName="/xl/charts/chart148.xml" ContentType="application/vnd.openxmlformats-officedocument.drawingml.chart+xml"/>
  <Override PartName="/xl/charts/chart149.xml" ContentType="application/vnd.openxmlformats-officedocument.drawingml.chart+xml"/>
  <Override PartName="/xl/charts/chart150.xml" ContentType="application/vnd.openxmlformats-officedocument.drawingml.chart+xml"/>
  <Override PartName="/xl/charts/chart151.xml" ContentType="application/vnd.openxmlformats-officedocument.drawingml.chart+xml"/>
  <Override PartName="/xl/charts/chart152.xml" ContentType="application/vnd.openxmlformats-officedocument.drawingml.chart+xml"/>
  <Override PartName="/xl/charts/chart153.xml" ContentType="application/vnd.openxmlformats-officedocument.drawingml.chart+xml"/>
  <Override PartName="/xl/charts/chart154.xml" ContentType="application/vnd.openxmlformats-officedocument.drawingml.chart+xml"/>
  <Override PartName="/xl/charts/chart155.xml" ContentType="application/vnd.openxmlformats-officedocument.drawingml.chart+xml"/>
  <Override PartName="/xl/charts/chart156.xml" ContentType="application/vnd.openxmlformats-officedocument.drawingml.chart+xml"/>
  <Override PartName="/xl/charts/chart157.xml" ContentType="application/vnd.openxmlformats-officedocument.drawingml.chart+xml"/>
  <Override PartName="/xl/charts/chart158.xml" ContentType="application/vnd.openxmlformats-officedocument.drawingml.chart+xml"/>
  <Override PartName="/xl/charts/chart159.xml" ContentType="application/vnd.openxmlformats-officedocument.drawingml.chart+xml"/>
  <Override PartName="/xl/charts/chart160.xml" ContentType="application/vnd.openxmlformats-officedocument.drawingml.chart+xml"/>
  <Override PartName="/xl/charts/chart161.xml" ContentType="application/vnd.openxmlformats-officedocument.drawingml.chart+xml"/>
  <Override PartName="/xl/charts/chart162.xml" ContentType="application/vnd.openxmlformats-officedocument.drawingml.chart+xml"/>
  <Override PartName="/xl/charts/chart163.xml" ContentType="application/vnd.openxmlformats-officedocument.drawingml.chart+xml"/>
  <Override PartName="/xl/charts/chart164.xml" ContentType="application/vnd.openxmlformats-officedocument.drawingml.chart+xml"/>
  <Override PartName="/xl/charts/chart165.xml" ContentType="application/vnd.openxmlformats-officedocument.drawingml.chart+xml"/>
  <Override PartName="/xl/charts/chart166.xml" ContentType="application/vnd.openxmlformats-officedocument.drawingml.chart+xml"/>
  <Override PartName="/xl/charts/chart167.xml" ContentType="application/vnd.openxmlformats-officedocument.drawingml.chart+xml"/>
  <Override PartName="/xl/charts/chart168.xml" ContentType="application/vnd.openxmlformats-officedocument.drawingml.chart+xml"/>
  <Override PartName="/xl/charts/chart169.xml" ContentType="application/vnd.openxmlformats-officedocument.drawingml.chart+xml"/>
  <Override PartName="/xl/charts/chart170.xml" ContentType="application/vnd.openxmlformats-officedocument.drawingml.chart+xml"/>
  <Override PartName="/xl/charts/chart171.xml" ContentType="application/vnd.openxmlformats-officedocument.drawingml.chart+xml"/>
  <Override PartName="/xl/charts/chart172.xml" ContentType="application/vnd.openxmlformats-officedocument.drawingml.chart+xml"/>
  <Override PartName="/xl/charts/chart173.xml" ContentType="application/vnd.openxmlformats-officedocument.drawingml.chart+xml"/>
  <Override PartName="/xl/charts/chart174.xml" ContentType="application/vnd.openxmlformats-officedocument.drawingml.chart+xml"/>
  <Override PartName="/xl/charts/chart175.xml" ContentType="application/vnd.openxmlformats-officedocument.drawingml.chart+xml"/>
  <Override PartName="/xl/charts/chart176.xml" ContentType="application/vnd.openxmlformats-officedocument.drawingml.chart+xml"/>
  <Override PartName="/xl/charts/chart177.xml" ContentType="application/vnd.openxmlformats-officedocument.drawingml.chart+xml"/>
  <Override PartName="/xl/charts/chart178.xml" ContentType="application/vnd.openxmlformats-officedocument.drawingml.chart+xml"/>
  <Override PartName="/xl/charts/chart179.xml" ContentType="application/vnd.openxmlformats-officedocument.drawingml.chart+xml"/>
  <Override PartName="/xl/charts/chart180.xml" ContentType="application/vnd.openxmlformats-officedocument.drawingml.chart+xml"/>
  <Override PartName="/xl/charts/chart181.xml" ContentType="application/vnd.openxmlformats-officedocument.drawingml.chart+xml"/>
  <Override PartName="/xl/charts/chart182.xml" ContentType="application/vnd.openxmlformats-officedocument.drawingml.chart+xml"/>
  <Override PartName="/xl/charts/chart183.xml" ContentType="application/vnd.openxmlformats-officedocument.drawingml.chart+xml"/>
  <Override PartName="/xl/charts/chart184.xml" ContentType="application/vnd.openxmlformats-officedocument.drawingml.chart+xml"/>
  <Override PartName="/xl/charts/chart185.xml" ContentType="application/vnd.openxmlformats-officedocument.drawingml.chart+xml"/>
  <Override PartName="/xl/charts/chart186.xml" ContentType="application/vnd.openxmlformats-officedocument.drawingml.chart+xml"/>
  <Override PartName="/xl/charts/chart187.xml" ContentType="application/vnd.openxmlformats-officedocument.drawingml.chart+xml"/>
  <Override PartName="/xl/charts/chart188.xml" ContentType="application/vnd.openxmlformats-officedocument.drawingml.chart+xml"/>
  <Override PartName="/xl/charts/chart189.xml" ContentType="application/vnd.openxmlformats-officedocument.drawingml.chart+xml"/>
  <Override PartName="/xl/charts/chart190.xml" ContentType="application/vnd.openxmlformats-officedocument.drawingml.chart+xml"/>
  <Override PartName="/xl/charts/chart191.xml" ContentType="application/vnd.openxmlformats-officedocument.drawingml.chart+xml"/>
  <Override PartName="/xl/charts/chart192.xml" ContentType="application/vnd.openxmlformats-officedocument.drawingml.chart+xml"/>
  <Override PartName="/xl/charts/chart193.xml" ContentType="application/vnd.openxmlformats-officedocument.drawingml.chart+xml"/>
  <Override PartName="/xl/charts/chart194.xml" ContentType="application/vnd.openxmlformats-officedocument.drawingml.chart+xml"/>
  <Override PartName="/xl/charts/chart195.xml" ContentType="application/vnd.openxmlformats-officedocument.drawingml.chart+xml"/>
  <Override PartName="/xl/charts/chart196.xml" ContentType="application/vnd.openxmlformats-officedocument.drawingml.chart+xml"/>
  <Override PartName="/xl/charts/chart197.xml" ContentType="application/vnd.openxmlformats-officedocument.drawingml.chart+xml"/>
  <Override PartName="/xl/charts/chart198.xml" ContentType="application/vnd.openxmlformats-officedocument.drawingml.chart+xml"/>
  <Override PartName="/xl/charts/chart199.xml" ContentType="application/vnd.openxmlformats-officedocument.drawingml.chart+xml"/>
  <Override PartName="/xl/charts/chart200.xml" ContentType="application/vnd.openxmlformats-officedocument.drawingml.chart+xml"/>
  <Override PartName="/xl/charts/chart201.xml" ContentType="application/vnd.openxmlformats-officedocument.drawingml.chart+xml"/>
  <Override PartName="/xl/charts/chart202.xml" ContentType="application/vnd.openxmlformats-officedocument.drawingml.chart+xml"/>
  <Override PartName="/xl/charts/chart203.xml" ContentType="application/vnd.openxmlformats-officedocument.drawingml.chart+xml"/>
  <Override PartName="/xl/charts/chart204.xml" ContentType="application/vnd.openxmlformats-officedocument.drawingml.chart+xml"/>
  <Override PartName="/xl/charts/chart205.xml" ContentType="application/vnd.openxmlformats-officedocument.drawingml.chart+xml"/>
  <Override PartName="/xl/charts/chart206.xml" ContentType="application/vnd.openxmlformats-officedocument.drawingml.chart+xml"/>
  <Override PartName="/xl/charts/chart207.xml" ContentType="application/vnd.openxmlformats-officedocument.drawingml.chart+xml"/>
  <Override PartName="/xl/charts/chart208.xml" ContentType="application/vnd.openxmlformats-officedocument.drawingml.chart+xml"/>
  <Override PartName="/xl/charts/chart209.xml" ContentType="application/vnd.openxmlformats-officedocument.drawingml.chart+xml"/>
  <Override PartName="/xl/charts/chart210.xml" ContentType="application/vnd.openxmlformats-officedocument.drawingml.chart+xml"/>
  <Override PartName="/xl/charts/chart211.xml" ContentType="application/vnd.openxmlformats-officedocument.drawingml.chart+xml"/>
  <Override PartName="/xl/charts/chart212.xml" ContentType="application/vnd.openxmlformats-officedocument.drawingml.chart+xml"/>
  <Override PartName="/xl/charts/chart213.xml" ContentType="application/vnd.openxmlformats-officedocument.drawingml.chart+xml"/>
  <Override PartName="/xl/charts/chart214.xml" ContentType="application/vnd.openxmlformats-officedocument.drawingml.chart+xml"/>
  <Override PartName="/xl/charts/chart215.xml" ContentType="application/vnd.openxmlformats-officedocument.drawingml.chart+xml"/>
  <Override PartName="/xl/charts/chart216.xml" ContentType="application/vnd.openxmlformats-officedocument.drawingml.chart+xml"/>
  <Override PartName="/xl/charts/chart217.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Зміст" sheetId="1" state="visible" r:id="rId1"/>
    <sheet name="Графіки" sheetId="2" state="visible" r:id="rId2"/>
    <sheet name="Підсумок" sheetId="3" state="visible" r:id="rId3"/>
    <sheet name="Очищення" sheetId="4" state="visible" r:id="rId4"/>
    <sheet name="Ринок" sheetId="5" state="visible" r:id="rId5"/>
    <sheet name="Прогнозування" sheetId="6" state="visible" r:id="rId6"/>
    <sheet name="Відмови" sheetId="7" state="visible" r:id="rId7"/>
    <sheet name="Наші ТОВ" sheetId="8" state="visible" r:id="rId8"/>
    <sheet name="Конкуренти" sheetId="9" state="visible" r:id="rId9"/>
    <sheet name="Товари і ТМ" sheetId="10" state="visible" r:id="rId10"/>
    <sheet name="Постачання" sheetId="11" state="visible" r:id="rId11"/>
    <sheet name="Порівняння" sheetId="12" state="visible" r:id="rId12"/>
    <sheet name="Ми1 ТОВ &quot;ТОРГОВИЙ ДІМ &quot;ПАРТНЕР" sheetId="13" state="visible" r:id="rId13"/>
    <sheet name="Ми2 ТОВ &quot;РЕФОРМА СИСТЕМЗ&quot;" sheetId="14" state="visible" r:id="rId14"/>
    <sheet name="К1 ТОВ &quot;Технології для бізнесу&quot;" sheetId="15" state="visible" r:id="rId15"/>
    <sheet name="К2 ТОВ &quot;ЕМЕНС&quot;" sheetId="16" state="visible" r:id="rId16"/>
    <sheet name="К3 ТОВ «ПОРТАЛ АРЕНА»" sheetId="17" state="visible" r:id="rId17"/>
    <sheet name="К4 ТОВ «ПБГ19»" sheetId="18" state="visible" r:id="rId18"/>
    <sheet name="К5 ФОП ДАВИДЕНКО ПАВЛО АНДРІЙОВ" sheetId="19" state="visible" r:id="rId19"/>
    <sheet name="К6 ТОВ «ЮДІТРЕЙД»" sheetId="20" state="visible" r:id="rId20"/>
    <sheet name="К7 ТОВ &quot;ТІНОС-Д&quot;" sheetId="21" state="visible" r:id="rId21"/>
    <sheet name="К8 ТОВ &quot;ТЕХНО ГАЛАКТИКА&quot;" sheetId="22" state="visible" r:id="rId22"/>
    <sheet name="К9 ТОВ &quot;ДІСТРІ ІНВАЙТ ІТ&quot;" sheetId="23" state="visible" r:id="rId23"/>
    <sheet name="К10 ТОВ &quot;ПАРСЕРС&quot;" sheetId="24" state="visible" r:id="rId24"/>
    <sheet name="К11 ТОВ &quot;СИСТЕМАТИКА УКРАЇНА&quot;" sheetId="25" state="visible" r:id="rId25"/>
    <sheet name="К12 ТОВ &quot;КОРВЕТ&quot;" sheetId="26" state="visible" r:id="rId26"/>
    <sheet name="К13 ТОВ &quot;ІНТЕРАКТИВНІ СИСТЕМИ Н" sheetId="27" state="visible" r:id="rId27"/>
    <sheet name="К14 ФОП ІВАНЧЕНКО МИКОЛА ІВАНОВ" sheetId="28" state="visible" r:id="rId28"/>
    <sheet name="К15 ТОВ &quot;САНТАРЕКС&quot;" sheetId="29" state="visible" r:id="rId29"/>
    <sheet name="К16 ТОВ &quot;АРТЛАЙН ІНТЕГРАЦІЯ&quot;" sheetId="30" state="visible" r:id="rId30"/>
    <sheet name="К17 ТОВ &quot;СМАРТ ТЕХНОЛОГІЇ В ОСВ" sheetId="31" state="visible" r:id="rId31"/>
    <sheet name="К18 ФОП &quot;ВАЙДА ГАВРИЛО ІВАНОВИЧ" sheetId="32" state="visible" r:id="rId32"/>
    <sheet name="К19 ФОП Цяк Валерій Михайлович" sheetId="33" state="visible" r:id="rId33"/>
    <sheet name="К20 ТОВ &quot;ДИДАКТИКЛАБ&quot;" sheetId="34" state="visible" r:id="rId34"/>
    <sheet name="К21 ТОВ &quot;НАВІГАТОР СИСТЕМ&quot;" sheetId="35" state="visible" r:id="rId35"/>
    <sheet name="К22 ТОВ &quot;КОМЕЛ&quot;" sheetId="36" state="visible" r:id="rId36"/>
    <sheet name="К23 ТОВ &quot;ПАВЕРТРЕЙД&quot;" sheetId="37" state="visible" r:id="rId37"/>
    <sheet name="К24 ТОВ &quot;КОМПАКОМ&quot;" sheetId="38" state="visible" r:id="rId38"/>
    <sheet name="К25 ФОП &quot;Гріпіч Тетяна Борисівн" sheetId="39" state="visible" r:id="rId39"/>
    <sheet name="К26 ФОП &quot;СРИВКІН СЕРГІЙ БОРИСОВ" sheetId="40" state="visible" r:id="rId40"/>
    <sheet name="К27 ФОП СІНЬКЕВИЧ ОЛЕКСАНДР АНА" sheetId="41" state="visible" r:id="rId41"/>
    <sheet name="К28 ТОВ &quot;Епіцентр К&quot;" sheetId="42" state="visible" r:id="rId42"/>
    <sheet name="К29 ТОВ &quot;ДІАВЕСТЕНД КОМПЛЕКСНІ" sheetId="43" state="visible" r:id="rId43"/>
    <sheet name="К30 ТОВ &quot;КУБІК ГРУП&quot;" sheetId="44" state="visible" r:id="rId44"/>
    <sheet name="К31 ТОВ &quot;СІНТ-ДНІПРОПЕТРОВСЬК&quot;" sheetId="45" state="visible" r:id="rId45"/>
    <sheet name="К32 ТОВ &quot;КПІ-МАРКЕТ&quot;" sheetId="46" state="visible" r:id="rId46"/>
    <sheet name="К33 ФОП Козловський Сергій Павл" sheetId="47" state="visible" r:id="rId47"/>
    <sheet name="К34 ФОП ПРІСИЧ ДМИТРО МИКОЛАЙОВ" sheetId="48" state="visible" r:id="rId48"/>
  </sheets>
  <definedNames/>
  <calcPr calcId="124519" fullCalcOnLoad="1"/>
</workbook>
</file>

<file path=xl/styles.xml><?xml version="1.0" encoding="utf-8"?>
<styleSheet xmlns="http://schemas.openxmlformats.org/spreadsheetml/2006/main">
  <numFmts count="2">
    <numFmt numFmtId="164" formatCode="0.0%"/>
    <numFmt numFmtId="165" formatCode="0.0&quot;%&quot;"/>
  </numFmts>
  <fonts count="8">
    <font>
      <name val="Calibri"/>
      <family val="2"/>
      <color theme="1"/>
      <sz val="11"/>
      <scheme val="minor"/>
    </font>
    <font>
      <b val="1"/>
      <color rgb="001F3864"/>
      <sz val="16"/>
    </font>
    <font>
      <b val="1"/>
      <color rgb="001F3864"/>
      <sz val="13"/>
    </font>
    <font>
      <i val="1"/>
      <color rgb="00707070"/>
      <sz val="9"/>
    </font>
    <font>
      <b val="1"/>
      <color rgb="0044546A"/>
      <sz val="11"/>
    </font>
    <font>
      <b val="1"/>
      <sz val="11"/>
    </font>
    <font>
      <b val="1"/>
      <color rgb="00FFFFFF"/>
    </font>
    <font>
      <color rgb="000563C1"/>
      <u val="single"/>
    </font>
  </fonts>
  <fills count="4">
    <fill>
      <patternFill/>
    </fill>
    <fill>
      <patternFill patternType="gray125"/>
    </fill>
    <fill>
      <patternFill patternType="solid">
        <fgColor rgb="00EEF2FA"/>
      </patternFill>
    </fill>
    <fill>
      <patternFill patternType="solid">
        <fgColor rgb="001F3864"/>
      </patternFill>
    </fill>
  </fills>
  <borders count="1">
    <border>
      <left/>
      <right/>
      <top/>
      <bottom/>
      <diagonal/>
    </border>
  </borders>
  <cellStyleXfs count="1">
    <xf numFmtId="0" fontId="0" fillId="0" borderId="0"/>
  </cellStyleXfs>
  <cellXfs count="15">
    <xf numFmtId="0" fontId="0" fillId="0" borderId="0" pivotButton="0" quotePrefix="0" xfId="0"/>
    <xf numFmtId="0" fontId="1" fillId="0" borderId="0" pivotButton="0" quotePrefix="0" xfId="0"/>
    <xf numFmtId="0" fontId="5" fillId="0" borderId="0" pivotButton="0" quotePrefix="0" xfId="0"/>
    <xf numFmtId="0" fontId="6" fillId="3" borderId="0" pivotButton="0" quotePrefix="0" xfId="0"/>
    <xf numFmtId="0" fontId="7" fillId="0" borderId="0" pivotButton="0" quotePrefix="0" xfId="0"/>
    <xf numFmtId="3" fontId="0" fillId="0" borderId="0" pivotButton="0" quotePrefix="0" xfId="0"/>
    <xf numFmtId="0" fontId="3" fillId="0" borderId="0" pivotButton="0" quotePrefix="0" xfId="0"/>
    <xf numFmtId="0" fontId="2" fillId="0" borderId="0" pivotButton="0" quotePrefix="0" xfId="0"/>
    <xf numFmtId="0" fontId="4" fillId="0" borderId="0" pivotButton="0" quotePrefix="0" xfId="0"/>
    <xf numFmtId="0" fontId="0" fillId="2" borderId="0" pivotButton="0" quotePrefix="0" xfId="0"/>
    <xf numFmtId="0" fontId="5" fillId="2" borderId="0" pivotButton="0" quotePrefix="0" xfId="0"/>
    <xf numFmtId="0" fontId="6" fillId="3" borderId="0" applyAlignment="1" pivotButton="0" quotePrefix="0" xfId="0">
      <alignment vertical="center" wrapText="1"/>
    </xf>
    <xf numFmtId="164" fontId="0" fillId="0" borderId="0" pivotButton="0" quotePrefix="0" xfId="0"/>
    <xf numFmtId="4"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styles" Target="styles.xml" Id="rId49" /><Relationship Type="http://schemas.openxmlformats.org/officeDocument/2006/relationships/theme" Target="theme/theme1.xml" Id="rId50" /></Relationships>
</file>

<file path=xl/charts/chart1.xml><?xml version="1.0" encoding="utf-8"?>
<chartSpace xmlns:a="http://schemas.openxmlformats.org/drawingml/2006/main" xmlns="http://schemas.openxmlformats.org/drawingml/2006/chart">
  <chart>
    <title>
      <tx>
        <rich>
          <a:bodyPr/>
          <a:p>
            <a:pPr>
              <a:defRPr sz="1200" b="1">
                <a:solidFill>
                  <a:srgbClr val="1F3864"/>
                </a:solidFill>
              </a:defRPr>
            </a:pPr>
            <a:r>
              <a:t>Динаміка ринку по місяцях</a:t>
            </a:r>
          </a:p>
        </rich>
      </tx>
      <overlay val="0"/>
    </title>
    <plotArea>
      <lineChart>
        <grouping val="standard"/>
        <ser>
          <idx val="0"/>
          <order val="0"/>
          <tx>
            <strRef>
              <f>'Підсумок'!B26</f>
            </strRef>
          </tx>
          <spPr>
            <a:ln w="22000">
              <a:solidFill>
                <a:srgbClr val="3D7EFF"/>
              </a:solidFill>
              <a:prstDash val="solid"/>
            </a:ln>
          </spPr>
          <marker>
            <symbol val="circle"/>
            <size val="5"/>
            <spPr>
              <a:solidFill>
                <a:srgbClr val="3D7EFF"/>
              </a:solidFill>
              <a:ln>
                <a:prstDash val="solid"/>
              </a:ln>
            </spPr>
          </marker>
          <cat>
            <numRef>
              <f>'Підсумок'!$A$27:$A$39</f>
            </numRef>
          </cat>
          <val>
            <numRef>
              <f>'Підсумок'!$B$27:$B$39</f>
            </numRef>
          </val>
          <smooth val="0"/>
        </ser>
        <ser>
          <idx val="1"/>
          <order val="1"/>
          <tx>
            <strRef>
              <f>'Підсумок'!C26</f>
            </strRef>
          </tx>
          <spPr>
            <a:ln w="22000">
              <a:solidFill>
                <a:srgbClr val="3ECF8E"/>
              </a:solidFill>
              <a:prstDash val="solid"/>
            </a:ln>
          </spPr>
          <marker>
            <symbol val="circle"/>
            <size val="5"/>
            <spPr>
              <a:solidFill>
                <a:srgbClr val="3ECF8E"/>
              </a:solidFill>
              <a:ln>
                <a:prstDash val="solid"/>
              </a:ln>
            </spPr>
          </marker>
          <cat>
            <numRef>
              <f>'Підсумок'!$A$27:$A$39</f>
            </numRef>
          </cat>
          <val>
            <numRef>
              <f>'Підсумок'!$C$27:$C$39</f>
            </numRef>
          </val>
          <smooth val="0"/>
        </ser>
        <axId val="10"/>
        <axId val="100"/>
      </lineChart>
      <catAx>
        <axId val="10"/>
        <scaling>
          <orientation val="minMax"/>
        </scaling>
        <delete val="0"/>
        <axPos val="l"/>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0"/>
        <lblOffset val="100"/>
      </catAx>
      <valAx>
        <axId val="100"/>
        <scaling>
          <orientation val="minMax"/>
        </scaling>
        <delete val="0"/>
        <axPos val="l"/>
        <majorGridlines>
          <spPr>
            <a:ln>
              <a:solidFill>
                <a:srgbClr val="D9D9D9"/>
              </a:solidFill>
              <a:prstDash val="solid"/>
            </a:ln>
          </spPr>
        </majorGridlines>
        <numFmt formatCode="#,##0" sourceLinked="0"/>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
      </valAx>
    </plotArea>
    <legend>
      <legendPos val="b"/>
      <overlay val="0"/>
      <txPr>
        <a:bodyPr vert="horz"/>
        <a:p>
          <a:pPr>
            <a:defRPr sz="900">
              <a:solidFill>
                <a:srgbClr val="404040"/>
              </a:solidFill>
            </a:defRPr>
          </a:pPr>
          <a:endParaRPr sz="900">
            <a:solidFill>
              <a:srgbClr val="404040"/>
            </a:solidFill>
          </a:endParaRPr>
        </a:p>
      </txPr>
    </legend>
    <plotVisOnly val="1"/>
    <dispBlanksAs val="gap"/>
  </chart>
  <spPr>
    <a:solidFill>
      <a:srgbClr val="FFFFFF"/>
    </a:solidFill>
    <a:ln>
      <a:noFill/>
      <a:prstDash val="solid"/>
    </a:ln>
  </spPr>
</chartSpace>
</file>

<file path=xl/charts/chart2.xml><?xml version="1.0" encoding="utf-8"?>
<chartSpace xmlns:a="http://schemas.openxmlformats.org/drawingml/2006/main" xmlns="http://schemas.openxmlformats.org/drawingml/2006/chart">
  <chart>
    <title>
      <tx>
        <rich>
          <a:bodyPr/>
          <a:p>
            <a:pPr>
              <a:defRPr sz="1200" b="1">
                <a:solidFill>
                  <a:srgbClr val="1F3864"/>
                </a:solidFill>
              </a:defRPr>
            </a:pPr>
            <a:r>
              <a:t>Коли гроші розійшлися</a:t>
            </a:r>
          </a:p>
        </rich>
      </tx>
      <overlay val="0"/>
    </title>
    <plotArea>
      <lineChart>
        <grouping val="standard"/>
        <ser>
          <idx val="0"/>
          <order val="0"/>
          <tx>
            <strRef>
              <f>'Підсумок'!B46</f>
            </strRef>
          </tx>
          <spPr>
            <a:ln w="22000">
              <a:solidFill>
                <a:srgbClr val="3D7EFF"/>
              </a:solidFill>
              <a:prstDash val="solid"/>
            </a:ln>
          </spPr>
          <marker>
            <symbol val="circle"/>
            <size val="5"/>
            <spPr>
              <a:solidFill>
                <a:srgbClr val="3D7EFF"/>
              </a:solidFill>
              <a:ln>
                <a:prstDash val="solid"/>
              </a:ln>
            </spPr>
          </marker>
          <cat>
            <numRef>
              <f>'Підсумок'!$A$47:$A$59</f>
            </numRef>
          </cat>
          <val>
            <numRef>
              <f>'Підсумок'!$B$47:$B$59</f>
            </numRef>
          </val>
          <smooth val="0"/>
        </ser>
        <axId val="10"/>
        <axId val="100"/>
      </lineChart>
      <catAx>
        <axId val="10"/>
        <scaling>
          <orientation val="minMax"/>
        </scaling>
        <delete val="0"/>
        <axPos val="l"/>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0"/>
        <lblOffset val="100"/>
      </catAx>
      <valAx>
        <axId val="100"/>
        <scaling>
          <orientation val="minMax"/>
        </scaling>
        <delete val="0"/>
        <axPos val="l"/>
        <majorGridlines>
          <spPr>
            <a:ln>
              <a:solidFill>
                <a:srgbClr val="D9D9D9"/>
              </a:solidFill>
              <a:prstDash val="solid"/>
            </a:ln>
          </spPr>
        </majorGridlines>
        <numFmt formatCode="#,##0" sourceLinked="0"/>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
      </valAx>
    </plotArea>
    <plotVisOnly val="1"/>
    <dispBlanksAs val="gap"/>
  </chart>
  <spPr>
    <a:solidFill>
      <a:srgbClr val="FFFFFF"/>
    </a:solidFill>
    <a:ln>
      <a:noFill/>
      <a:prstDash val="solid"/>
    </a:ln>
  </spPr>
</chartSpace>
</file>

<file path=xl/charts/chart3.xml><?xml version="1.0" encoding="utf-8"?>
<chartSpace xmlns:a="http://schemas.openxmlformats.org/drawingml/2006/main" xmlns="http://schemas.openxmlformats.org/drawingml/2006/chart">
  <chart>
    <title>
      <tx>
        <rich>
          <a:bodyPr/>
          <a:p>
            <a:pPr>
              <a:defRPr sz="1200" b="1">
                <a:solidFill>
                  <a:srgbClr val="1F3864"/>
                </a:solidFill>
              </a:defRPr>
            </a:pPr>
            <a:r>
              <a:t>Ми проти лідерів ринку (топ-12)</a:t>
            </a:r>
          </a:p>
        </rich>
      </tx>
      <overlay val="0"/>
    </title>
    <plotArea>
      <barChart>
        <barDir val="bar"/>
        <grouping val="clustered"/>
        <ser>
          <idx val="0"/>
          <order val="0"/>
          <tx>
            <strRef>
              <f>'Підсумок'!B66</f>
            </strRef>
          </tx>
          <spPr>
            <a:solidFill>
              <a:srgbClr val="3D7EFF"/>
            </a:solidFill>
            <a:ln>
              <a:noFill/>
              <a:prstDash val="solid"/>
            </a:ln>
          </spPr>
          <dPt>
            <idx val="2"/>
            <spPr>
              <a:solidFill>
                <a:srgbClr val="3ECF8E"/>
              </a:solidFill>
              <a:ln>
                <a:prstDash val="solid"/>
              </a:ln>
            </spPr>
          </dPt>
          <dPt>
            <idx val="12"/>
            <spPr>
              <a:solidFill>
                <a:srgbClr val="3ECF8E"/>
              </a:solidFill>
              <a:ln>
                <a:prstDash val="solid"/>
              </a:ln>
            </spPr>
          </dPt>
          <cat>
            <numRef>
              <f>'Підсумок'!$A$67:$A$79</f>
            </numRef>
          </cat>
          <val>
            <numRef>
              <f>'Підсумок'!$B$67:$B$79</f>
            </numRef>
          </val>
        </ser>
        <dLbls>
          <numFmt formatCode="#,##0"/>
          <txPr>
            <a:bodyPr vert="horz"/>
            <a:p>
              <a:pPr>
                <a:defRPr sz="900">
                  <a:solidFill>
                    <a:srgbClr val="404040"/>
                  </a:solidFill>
                </a:defRPr>
              </a:pPr>
              <a:endParaRPr sz="900">
                <a:solidFill>
                  <a:srgbClr val="404040"/>
                </a:solidFill>
              </a:endParaRPr>
            </a:p>
          </txPr>
          <dLblPos val="outEnd"/>
          <showLegendKey val="0"/>
          <showVal val="1"/>
          <showCatName val="0"/>
          <showSerName val="0"/>
          <showPercent val="0"/>
          <showBubbleSize val="0"/>
        </dLbls>
        <gapWidth val="60"/>
        <axId val="10"/>
        <axId val="100"/>
      </barChart>
      <catAx>
        <axId val="10"/>
        <scaling>
          <orientation val="maxMin"/>
        </scaling>
        <delete val="0"/>
        <axPos val="l"/>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0"/>
        <lblOffset val="100"/>
      </catAx>
      <valAx>
        <axId val="100"/>
        <scaling>
          <orientation val="minMax"/>
        </scaling>
        <delete val="0"/>
        <axPos val="l"/>
        <majorGridlines>
          <spPr>
            <a:ln>
              <a:solidFill>
                <a:srgbClr val="D9D9D9"/>
              </a:solidFill>
              <a:prstDash val="solid"/>
            </a:ln>
          </spPr>
        </majorGridlines>
        <numFmt formatCode="#,##0" sourceLinked="0"/>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
        <crosses val="max"/>
      </valAx>
    </plotArea>
    <plotVisOnly val="1"/>
    <dispBlanksAs val="gap"/>
  </chart>
  <spPr>
    <a:solidFill>
      <a:srgbClr val="FFFFFF"/>
    </a:solidFill>
    <a:ln>
      <a:noFill/>
      <a:prstDash val="solid"/>
    </a:ln>
  </spPr>
</chartSpace>
</file>

<file path=xl/charts/chart4.xml><?xml version="1.0" encoding="utf-8"?>
<chartSpace xmlns:a="http://schemas.openxmlformats.org/drawingml/2006/main" xmlns="http://schemas.openxmlformats.org/drawingml/2006/chart">
  <chart>
    <title>
      <tx>
        <rich>
          <a:bodyPr/>
          <a:p>
            <a:pPr>
              <a:defRPr sz="1200" b="1">
                <a:solidFill>
                  <a:srgbClr val="1F3864"/>
                </a:solidFill>
              </a:defRPr>
            </a:pPr>
            <a:r>
              <a:t>Де ми не брали участі — за галузями</a:t>
            </a:r>
          </a:p>
        </rich>
      </tx>
      <overlay val="0"/>
    </title>
    <plotArea>
      <barChart>
        <barDir val="bar"/>
        <grouping val="clustered"/>
        <ser>
          <idx val="0"/>
          <order val="0"/>
          <tx>
            <strRef>
              <f>'Підсумок'!B87</f>
            </strRef>
          </tx>
          <spPr>
            <a:solidFill>
              <a:srgbClr val="3D7EFF"/>
            </a:solidFill>
            <a:ln>
              <a:noFill/>
              <a:prstDash val="solid"/>
            </a:ln>
          </spPr>
          <cat>
            <numRef>
              <f>'Підсумок'!$A$88:$A$89</f>
            </numRef>
          </cat>
          <val>
            <numRef>
              <f>'Підсумок'!$B$88:$B$89</f>
            </numRef>
          </val>
        </ser>
        <dLbls>
          <numFmt formatCode="#,##0"/>
          <txPr>
            <a:bodyPr vert="horz"/>
            <a:p>
              <a:pPr>
                <a:defRPr sz="900">
                  <a:solidFill>
                    <a:srgbClr val="404040"/>
                  </a:solidFill>
                </a:defRPr>
              </a:pPr>
              <a:endParaRPr sz="900">
                <a:solidFill>
                  <a:srgbClr val="404040"/>
                </a:solidFill>
              </a:endParaRPr>
            </a:p>
          </txPr>
          <dLblPos val="outEnd"/>
          <showLegendKey val="0"/>
          <showVal val="1"/>
          <showCatName val="0"/>
          <showSerName val="0"/>
          <showPercent val="0"/>
          <showBubbleSize val="0"/>
        </dLbls>
        <gapWidth val="150"/>
        <axId val="10"/>
        <axId val="100"/>
      </barChart>
      <catAx>
        <axId val="10"/>
        <scaling>
          <orientation val="maxMin"/>
        </scaling>
        <delete val="0"/>
        <axPos val="l"/>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0"/>
        <lblOffset val="100"/>
      </catAx>
      <valAx>
        <axId val="100"/>
        <scaling>
          <orientation val="minMax"/>
        </scaling>
        <delete val="0"/>
        <axPos val="l"/>
        <majorGridlines>
          <spPr>
            <a:ln>
              <a:solidFill>
                <a:srgbClr val="D9D9D9"/>
              </a:solidFill>
              <a:prstDash val="solid"/>
            </a:ln>
          </spPr>
        </majorGridlines>
        <numFmt formatCode="#,##0" sourceLinked="0"/>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
        <crosses val="max"/>
      </valAx>
    </plotArea>
    <plotVisOnly val="1"/>
    <dispBlanksAs val="gap"/>
  </chart>
  <spPr>
    <a:solidFill>
      <a:srgbClr val="FFFFFF"/>
    </a:solidFill>
    <a:ln>
      <a:noFill/>
      <a:prstDash val="solid"/>
    </a:ln>
  </spPr>
</chartSpace>
</file>

<file path=xl/charts/chart5.xml><?xml version="1.0" encoding="utf-8"?>
<chartSpace xmlns:a="http://schemas.openxmlformats.org/drawingml/2006/main" xmlns="http://schemas.openxmlformats.org/drawingml/2006/chart">
  <chart>
    <title>
      <tx>
        <rich>
          <a:bodyPr/>
          <a:p>
            <a:pPr>
              <a:defRPr sz="1200" b="1">
                <a:solidFill>
                  <a:srgbClr val="1F3864"/>
                </a:solidFill>
              </a:defRPr>
            </a:pPr>
            <a:r>
              <a:t>Зауваження до даних за типом</a:t>
            </a:r>
          </a:p>
        </rich>
      </tx>
      <overlay val="0"/>
    </title>
    <plotArea>
      <barChart>
        <barDir val="bar"/>
        <grouping val="clustered"/>
        <ser>
          <idx val="0"/>
          <order val="0"/>
          <tx>
            <strRef>
              <f>'Очищення'!B20</f>
            </strRef>
          </tx>
          <spPr>
            <a:solidFill>
              <a:srgbClr val="3D7EFF"/>
            </a:solidFill>
            <a:ln>
              <a:noFill/>
              <a:prstDash val="solid"/>
            </a:ln>
          </spPr>
          <cat>
            <numRef>
              <f>'Очищення'!$A$21:$A$23</f>
            </numRef>
          </cat>
          <val>
            <numRef>
              <f>'Очищення'!$B$21:$B$23</f>
            </numRef>
          </val>
        </ser>
        <dLbls>
          <numFmt formatCode="#,##0"/>
          <txPr>
            <a:bodyPr vert="horz"/>
            <a:p>
              <a:pPr>
                <a:defRPr sz="900">
                  <a:solidFill>
                    <a:srgbClr val="404040"/>
                  </a:solidFill>
                </a:defRPr>
              </a:pPr>
              <a:endParaRPr sz="900">
                <a:solidFill>
                  <a:srgbClr val="404040"/>
                </a:solidFill>
              </a:endParaRPr>
            </a:p>
          </txPr>
          <dLblPos val="outEnd"/>
          <showLegendKey val="0"/>
          <showVal val="1"/>
          <showCatName val="0"/>
          <showSerName val="0"/>
          <showPercent val="0"/>
          <showBubbleSize val="0"/>
        </dLbls>
        <gapWidth val="150"/>
        <axId val="10"/>
        <axId val="100"/>
      </barChart>
      <catAx>
        <axId val="10"/>
        <scaling>
          <orientation val="maxMin"/>
        </scaling>
        <delete val="0"/>
        <axPos val="l"/>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0"/>
        <lblOffset val="100"/>
      </catAx>
      <valAx>
        <axId val="100"/>
        <scaling>
          <orientation val="minMax"/>
        </scaling>
        <delete val="0"/>
        <axPos val="l"/>
        <majorGridlines>
          <spPr>
            <a:ln>
              <a:solidFill>
                <a:srgbClr val="D9D9D9"/>
              </a:solidFill>
              <a:prstDash val="solid"/>
            </a:ln>
          </spPr>
        </majorGridlines>
        <numFmt formatCode="#,##0" sourceLinked="0"/>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
        <crosses val="max"/>
      </valAx>
    </plotArea>
    <plotVisOnly val="1"/>
    <dispBlanksAs val="gap"/>
  </chart>
  <spPr>
    <a:solidFill>
      <a:srgbClr val="FFFFFF"/>
    </a:solidFill>
    <a:ln>
      <a:noFill/>
      <a:prstDash val="solid"/>
    </a:ln>
  </spPr>
</chartSpace>
</file>

<file path=xl/charts/chart6.xml><?xml version="1.0" encoding="utf-8"?>
<chartSpace xmlns:a="http://schemas.openxmlformats.org/drawingml/2006/main" xmlns="http://schemas.openxmlformats.org/drawingml/2006/chart">
  <chart>
    <title>
      <tx>
        <rich>
          <a:bodyPr/>
          <a:p>
            <a:pPr>
              <a:defRPr sz="1200" b="1">
                <a:solidFill>
                  <a:srgbClr val="1F3864"/>
                </a:solidFill>
              </a:defRPr>
            </a:pPr>
            <a:r>
              <a:t>Розподіл угод за сумою</a:t>
            </a:r>
          </a:p>
        </rich>
      </tx>
      <overlay val="0"/>
    </title>
    <plotArea>
      <barChart>
        <barDir val="col"/>
        <grouping val="clustered"/>
        <ser>
          <idx val="0"/>
          <order val="0"/>
          <tx>
            <strRef>
              <f>'Очищення'!B37</f>
            </strRef>
          </tx>
          <spPr>
            <a:solidFill>
              <a:srgbClr val="3D7EFF"/>
            </a:solidFill>
            <a:ln>
              <a:noFill/>
              <a:prstDash val="solid"/>
            </a:ln>
          </spPr>
          <cat>
            <numRef>
              <f>'Очищення'!$A$38:$A$43</f>
            </numRef>
          </cat>
          <val>
            <numRef>
              <f>'Очищення'!$B$38:$B$43</f>
            </numRef>
          </val>
        </ser>
        <dLbls>
          <numFmt formatCode="#,##0"/>
          <txPr>
            <a:bodyPr vert="horz"/>
            <a:p>
              <a:pPr>
                <a:defRPr sz="900">
                  <a:solidFill>
                    <a:srgbClr val="404040"/>
                  </a:solidFill>
                </a:defRPr>
              </a:pPr>
              <a:endParaRPr sz="900">
                <a:solidFill>
                  <a:srgbClr val="404040"/>
                </a:solidFill>
              </a:endParaRPr>
            </a:p>
          </txPr>
          <dLblPos val="outEnd"/>
          <showLegendKey val="0"/>
          <showVal val="1"/>
          <showCatName val="0"/>
          <showSerName val="0"/>
          <showPercent val="0"/>
          <showBubbleSize val="0"/>
        </dLbls>
        <gapWidth val="60"/>
        <axId val="10"/>
        <axId val="100"/>
      </barChart>
      <catAx>
        <axId val="10"/>
        <scaling>
          <orientation val="minMax"/>
        </scaling>
        <delete val="0"/>
        <axPos val="l"/>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0"/>
        <lblOffset val="100"/>
      </catAx>
      <valAx>
        <axId val="100"/>
        <scaling>
          <orientation val="minMax"/>
        </scaling>
        <delete val="0"/>
        <axPos val="l"/>
        <majorGridlines>
          <spPr>
            <a:ln>
              <a:solidFill>
                <a:srgbClr val="D9D9D9"/>
              </a:solidFill>
              <a:prstDash val="solid"/>
            </a:ln>
          </spPr>
        </majorGridlines>
        <numFmt formatCode="#,##0" sourceLinked="0"/>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
      </valAx>
    </plotArea>
    <plotVisOnly val="1"/>
    <dispBlanksAs val="gap"/>
  </chart>
  <spPr>
    <a:solidFill>
      <a:srgbClr val="FFFFFF"/>
    </a:solidFill>
    <a:ln>
      <a:noFill/>
      <a:prstDash val="solid"/>
    </a:ln>
  </spPr>
</chartSpace>
</file>

<file path=xl/charts/chart7.xml><?xml version="1.0" encoding="utf-8"?>
<chartSpace xmlns:a="http://schemas.openxmlformats.org/drawingml/2006/main" xmlns="http://schemas.openxmlformats.org/drawingml/2006/chart">
  <chart>
    <title>
      <tx>
        <rich>
          <a:bodyPr/>
          <a:p>
            <a:pPr>
              <a:defRPr sz="1200" b="1">
                <a:solidFill>
                  <a:srgbClr val="1F3864"/>
                </a:solidFill>
              </a:defRPr>
            </a:pPr>
            <a:r>
              <a:t>Ціна за одиницю проти кількості</a:t>
            </a:r>
          </a:p>
        </rich>
      </tx>
      <overlay val="0"/>
    </title>
    <plotArea>
      <scatterChart>
        <ser>
          <idx val="0"/>
          <order val="0"/>
          <tx>
            <strRef>
              <f>'Очищення'!B57</f>
            </strRef>
          </tx>
          <spPr>
            <a:ln>
              <a:noFill/>
              <a:prstDash val="solid"/>
            </a:ln>
          </spPr>
          <marker>
            <symbol val="circle"/>
            <size val="5"/>
            <spPr>
              <a:solidFill>
                <a:srgbClr val="3D7EFF"/>
              </a:solidFill>
              <a:ln>
                <a:prstDash val="solid"/>
              </a:ln>
            </spPr>
          </marker>
          <xVal>
            <numRef>
              <f>'Очищення'!$A$58:$A$1057</f>
            </numRef>
          </xVal>
          <yVal>
            <numRef>
              <f>'Очищення'!$B$58:$B$1057</f>
            </numRef>
          </yVal>
        </ser>
        <ser>
          <idx val="1"/>
          <order val="1"/>
          <tx>
            <strRef>
              <f>'Очищення'!C57</f>
            </strRef>
          </tx>
          <spPr>
            <a:ln>
              <a:noFill/>
              <a:prstDash val="solid"/>
            </a:ln>
          </spPr>
          <marker>
            <symbol val="circle"/>
            <size val="5"/>
            <spPr>
              <a:solidFill>
                <a:srgbClr val="EF5F5F"/>
              </a:solidFill>
              <a:ln>
                <a:prstDash val="solid"/>
              </a:ln>
            </spPr>
          </marker>
          <xVal>
            <numRef>
              <f>'Очищення'!$A$58:$A$1057</f>
            </numRef>
          </xVal>
          <yVal>
            <numRef>
              <f>'Очищення'!$C$58:$C$1057</f>
            </numRef>
          </yVal>
        </ser>
        <axId val="10"/>
        <axId val="20"/>
      </scatterChart>
      <valAx>
        <axId val="10"/>
        <scaling>
          <orientation val="minMax"/>
        </scaling>
        <delete val="0"/>
        <axPos val="l"/>
        <title>
          <tx>
            <rich>
              <a:bodyPr/>
              <a:p>
                <a:pPr>
                  <a:defRPr sz="900" b="1">
                    <a:solidFill>
                      <a:srgbClr val="404040"/>
                    </a:solidFill>
                  </a:defRPr>
                </a:pPr>
                <a:r>
                  <a:t>Кількість, порядок величини</a:t>
                </a:r>
              </a:p>
            </rich>
          </tx>
          <overlay val="0"/>
        </title>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20"/>
      </valAx>
      <valAx>
        <axId val="20"/>
        <scaling>
          <orientation val="minMax"/>
        </scaling>
        <delete val="0"/>
        <axPos val="l"/>
        <majorGridlines>
          <spPr>
            <a:ln>
              <a:solidFill>
                <a:srgbClr val="D9D9D9"/>
              </a:solidFill>
              <a:prstDash val="solid"/>
            </a:ln>
          </spPr>
        </majorGridlines>
        <title>
          <tx>
            <rich>
              <a:bodyPr/>
              <a:p>
                <a:pPr>
                  <a:defRPr sz="900" b="1">
                    <a:solidFill>
                      <a:srgbClr val="404040"/>
                    </a:solidFill>
                  </a:defRPr>
                </a:pPr>
                <a:r>
                  <a:t>Ціна за одиницю, порядок величини</a:t>
                </a:r>
              </a:p>
            </rich>
          </tx>
          <overlay val="0"/>
        </title>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
      </valAx>
    </plotArea>
    <plotVisOnly val="1"/>
    <dispBlanksAs val="gap"/>
  </chart>
  <spPr>
    <a:solidFill>
      <a:srgbClr val="FFFFFF"/>
    </a:solidFill>
    <a:ln>
      <a:noFill/>
      <a:prstDash val="solid"/>
    </a:ln>
  </spPr>
</chartSpace>
</file>

<file path=xl/charts/chart8.xml><?xml version="1.0" encoding="utf-8"?>
<chartSpace xmlns:a="http://schemas.openxmlformats.org/drawingml/2006/main" xmlns="http://schemas.openxmlformats.org/drawingml/2006/chart">
  <chart>
    <title>
      <tx>
        <rich>
          <a:bodyPr/>
          <a:p>
            <a:pPr>
              <a:defRPr sz="1200" b="1">
                <a:solidFill>
                  <a:srgbClr val="1F3864"/>
                </a:solidFill>
              </a:defRPr>
            </a:pPr>
            <a:r>
              <a:t>Кількість закупівель по місяцях</a:t>
            </a:r>
          </a:p>
        </rich>
      </tx>
      <overlay val="0"/>
    </title>
    <plotArea>
      <barChart>
        <barDir val="col"/>
        <grouping val="clustered"/>
        <ser>
          <idx val="0"/>
          <order val="0"/>
          <tx>
            <strRef>
              <f>'Ринок'!B74</f>
            </strRef>
          </tx>
          <spPr>
            <a:solidFill>
              <a:srgbClr val="3D7EFF"/>
            </a:solidFill>
            <a:ln>
              <a:noFill/>
              <a:prstDash val="solid"/>
            </a:ln>
          </spPr>
          <cat>
            <numRef>
              <f>'Ринок'!$A$75:$A$87</f>
            </numRef>
          </cat>
          <val>
            <numRef>
              <f>'Ринок'!$B$75:$B$87</f>
            </numRef>
          </val>
        </ser>
        <dLbls>
          <numFmt formatCode="#,##0"/>
          <txPr>
            <a:bodyPr vert="horz"/>
            <a:p>
              <a:pPr>
                <a:defRPr sz="900">
                  <a:solidFill>
                    <a:srgbClr val="404040"/>
                  </a:solidFill>
                </a:defRPr>
              </a:pPr>
              <a:endParaRPr sz="900">
                <a:solidFill>
                  <a:srgbClr val="404040"/>
                </a:solidFill>
              </a:endParaRPr>
            </a:p>
          </txPr>
          <dLblPos val="outEnd"/>
          <showLegendKey val="0"/>
          <showVal val="1"/>
          <showCatName val="0"/>
          <showSerName val="0"/>
          <showPercent val="0"/>
          <showBubbleSize val="0"/>
        </dLbls>
        <gapWidth val="60"/>
        <axId val="10"/>
        <axId val="100"/>
      </barChart>
      <catAx>
        <axId val="10"/>
        <scaling>
          <orientation val="minMax"/>
        </scaling>
        <delete val="0"/>
        <axPos val="l"/>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0"/>
        <lblOffset val="100"/>
      </catAx>
      <valAx>
        <axId val="100"/>
        <scaling>
          <orientation val="minMax"/>
        </scaling>
        <delete val="0"/>
        <axPos val="l"/>
        <majorGridlines>
          <spPr>
            <a:ln>
              <a:solidFill>
                <a:srgbClr val="D9D9D9"/>
              </a:solidFill>
              <a:prstDash val="solid"/>
            </a:ln>
          </spPr>
        </majorGridlines>
        <numFmt formatCode="#,##0" sourceLinked="0"/>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
      </valAx>
    </plotArea>
    <plotVisOnly val="1"/>
    <dispBlanksAs val="gap"/>
  </chart>
  <spPr>
    <a:solidFill>
      <a:srgbClr val="FFFFFF"/>
    </a:solidFill>
    <a:ln>
      <a:noFill/>
      <a:prstDash val="solid"/>
    </a:ln>
  </spPr>
</chartSpace>
</file>

<file path=xl/charts/chart9.xml><?xml version="1.0" encoding="utf-8"?>
<chartSpace xmlns:a="http://schemas.openxmlformats.org/drawingml/2006/main" xmlns="http://schemas.openxmlformats.org/drawingml/2006/chart">
  <chart>
    <title>
      <tx>
        <rich>
          <a:bodyPr/>
          <a:p>
            <a:pPr>
              <a:defRPr sz="1200" b="1">
                <a:solidFill>
                  <a:srgbClr val="1F3864"/>
                </a:solidFill>
              </a:defRPr>
            </a:pPr>
            <a:r>
              <a:t>Топ-15 постачальників за сумою угод</a:t>
            </a:r>
          </a:p>
        </rich>
      </tx>
      <overlay val="0"/>
    </title>
    <plotArea>
      <barChart>
        <barDir val="bar"/>
        <grouping val="clustered"/>
        <ser>
          <idx val="0"/>
          <order val="0"/>
          <tx>
            <strRef>
              <f>'Ринок'!B94</f>
            </strRef>
          </tx>
          <spPr>
            <a:solidFill>
              <a:srgbClr val="3D7EFF"/>
            </a:solidFill>
            <a:ln>
              <a:noFill/>
              <a:prstDash val="solid"/>
            </a:ln>
          </spPr>
          <dPt>
            <idx val="2"/>
            <spPr>
              <a:solidFill>
                <a:srgbClr val="3ECF8E"/>
              </a:solidFill>
              <a:ln>
                <a:prstDash val="solid"/>
              </a:ln>
            </spPr>
          </dPt>
          <dPt>
            <idx val="15"/>
            <spPr>
              <a:solidFill>
                <a:srgbClr val="3ECF8E"/>
              </a:solidFill>
              <a:ln>
                <a:prstDash val="solid"/>
              </a:ln>
            </spPr>
          </dPt>
          <cat>
            <numRef>
              <f>'Ринок'!$A$95:$A$110</f>
            </numRef>
          </cat>
          <val>
            <numRef>
              <f>'Ринок'!$B$95:$B$110</f>
            </numRef>
          </val>
        </ser>
        <dLbls>
          <numFmt formatCode="#,##0"/>
          <txPr>
            <a:bodyPr vert="horz"/>
            <a:p>
              <a:pPr>
                <a:defRPr sz="900">
                  <a:solidFill>
                    <a:srgbClr val="404040"/>
                  </a:solidFill>
                </a:defRPr>
              </a:pPr>
              <a:endParaRPr sz="900">
                <a:solidFill>
                  <a:srgbClr val="404040"/>
                </a:solidFill>
              </a:endParaRPr>
            </a:p>
          </txPr>
          <dLblPos val="outEnd"/>
          <showLegendKey val="0"/>
          <showVal val="1"/>
          <showCatName val="0"/>
          <showSerName val="0"/>
          <showPercent val="0"/>
          <showBubbleSize val="0"/>
        </dLbls>
        <gapWidth val="60"/>
        <axId val="10"/>
        <axId val="100"/>
      </barChart>
      <catAx>
        <axId val="10"/>
        <scaling>
          <orientation val="maxMin"/>
        </scaling>
        <delete val="0"/>
        <axPos val="l"/>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0"/>
        <lblOffset val="100"/>
      </catAx>
      <valAx>
        <axId val="100"/>
        <scaling>
          <orientation val="minMax"/>
        </scaling>
        <delete val="0"/>
        <axPos val="l"/>
        <majorGridlines>
          <spPr>
            <a:ln>
              <a:solidFill>
                <a:srgbClr val="D9D9D9"/>
              </a:solidFill>
              <a:prstDash val="solid"/>
            </a:ln>
          </spPr>
        </majorGridlines>
        <numFmt formatCode="#,##0" sourceLinked="0"/>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
        <crosses val="max"/>
      </valAx>
    </plotArea>
    <plotVisOnly val="1"/>
    <dispBlanksAs val="gap"/>
  </chart>
  <spPr>
    <a:solidFill>
      <a:srgbClr val="FFFFFF"/>
    </a:solidFill>
    <a:ln>
      <a:noFill/>
      <a:prstDash val="solid"/>
    </a:ln>
  </spPr>
</chartSpace>
</file>

<file path=xl/charts/chart10.xml><?xml version="1.0" encoding="utf-8"?>
<chartSpace xmlns:a="http://schemas.openxmlformats.org/drawingml/2006/main" xmlns="http://schemas.openxmlformats.org/drawingml/2006/chart">
  <chart>
    <title>
      <tx>
        <rich>
          <a:bodyPr/>
          <a:p>
            <a:pPr>
              <a:defRPr sz="1200" b="1">
                <a:solidFill>
                  <a:srgbClr val="1F3864"/>
                </a:solidFill>
              </a:defRPr>
            </a:pPr>
            <a:r>
              <a:t>Структура ринку за процедурами</a:t>
            </a:r>
          </a:p>
        </rich>
      </tx>
      <overlay val="0"/>
    </title>
    <plotArea>
      <pieChart>
        <varyColors val="1"/>
        <ser>
          <idx val="0"/>
          <order val="0"/>
          <tx>
            <strRef>
              <f>'Ринок'!B118</f>
            </strRef>
          </tx>
          <spPr>
            <a:ln>
              <a:prstDash val="solid"/>
            </a:ln>
          </spPr>
          <dPt>
            <idx val="0"/>
            <spPr>
              <a:solidFill>
                <a:srgbClr val="3D7EFF"/>
              </a:solidFill>
              <a:ln>
                <a:prstDash val="solid"/>
              </a:ln>
            </spPr>
          </dPt>
          <dPt>
            <idx val="1"/>
            <spPr>
              <a:solidFill>
                <a:srgbClr val="3ECF8E"/>
              </a:solidFill>
              <a:ln>
                <a:prstDash val="solid"/>
              </a:ln>
            </spPr>
          </dPt>
          <dPt>
            <idx val="2"/>
            <spPr>
              <a:solidFill>
                <a:srgbClr val="F0B429"/>
              </a:solidFill>
              <a:ln>
                <a:prstDash val="solid"/>
              </a:ln>
            </spPr>
          </dPt>
          <dPt>
            <idx val="3"/>
            <spPr>
              <a:solidFill>
                <a:srgbClr val="A78BFA"/>
              </a:solidFill>
              <a:ln>
                <a:prstDash val="solid"/>
              </a:ln>
            </spPr>
          </dPt>
          <cat>
            <numRef>
              <f>'Ринок'!$A$119:$A$122</f>
            </numRef>
          </cat>
          <val>
            <numRef>
              <f>'Ринок'!$B$119:$B$122</f>
            </numRef>
          </val>
        </ser>
        <dLbls>
          <txPr>
            <a:bodyPr vert="horz"/>
            <a:p>
              <a:pPr>
                <a:defRPr sz="900">
                  <a:solidFill>
                    <a:srgbClr val="404040"/>
                  </a:solidFill>
                </a:defRPr>
              </a:pPr>
              <a:endParaRPr sz="900">
                <a:solidFill>
                  <a:srgbClr val="404040"/>
                </a:solidFill>
              </a:endParaRPr>
            </a:p>
          </txPr>
          <dLblPos val="bestFit"/>
          <showLegendKey val="0"/>
          <showVal val="0"/>
          <showCatName val="0"/>
          <showSerName val="0"/>
          <showPercent val="1"/>
          <showBubbleSize val="0"/>
          <showLeaderLines val="1"/>
        </dLbls>
        <firstSliceAng val="0"/>
      </pieChart>
    </plotArea>
    <legend>
      <legendPos val="b"/>
      <overlay val="0"/>
      <txPr>
        <a:bodyPr vert="horz"/>
        <a:p>
          <a:pPr>
            <a:defRPr sz="900">
              <a:solidFill>
                <a:srgbClr val="404040"/>
              </a:solidFill>
            </a:defRPr>
          </a:pPr>
          <a:endParaRPr sz="900">
            <a:solidFill>
              <a:srgbClr val="404040"/>
            </a:solidFill>
          </a:endParaRPr>
        </a:p>
      </txPr>
    </legend>
    <plotVisOnly val="1"/>
    <dispBlanksAs val="gap"/>
  </chart>
  <spPr>
    <a:solidFill>
      <a:srgbClr val="FFFFFF"/>
    </a:solidFill>
    <a:ln>
      <a:noFill/>
      <a:prstDash val="solid"/>
    </a:ln>
  </spPr>
</chartSpace>
</file>

<file path=xl/charts/chart11.xml><?xml version="1.0" encoding="utf-8"?>
<chartSpace xmlns:a="http://schemas.openxmlformats.org/drawingml/2006/main" xmlns="http://schemas.openxmlformats.org/drawingml/2006/chart">
  <chart>
    <title>
      <tx>
        <rich>
          <a:bodyPr/>
          <a:p>
            <a:pPr>
              <a:defRPr sz="1200" b="1">
                <a:solidFill>
                  <a:srgbClr val="1F3864"/>
                </a:solidFill>
              </a:defRPr>
            </a:pPr>
            <a:r>
              <a:t>Структура ринку за галузями ДК021</a:t>
            </a:r>
          </a:p>
        </rich>
      </tx>
      <overlay val="0"/>
    </title>
    <plotArea>
      <pieChart>
        <varyColors val="1"/>
        <ser>
          <idx val="0"/>
          <order val="0"/>
          <tx>
            <strRef>
              <f>'Ринок'!B138</f>
            </strRef>
          </tx>
          <spPr>
            <a:ln>
              <a:prstDash val="solid"/>
            </a:ln>
          </spPr>
          <dPt>
            <idx val="0"/>
            <spPr>
              <a:solidFill>
                <a:srgbClr val="3D7EFF"/>
              </a:solidFill>
              <a:ln>
                <a:prstDash val="solid"/>
              </a:ln>
            </spPr>
          </dPt>
          <dPt>
            <idx val="1"/>
            <spPr>
              <a:solidFill>
                <a:srgbClr val="3ECF8E"/>
              </a:solidFill>
              <a:ln>
                <a:prstDash val="solid"/>
              </a:ln>
            </spPr>
          </dPt>
          <dPt>
            <idx val="2"/>
            <spPr>
              <a:solidFill>
                <a:srgbClr val="F0B429"/>
              </a:solidFill>
              <a:ln>
                <a:prstDash val="solid"/>
              </a:ln>
            </spPr>
          </dPt>
          <cat>
            <numRef>
              <f>'Ринок'!$A$139:$A$141</f>
            </numRef>
          </cat>
          <val>
            <numRef>
              <f>'Ринок'!$B$139:$B$141</f>
            </numRef>
          </val>
        </ser>
        <dLbls>
          <txPr>
            <a:bodyPr vert="horz"/>
            <a:p>
              <a:pPr>
                <a:defRPr sz="900">
                  <a:solidFill>
                    <a:srgbClr val="404040"/>
                  </a:solidFill>
                </a:defRPr>
              </a:pPr>
              <a:endParaRPr sz="900">
                <a:solidFill>
                  <a:srgbClr val="404040"/>
                </a:solidFill>
              </a:endParaRPr>
            </a:p>
          </txPr>
          <dLblPos val="bestFit"/>
          <showLegendKey val="0"/>
          <showVal val="0"/>
          <showCatName val="0"/>
          <showSerName val="0"/>
          <showPercent val="1"/>
          <showBubbleSize val="0"/>
          <showLeaderLines val="1"/>
        </dLbls>
        <firstSliceAng val="0"/>
      </pieChart>
    </plotArea>
    <legend>
      <legendPos val="b"/>
      <overlay val="0"/>
      <txPr>
        <a:bodyPr vert="horz"/>
        <a:p>
          <a:pPr>
            <a:defRPr sz="900">
              <a:solidFill>
                <a:srgbClr val="404040"/>
              </a:solidFill>
            </a:defRPr>
          </a:pPr>
          <a:endParaRPr sz="900">
            <a:solidFill>
              <a:srgbClr val="404040"/>
            </a:solidFill>
          </a:endParaRPr>
        </a:p>
      </txPr>
    </legend>
    <plotVisOnly val="1"/>
    <dispBlanksAs val="gap"/>
  </chart>
  <spPr>
    <a:solidFill>
      <a:srgbClr val="FFFFFF"/>
    </a:solidFill>
    <a:ln>
      <a:noFill/>
      <a:prstDash val="solid"/>
    </a:ln>
  </spPr>
</chartSpace>
</file>

<file path=xl/charts/chart12.xml><?xml version="1.0" encoding="utf-8"?>
<chartSpace xmlns:a="http://schemas.openxmlformats.org/drawingml/2006/main" xmlns="http://schemas.openxmlformats.org/drawingml/2006/chart">
  <chart>
    <title>
      <tx>
        <rich>
          <a:bodyPr/>
          <a:p>
            <a:pPr>
              <a:defRPr sz="1200" b="1">
                <a:solidFill>
                  <a:srgbClr val="1F3864"/>
                </a:solidFill>
              </a:defRPr>
            </a:pPr>
            <a:r>
              <a:t>Географія ринку</a:t>
            </a:r>
          </a:p>
        </rich>
      </tx>
      <overlay val="0"/>
    </title>
    <plotArea>
      <barChart>
        <barDir val="bar"/>
        <grouping val="clustered"/>
        <ser>
          <idx val="0"/>
          <order val="0"/>
          <tx>
            <strRef>
              <f>'Ринок'!B158</f>
            </strRef>
          </tx>
          <spPr>
            <a:solidFill>
              <a:srgbClr val="3D7EFF"/>
            </a:solidFill>
            <a:ln>
              <a:noFill/>
              <a:prstDash val="solid"/>
            </a:ln>
          </spPr>
          <cat>
            <numRef>
              <f>'Ринок'!$A$159</f>
            </numRef>
          </cat>
          <val>
            <numRef>
              <f>'Ринок'!$B$159</f>
            </numRef>
          </val>
        </ser>
        <dLbls>
          <numFmt formatCode="#,##0"/>
          <txPr>
            <a:bodyPr vert="horz"/>
            <a:p>
              <a:pPr>
                <a:defRPr sz="900">
                  <a:solidFill>
                    <a:srgbClr val="404040"/>
                  </a:solidFill>
                </a:defRPr>
              </a:pPr>
              <a:endParaRPr sz="900">
                <a:solidFill>
                  <a:srgbClr val="404040"/>
                </a:solidFill>
              </a:endParaRPr>
            </a:p>
          </txPr>
          <dLblPos val="outEnd"/>
          <showLegendKey val="0"/>
          <showVal val="1"/>
          <showCatName val="0"/>
          <showSerName val="0"/>
          <showPercent val="0"/>
          <showBubbleSize val="0"/>
        </dLbls>
        <gapWidth val="150"/>
        <axId val="10"/>
        <axId val="100"/>
      </barChart>
      <catAx>
        <axId val="10"/>
        <scaling>
          <orientation val="maxMin"/>
        </scaling>
        <delete val="0"/>
        <axPos val="l"/>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0"/>
        <lblOffset val="100"/>
      </catAx>
      <valAx>
        <axId val="100"/>
        <scaling>
          <orientation val="minMax"/>
        </scaling>
        <delete val="0"/>
        <axPos val="l"/>
        <majorGridlines>
          <spPr>
            <a:ln>
              <a:solidFill>
                <a:srgbClr val="D9D9D9"/>
              </a:solidFill>
              <a:prstDash val="solid"/>
            </a:ln>
          </spPr>
        </majorGridlines>
        <numFmt formatCode="#,##0" sourceLinked="0"/>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
        <crosses val="max"/>
      </valAx>
    </plotArea>
    <plotVisOnly val="1"/>
    <dispBlanksAs val="gap"/>
  </chart>
  <spPr>
    <a:solidFill>
      <a:srgbClr val="FFFFFF"/>
    </a:solidFill>
    <a:ln>
      <a:noFill/>
      <a:prstDash val="solid"/>
    </a:ln>
  </spPr>
</chartSpace>
</file>

<file path=xl/charts/chart13.xml><?xml version="1.0" encoding="utf-8"?>
<chartSpace xmlns:a="http://schemas.openxmlformats.org/drawingml/2006/main" xmlns="http://schemas.openxmlformats.org/drawingml/2006/chart">
  <chart>
    <title>
      <tx>
        <rich>
          <a:bodyPr/>
          <a:p>
            <a:pPr>
              <a:defRPr sz="1200" b="1">
                <a:solidFill>
                  <a:srgbClr val="1F3864"/>
                </a:solidFill>
              </a:defRPr>
            </a:pPr>
            <a:r>
              <a:t>Розподіл економії на конкурентних закупівлях</a:t>
            </a:r>
          </a:p>
        </rich>
      </tx>
      <overlay val="0"/>
    </title>
    <plotArea>
      <barChart>
        <barDir val="col"/>
        <grouping val="clustered"/>
        <ser>
          <idx val="0"/>
          <order val="0"/>
          <tx>
            <strRef>
              <f>'Ринок'!B175</f>
            </strRef>
          </tx>
          <spPr>
            <a:solidFill>
              <a:srgbClr val="3D7EFF"/>
            </a:solidFill>
            <a:ln>
              <a:noFill/>
              <a:prstDash val="solid"/>
            </a:ln>
          </spPr>
          <cat>
            <numRef>
              <f>'Ринок'!$A$176:$A$182</f>
            </numRef>
          </cat>
          <val>
            <numRef>
              <f>'Ринок'!$B$176:$B$182</f>
            </numRef>
          </val>
        </ser>
        <dLbls>
          <numFmt formatCode="#,##0"/>
          <txPr>
            <a:bodyPr vert="horz"/>
            <a:p>
              <a:pPr>
                <a:defRPr sz="900">
                  <a:solidFill>
                    <a:srgbClr val="404040"/>
                  </a:solidFill>
                </a:defRPr>
              </a:pPr>
              <a:endParaRPr sz="900">
                <a:solidFill>
                  <a:srgbClr val="404040"/>
                </a:solidFill>
              </a:endParaRPr>
            </a:p>
          </txPr>
          <dLblPos val="outEnd"/>
          <showLegendKey val="0"/>
          <showVal val="1"/>
          <showCatName val="0"/>
          <showSerName val="0"/>
          <showPercent val="0"/>
          <showBubbleSize val="0"/>
        </dLbls>
        <gapWidth val="60"/>
        <axId val="10"/>
        <axId val="100"/>
      </barChart>
      <catAx>
        <axId val="10"/>
        <scaling>
          <orientation val="minMax"/>
        </scaling>
        <delete val="0"/>
        <axPos val="l"/>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0"/>
        <lblOffset val="100"/>
      </catAx>
      <valAx>
        <axId val="100"/>
        <scaling>
          <orientation val="minMax"/>
        </scaling>
        <delete val="0"/>
        <axPos val="l"/>
        <majorGridlines>
          <spPr>
            <a:ln>
              <a:solidFill>
                <a:srgbClr val="D9D9D9"/>
              </a:solidFill>
              <a:prstDash val="solid"/>
            </a:ln>
          </spPr>
        </majorGridlines>
        <numFmt formatCode="#,##0" sourceLinked="0"/>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
      </valAx>
    </plotArea>
    <plotVisOnly val="1"/>
    <dispBlanksAs val="gap"/>
  </chart>
  <spPr>
    <a:solidFill>
      <a:srgbClr val="FFFFFF"/>
    </a:solidFill>
    <a:ln>
      <a:noFill/>
      <a:prstDash val="solid"/>
    </a:ln>
  </spPr>
</chartSpace>
</file>

<file path=xl/charts/chart14.xml><?xml version="1.0" encoding="utf-8"?>
<chartSpace xmlns:a="http://schemas.openxmlformats.org/drawingml/2006/main" xmlns="http://schemas.openxmlformats.org/drawingml/2006/chart">
  <chart>
    <title>
      <tx>
        <rich>
          <a:bodyPr/>
          <a:p>
            <a:pPr>
              <a:defRPr sz="1200" b="1">
                <a:solidFill>
                  <a:srgbClr val="1F3864"/>
                </a:solidFill>
              </a:defRPr>
            </a:pPr>
            <a:r>
              <a:t>Економія за рівнем конкуренції</a:t>
            </a:r>
          </a:p>
        </rich>
      </tx>
      <overlay val="0"/>
    </title>
    <plotArea>
      <barChart>
        <barDir val="col"/>
        <grouping val="clustered"/>
        <ser>
          <idx val="0"/>
          <order val="0"/>
          <tx>
            <strRef>
              <f>'Ринок'!B195</f>
            </strRef>
          </tx>
          <spPr>
            <a:solidFill>
              <a:srgbClr val="3D7EFF"/>
            </a:solidFill>
            <a:ln>
              <a:noFill/>
              <a:prstDash val="solid"/>
            </a:ln>
          </spPr>
          <cat>
            <numRef>
              <f>'Ринок'!$A$196:$A$198</f>
            </numRef>
          </cat>
          <val>
            <numRef>
              <f>'Ринок'!$B$196:$B$198</f>
            </numRef>
          </val>
        </ser>
        <dLbls>
          <numFmt formatCode="0.0&quot;%&quot;"/>
          <txPr>
            <a:bodyPr vert="horz"/>
            <a:p>
              <a:pPr>
                <a:defRPr sz="900">
                  <a:solidFill>
                    <a:srgbClr val="404040"/>
                  </a:solidFill>
                </a:defRPr>
              </a:pPr>
              <a:endParaRPr sz="900">
                <a:solidFill>
                  <a:srgbClr val="404040"/>
                </a:solidFill>
              </a:endParaRPr>
            </a:p>
          </txPr>
          <dLblPos val="outEnd"/>
          <showLegendKey val="0"/>
          <showVal val="1"/>
          <showCatName val="0"/>
          <showSerName val="0"/>
          <showPercent val="0"/>
          <showBubbleSize val="0"/>
        </dLbls>
        <gapWidth val="150"/>
        <axId val="10"/>
        <axId val="100"/>
      </barChart>
      <catAx>
        <axId val="10"/>
        <scaling>
          <orientation val="minMax"/>
        </scaling>
        <delete val="0"/>
        <axPos val="l"/>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0"/>
        <lblOffset val="100"/>
      </catAx>
      <valAx>
        <axId val="100"/>
        <scaling>
          <orientation val="minMax"/>
        </scaling>
        <delete val="0"/>
        <axPos val="l"/>
        <majorGridlines>
          <spPr>
            <a:ln>
              <a:solidFill>
                <a:srgbClr val="D9D9D9"/>
              </a:solidFill>
              <a:prstDash val="solid"/>
            </a:ln>
          </spPr>
        </majorGridlines>
        <numFmt formatCode="0.0&quot;%&quot;" sourceLinked="0"/>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
      </valAx>
    </plotArea>
    <plotVisOnly val="1"/>
    <dispBlanksAs val="gap"/>
  </chart>
  <spPr>
    <a:solidFill>
      <a:srgbClr val="FFFFFF"/>
    </a:solidFill>
    <a:ln>
      <a:noFill/>
      <a:prstDash val="solid"/>
    </a:ln>
  </spPr>
</chartSpace>
</file>

<file path=xl/charts/chart15.xml><?xml version="1.0" encoding="utf-8"?>
<chartSpace xmlns:a="http://schemas.openxmlformats.org/drawingml/2006/main" xmlns="http://schemas.openxmlformats.org/drawingml/2006/chart">
  <chart>
    <title>
      <tx>
        <rich>
          <a:bodyPr/>
          <a:p>
            <a:pPr>
              <a:defRPr sz="1200" b="1">
                <a:solidFill>
                  <a:srgbClr val="1F3864"/>
                </a:solidFill>
              </a:defRPr>
            </a:pPr>
            <a:r>
              <a:t>Сума угод: факт і прогноз</a:t>
            </a:r>
          </a:p>
        </rich>
      </tx>
      <overlay val="0"/>
    </title>
    <plotArea>
      <lineChart>
        <grouping val="standard"/>
        <ser>
          <idx val="0"/>
          <order val="0"/>
          <tx>
            <strRef>
              <f>'Прогнозування'!B29</f>
            </strRef>
          </tx>
          <spPr>
            <a:ln w="22000">
              <a:solidFill>
                <a:srgbClr val="3D7EFF"/>
              </a:solidFill>
              <a:prstDash val="solid"/>
            </a:ln>
          </spPr>
          <marker>
            <symbol val="circle"/>
            <size val="5"/>
            <spPr>
              <a:solidFill>
                <a:srgbClr val="3D7EFF"/>
              </a:solidFill>
              <a:ln>
                <a:prstDash val="solid"/>
              </a:ln>
            </spPr>
          </marker>
          <cat>
            <numRef>
              <f>'Прогнозування'!$A$30:$A$44</f>
            </numRef>
          </cat>
          <val>
            <numRef>
              <f>'Прогнозування'!$B$30:$B$44</f>
            </numRef>
          </val>
          <smooth val="0"/>
        </ser>
        <ser>
          <idx val="1"/>
          <order val="1"/>
          <tx>
            <strRef>
              <f>'Прогнозування'!C29</f>
            </strRef>
          </tx>
          <spPr>
            <a:ln w="22000">
              <a:solidFill>
                <a:srgbClr val="3ECF8E"/>
              </a:solidFill>
              <a:prstDash val="solid"/>
            </a:ln>
          </spPr>
          <marker>
            <symbol val="circle"/>
            <size val="5"/>
            <spPr>
              <a:solidFill>
                <a:srgbClr val="3ECF8E"/>
              </a:solidFill>
              <a:ln>
                <a:prstDash val="solid"/>
              </a:ln>
            </spPr>
          </marker>
          <cat>
            <numRef>
              <f>'Прогнозування'!$A$30:$A$44</f>
            </numRef>
          </cat>
          <val>
            <numRef>
              <f>'Прогнозування'!$C$30:$C$44</f>
            </numRef>
          </val>
          <smooth val="0"/>
        </ser>
        <ser>
          <idx val="2"/>
          <order val="2"/>
          <tx>
            <strRef>
              <f>'Прогнозування'!D29</f>
            </strRef>
          </tx>
          <spPr>
            <a:ln w="22000">
              <a:solidFill>
                <a:srgbClr val="F0B429"/>
              </a:solidFill>
              <a:prstDash val="solid"/>
            </a:ln>
          </spPr>
          <marker>
            <symbol val="circle"/>
            <size val="5"/>
            <spPr>
              <a:solidFill>
                <a:srgbClr val="F0B429"/>
              </a:solidFill>
              <a:ln>
                <a:prstDash val="solid"/>
              </a:ln>
            </spPr>
          </marker>
          <cat>
            <numRef>
              <f>'Прогнозування'!$A$30:$A$44</f>
            </numRef>
          </cat>
          <val>
            <numRef>
              <f>'Прогнозування'!$D$30:$D$44</f>
            </numRef>
          </val>
          <smooth val="0"/>
        </ser>
        <ser>
          <idx val="3"/>
          <order val="3"/>
          <tx>
            <strRef>
              <f>'Прогнозування'!E29</f>
            </strRef>
          </tx>
          <spPr>
            <a:ln w="22000">
              <a:solidFill>
                <a:srgbClr val="A78BFA"/>
              </a:solidFill>
              <a:prstDash val="solid"/>
            </a:ln>
          </spPr>
          <marker>
            <symbol val="circle"/>
            <size val="5"/>
            <spPr>
              <a:solidFill>
                <a:srgbClr val="A78BFA"/>
              </a:solidFill>
              <a:ln>
                <a:prstDash val="solid"/>
              </a:ln>
            </spPr>
          </marker>
          <cat>
            <numRef>
              <f>'Прогнозування'!$A$30:$A$44</f>
            </numRef>
          </cat>
          <val>
            <numRef>
              <f>'Прогнозування'!$E$30:$E$44</f>
            </numRef>
          </val>
          <smooth val="0"/>
        </ser>
        <ser>
          <idx val="4"/>
          <order val="4"/>
          <tx>
            <strRef>
              <f>'Прогнозування'!F29</f>
            </strRef>
          </tx>
          <spPr>
            <a:ln w="22000">
              <a:solidFill>
                <a:srgbClr val="22D3EE"/>
              </a:solidFill>
              <a:prstDash val="solid"/>
            </a:ln>
          </spPr>
          <marker>
            <symbol val="circle"/>
            <size val="5"/>
            <spPr>
              <a:solidFill>
                <a:srgbClr val="22D3EE"/>
              </a:solidFill>
              <a:ln>
                <a:prstDash val="solid"/>
              </a:ln>
            </spPr>
          </marker>
          <cat>
            <numRef>
              <f>'Прогнозування'!$A$30:$A$44</f>
            </numRef>
          </cat>
          <val>
            <numRef>
              <f>'Прогнозування'!$F$30:$F$44</f>
            </numRef>
          </val>
          <smooth val="0"/>
        </ser>
        <axId val="10"/>
        <axId val="100"/>
      </lineChart>
      <catAx>
        <axId val="10"/>
        <scaling>
          <orientation val="minMax"/>
        </scaling>
        <delete val="0"/>
        <axPos val="l"/>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0"/>
        <lblOffset val="100"/>
      </catAx>
      <valAx>
        <axId val="100"/>
        <scaling>
          <orientation val="minMax"/>
        </scaling>
        <delete val="0"/>
        <axPos val="l"/>
        <majorGridlines>
          <spPr>
            <a:ln>
              <a:solidFill>
                <a:srgbClr val="D9D9D9"/>
              </a:solidFill>
              <a:prstDash val="solid"/>
            </a:ln>
          </spPr>
        </majorGridlines>
        <numFmt formatCode="#,##0" sourceLinked="0"/>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
      </valAx>
    </plotArea>
    <legend>
      <legendPos val="b"/>
      <overlay val="0"/>
      <txPr>
        <a:bodyPr vert="horz"/>
        <a:p>
          <a:pPr>
            <a:defRPr sz="900">
              <a:solidFill>
                <a:srgbClr val="404040"/>
              </a:solidFill>
            </a:defRPr>
          </a:pPr>
          <a:endParaRPr sz="900">
            <a:solidFill>
              <a:srgbClr val="404040"/>
            </a:solidFill>
          </a:endParaRPr>
        </a:p>
      </txPr>
    </legend>
    <plotVisOnly val="1"/>
    <dispBlanksAs val="gap"/>
  </chart>
  <spPr>
    <a:solidFill>
      <a:srgbClr val="FFFFFF"/>
    </a:solidFill>
    <a:ln>
      <a:noFill/>
      <a:prstDash val="solid"/>
    </a:ln>
  </spPr>
</chartSpace>
</file>

<file path=xl/charts/chart16.xml><?xml version="1.0" encoding="utf-8"?>
<chartSpace xmlns:a="http://schemas.openxmlformats.org/drawingml/2006/main" xmlns="http://schemas.openxmlformats.org/drawingml/2006/chart">
  <chart>
    <title>
      <tx>
        <rich>
          <a:bodyPr/>
          <a:p>
            <a:pPr>
              <a:defRPr sz="1200" b="1">
                <a:solidFill>
                  <a:srgbClr val="1F3864"/>
                </a:solidFill>
              </a:defRPr>
            </a:pPr>
            <a:r>
              <a:t>Очікувана вартість: факт і прогноз</a:t>
            </a:r>
          </a:p>
        </rich>
      </tx>
      <overlay val="0"/>
    </title>
    <plotArea>
      <lineChart>
        <grouping val="standard"/>
        <ser>
          <idx val="0"/>
          <order val="0"/>
          <tx>
            <strRef>
              <f>'Прогнозування'!B49</f>
            </strRef>
          </tx>
          <spPr>
            <a:ln w="22000">
              <a:solidFill>
                <a:srgbClr val="3D7EFF"/>
              </a:solidFill>
              <a:prstDash val="solid"/>
            </a:ln>
          </spPr>
          <marker>
            <symbol val="circle"/>
            <size val="5"/>
            <spPr>
              <a:solidFill>
                <a:srgbClr val="3D7EFF"/>
              </a:solidFill>
              <a:ln>
                <a:prstDash val="solid"/>
              </a:ln>
            </spPr>
          </marker>
          <cat>
            <numRef>
              <f>'Прогнозування'!$A$50:$A$64</f>
            </numRef>
          </cat>
          <val>
            <numRef>
              <f>'Прогнозування'!$B$50:$B$64</f>
            </numRef>
          </val>
          <smooth val="0"/>
        </ser>
        <ser>
          <idx val="1"/>
          <order val="1"/>
          <tx>
            <strRef>
              <f>'Прогнозування'!C49</f>
            </strRef>
          </tx>
          <spPr>
            <a:ln w="22000">
              <a:solidFill>
                <a:srgbClr val="3ECF8E"/>
              </a:solidFill>
              <a:prstDash val="solid"/>
            </a:ln>
          </spPr>
          <marker>
            <symbol val="circle"/>
            <size val="5"/>
            <spPr>
              <a:solidFill>
                <a:srgbClr val="3ECF8E"/>
              </a:solidFill>
              <a:ln>
                <a:prstDash val="solid"/>
              </a:ln>
            </spPr>
          </marker>
          <cat>
            <numRef>
              <f>'Прогнозування'!$A$50:$A$64</f>
            </numRef>
          </cat>
          <val>
            <numRef>
              <f>'Прогнозування'!$C$50:$C$64</f>
            </numRef>
          </val>
          <smooth val="0"/>
        </ser>
        <ser>
          <idx val="2"/>
          <order val="2"/>
          <tx>
            <strRef>
              <f>'Прогнозування'!D49</f>
            </strRef>
          </tx>
          <spPr>
            <a:ln w="22000">
              <a:solidFill>
                <a:srgbClr val="F0B429"/>
              </a:solidFill>
              <a:prstDash val="solid"/>
            </a:ln>
          </spPr>
          <marker>
            <symbol val="circle"/>
            <size val="5"/>
            <spPr>
              <a:solidFill>
                <a:srgbClr val="F0B429"/>
              </a:solidFill>
              <a:ln>
                <a:prstDash val="solid"/>
              </a:ln>
            </spPr>
          </marker>
          <cat>
            <numRef>
              <f>'Прогнозування'!$A$50:$A$64</f>
            </numRef>
          </cat>
          <val>
            <numRef>
              <f>'Прогнозування'!$D$50:$D$64</f>
            </numRef>
          </val>
          <smooth val="0"/>
        </ser>
        <ser>
          <idx val="3"/>
          <order val="3"/>
          <tx>
            <strRef>
              <f>'Прогнозування'!E49</f>
            </strRef>
          </tx>
          <spPr>
            <a:ln w="22000">
              <a:solidFill>
                <a:srgbClr val="A78BFA"/>
              </a:solidFill>
              <a:prstDash val="solid"/>
            </a:ln>
          </spPr>
          <marker>
            <symbol val="circle"/>
            <size val="5"/>
            <spPr>
              <a:solidFill>
                <a:srgbClr val="A78BFA"/>
              </a:solidFill>
              <a:ln>
                <a:prstDash val="solid"/>
              </a:ln>
            </spPr>
          </marker>
          <cat>
            <numRef>
              <f>'Прогнозування'!$A$50:$A$64</f>
            </numRef>
          </cat>
          <val>
            <numRef>
              <f>'Прогнозування'!$E$50:$E$64</f>
            </numRef>
          </val>
          <smooth val="0"/>
        </ser>
        <ser>
          <idx val="4"/>
          <order val="4"/>
          <tx>
            <strRef>
              <f>'Прогнозування'!F49</f>
            </strRef>
          </tx>
          <spPr>
            <a:ln w="22000">
              <a:solidFill>
                <a:srgbClr val="22D3EE"/>
              </a:solidFill>
              <a:prstDash val="solid"/>
            </a:ln>
          </spPr>
          <marker>
            <symbol val="circle"/>
            <size val="5"/>
            <spPr>
              <a:solidFill>
                <a:srgbClr val="22D3EE"/>
              </a:solidFill>
              <a:ln>
                <a:prstDash val="solid"/>
              </a:ln>
            </spPr>
          </marker>
          <cat>
            <numRef>
              <f>'Прогнозування'!$A$50:$A$64</f>
            </numRef>
          </cat>
          <val>
            <numRef>
              <f>'Прогнозування'!$F$50:$F$64</f>
            </numRef>
          </val>
          <smooth val="0"/>
        </ser>
        <axId val="10"/>
        <axId val="100"/>
      </lineChart>
      <catAx>
        <axId val="10"/>
        <scaling>
          <orientation val="minMax"/>
        </scaling>
        <delete val="0"/>
        <axPos val="l"/>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0"/>
        <lblOffset val="100"/>
      </catAx>
      <valAx>
        <axId val="100"/>
        <scaling>
          <orientation val="minMax"/>
        </scaling>
        <delete val="0"/>
        <axPos val="l"/>
        <majorGridlines>
          <spPr>
            <a:ln>
              <a:solidFill>
                <a:srgbClr val="D9D9D9"/>
              </a:solidFill>
              <a:prstDash val="solid"/>
            </a:ln>
          </spPr>
        </majorGridlines>
        <numFmt formatCode="#,##0" sourceLinked="0"/>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
      </valAx>
    </plotArea>
    <legend>
      <legendPos val="b"/>
      <overlay val="0"/>
      <txPr>
        <a:bodyPr vert="horz"/>
        <a:p>
          <a:pPr>
            <a:defRPr sz="900">
              <a:solidFill>
                <a:srgbClr val="404040"/>
              </a:solidFill>
            </a:defRPr>
          </a:pPr>
          <a:endParaRPr sz="900">
            <a:solidFill>
              <a:srgbClr val="404040"/>
            </a:solidFill>
          </a:endParaRPr>
        </a:p>
      </txPr>
    </legend>
    <plotVisOnly val="1"/>
    <dispBlanksAs val="gap"/>
  </chart>
  <spPr>
    <a:solidFill>
      <a:srgbClr val="FFFFFF"/>
    </a:solidFill>
    <a:ln>
      <a:noFill/>
      <a:prstDash val="solid"/>
    </a:ln>
  </spPr>
</chartSpace>
</file>

<file path=xl/charts/chart17.xml><?xml version="1.0" encoding="utf-8"?>
<chartSpace xmlns:a="http://schemas.openxmlformats.org/drawingml/2006/main" xmlns="http://schemas.openxmlformats.org/drawingml/2006/chart">
  <chart>
    <title>
      <tx>
        <rich>
          <a:bodyPr/>
          <a:p>
            <a:pPr>
              <a:defRPr sz="1200" b="1">
                <a:solidFill>
                  <a:srgbClr val="1F3864"/>
                </a:solidFill>
              </a:defRPr>
            </a:pPr>
            <a:r>
              <a:t>Закупівель: факт і прогноз</a:t>
            </a:r>
          </a:p>
        </rich>
      </tx>
      <overlay val="0"/>
    </title>
    <plotArea>
      <lineChart>
        <grouping val="standard"/>
        <ser>
          <idx val="0"/>
          <order val="0"/>
          <tx>
            <strRef>
              <f>'Прогнозування'!B69</f>
            </strRef>
          </tx>
          <spPr>
            <a:ln w="22000">
              <a:solidFill>
                <a:srgbClr val="3D7EFF"/>
              </a:solidFill>
              <a:prstDash val="solid"/>
            </a:ln>
          </spPr>
          <marker>
            <symbol val="circle"/>
            <size val="5"/>
            <spPr>
              <a:solidFill>
                <a:srgbClr val="3D7EFF"/>
              </a:solidFill>
              <a:ln>
                <a:prstDash val="solid"/>
              </a:ln>
            </spPr>
          </marker>
          <cat>
            <numRef>
              <f>'Прогнозування'!$A$70:$A$84</f>
            </numRef>
          </cat>
          <val>
            <numRef>
              <f>'Прогнозування'!$B$70:$B$84</f>
            </numRef>
          </val>
          <smooth val="0"/>
        </ser>
        <ser>
          <idx val="1"/>
          <order val="1"/>
          <tx>
            <strRef>
              <f>'Прогнозування'!C69</f>
            </strRef>
          </tx>
          <spPr>
            <a:ln w="22000">
              <a:solidFill>
                <a:srgbClr val="3ECF8E"/>
              </a:solidFill>
              <a:prstDash val="solid"/>
            </a:ln>
          </spPr>
          <marker>
            <symbol val="circle"/>
            <size val="5"/>
            <spPr>
              <a:solidFill>
                <a:srgbClr val="3ECF8E"/>
              </a:solidFill>
              <a:ln>
                <a:prstDash val="solid"/>
              </a:ln>
            </spPr>
          </marker>
          <cat>
            <numRef>
              <f>'Прогнозування'!$A$70:$A$84</f>
            </numRef>
          </cat>
          <val>
            <numRef>
              <f>'Прогнозування'!$C$70:$C$84</f>
            </numRef>
          </val>
          <smooth val="0"/>
        </ser>
        <ser>
          <idx val="2"/>
          <order val="2"/>
          <tx>
            <strRef>
              <f>'Прогнозування'!D69</f>
            </strRef>
          </tx>
          <spPr>
            <a:ln w="22000">
              <a:solidFill>
                <a:srgbClr val="F0B429"/>
              </a:solidFill>
              <a:prstDash val="solid"/>
            </a:ln>
          </spPr>
          <marker>
            <symbol val="circle"/>
            <size val="5"/>
            <spPr>
              <a:solidFill>
                <a:srgbClr val="F0B429"/>
              </a:solidFill>
              <a:ln>
                <a:prstDash val="solid"/>
              </a:ln>
            </spPr>
          </marker>
          <cat>
            <numRef>
              <f>'Прогнозування'!$A$70:$A$84</f>
            </numRef>
          </cat>
          <val>
            <numRef>
              <f>'Прогнозування'!$D$70:$D$84</f>
            </numRef>
          </val>
          <smooth val="0"/>
        </ser>
        <ser>
          <idx val="3"/>
          <order val="3"/>
          <tx>
            <strRef>
              <f>'Прогнозування'!E69</f>
            </strRef>
          </tx>
          <spPr>
            <a:ln w="22000">
              <a:solidFill>
                <a:srgbClr val="A78BFA"/>
              </a:solidFill>
              <a:prstDash val="solid"/>
            </a:ln>
          </spPr>
          <marker>
            <symbol val="circle"/>
            <size val="5"/>
            <spPr>
              <a:solidFill>
                <a:srgbClr val="A78BFA"/>
              </a:solidFill>
              <a:ln>
                <a:prstDash val="solid"/>
              </a:ln>
            </spPr>
          </marker>
          <cat>
            <numRef>
              <f>'Прогнозування'!$A$70:$A$84</f>
            </numRef>
          </cat>
          <val>
            <numRef>
              <f>'Прогнозування'!$E$70:$E$84</f>
            </numRef>
          </val>
          <smooth val="0"/>
        </ser>
        <ser>
          <idx val="4"/>
          <order val="4"/>
          <tx>
            <strRef>
              <f>'Прогнозування'!F69</f>
            </strRef>
          </tx>
          <spPr>
            <a:ln w="22000">
              <a:solidFill>
                <a:srgbClr val="22D3EE"/>
              </a:solidFill>
              <a:prstDash val="solid"/>
            </a:ln>
          </spPr>
          <marker>
            <symbol val="circle"/>
            <size val="5"/>
            <spPr>
              <a:solidFill>
                <a:srgbClr val="22D3EE"/>
              </a:solidFill>
              <a:ln>
                <a:prstDash val="solid"/>
              </a:ln>
            </spPr>
          </marker>
          <cat>
            <numRef>
              <f>'Прогнозування'!$A$70:$A$84</f>
            </numRef>
          </cat>
          <val>
            <numRef>
              <f>'Прогнозування'!$F$70:$F$84</f>
            </numRef>
          </val>
          <smooth val="0"/>
        </ser>
        <axId val="10"/>
        <axId val="100"/>
      </lineChart>
      <catAx>
        <axId val="10"/>
        <scaling>
          <orientation val="minMax"/>
        </scaling>
        <delete val="0"/>
        <axPos val="l"/>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0"/>
        <lblOffset val="100"/>
      </catAx>
      <valAx>
        <axId val="100"/>
        <scaling>
          <orientation val="minMax"/>
        </scaling>
        <delete val="0"/>
        <axPos val="l"/>
        <majorGridlines>
          <spPr>
            <a:ln>
              <a:solidFill>
                <a:srgbClr val="D9D9D9"/>
              </a:solidFill>
              <a:prstDash val="solid"/>
            </a:ln>
          </spPr>
        </majorGridlines>
        <numFmt formatCode="#,##0" sourceLinked="0"/>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
      </valAx>
    </plotArea>
    <legend>
      <legendPos val="b"/>
      <overlay val="0"/>
      <txPr>
        <a:bodyPr vert="horz"/>
        <a:p>
          <a:pPr>
            <a:defRPr sz="900">
              <a:solidFill>
                <a:srgbClr val="404040"/>
              </a:solidFill>
            </a:defRPr>
          </a:pPr>
          <a:endParaRPr sz="900">
            <a:solidFill>
              <a:srgbClr val="404040"/>
            </a:solidFill>
          </a:endParaRPr>
        </a:p>
      </txPr>
    </legend>
    <plotVisOnly val="1"/>
    <dispBlanksAs val="gap"/>
  </chart>
  <spPr>
    <a:solidFill>
      <a:srgbClr val="FFFFFF"/>
    </a:solidFill>
    <a:ln>
      <a:noFill/>
      <a:prstDash val="solid"/>
    </a:ln>
  </spPr>
</chartSpace>
</file>

<file path=xl/charts/chart18.xml><?xml version="1.0" encoding="utf-8"?>
<chartSpace xmlns:a="http://schemas.openxmlformats.org/drawingml/2006/main" xmlns="http://schemas.openxmlformats.org/drawingml/2006/chart">
  <chart>
    <title>
      <tx>
        <rich>
          <a:bodyPr/>
          <a:p>
            <a:pPr>
              <a:defRPr sz="1200" b="1">
                <a:solidFill>
                  <a:srgbClr val="1F3864"/>
                </a:solidFill>
              </a:defRPr>
            </a:pPr>
            <a:r>
              <a:t>Сума наших ТОВ: факт і прогноз</a:t>
            </a:r>
          </a:p>
        </rich>
      </tx>
      <overlay val="0"/>
    </title>
    <plotArea>
      <lineChart>
        <grouping val="standard"/>
        <ser>
          <idx val="0"/>
          <order val="0"/>
          <tx>
            <strRef>
              <f>'Прогнозування'!B89</f>
            </strRef>
          </tx>
          <spPr>
            <a:ln w="22000">
              <a:solidFill>
                <a:srgbClr val="3D7EFF"/>
              </a:solidFill>
              <a:prstDash val="solid"/>
            </a:ln>
          </spPr>
          <marker>
            <symbol val="circle"/>
            <size val="5"/>
            <spPr>
              <a:solidFill>
                <a:srgbClr val="3D7EFF"/>
              </a:solidFill>
              <a:ln>
                <a:prstDash val="solid"/>
              </a:ln>
            </spPr>
          </marker>
          <cat>
            <numRef>
              <f>'Прогнозування'!$A$90:$A$104</f>
            </numRef>
          </cat>
          <val>
            <numRef>
              <f>'Прогнозування'!$B$90:$B$104</f>
            </numRef>
          </val>
          <smooth val="0"/>
        </ser>
        <ser>
          <idx val="1"/>
          <order val="1"/>
          <tx>
            <strRef>
              <f>'Прогнозування'!C89</f>
            </strRef>
          </tx>
          <spPr>
            <a:ln w="22000">
              <a:solidFill>
                <a:srgbClr val="3ECF8E"/>
              </a:solidFill>
              <a:prstDash val="solid"/>
            </a:ln>
          </spPr>
          <marker>
            <symbol val="circle"/>
            <size val="5"/>
            <spPr>
              <a:solidFill>
                <a:srgbClr val="3ECF8E"/>
              </a:solidFill>
              <a:ln>
                <a:prstDash val="solid"/>
              </a:ln>
            </spPr>
          </marker>
          <cat>
            <numRef>
              <f>'Прогнозування'!$A$90:$A$104</f>
            </numRef>
          </cat>
          <val>
            <numRef>
              <f>'Прогнозування'!$C$90:$C$104</f>
            </numRef>
          </val>
          <smooth val="0"/>
        </ser>
        <ser>
          <idx val="2"/>
          <order val="2"/>
          <tx>
            <strRef>
              <f>'Прогнозування'!D89</f>
            </strRef>
          </tx>
          <spPr>
            <a:ln w="22000">
              <a:solidFill>
                <a:srgbClr val="F0B429"/>
              </a:solidFill>
              <a:prstDash val="solid"/>
            </a:ln>
          </spPr>
          <marker>
            <symbol val="circle"/>
            <size val="5"/>
            <spPr>
              <a:solidFill>
                <a:srgbClr val="F0B429"/>
              </a:solidFill>
              <a:ln>
                <a:prstDash val="solid"/>
              </a:ln>
            </spPr>
          </marker>
          <cat>
            <numRef>
              <f>'Прогнозування'!$A$90:$A$104</f>
            </numRef>
          </cat>
          <val>
            <numRef>
              <f>'Прогнозування'!$D$90:$D$104</f>
            </numRef>
          </val>
          <smooth val="0"/>
        </ser>
        <ser>
          <idx val="3"/>
          <order val="3"/>
          <tx>
            <strRef>
              <f>'Прогнозування'!E89</f>
            </strRef>
          </tx>
          <spPr>
            <a:ln w="22000">
              <a:solidFill>
                <a:srgbClr val="A78BFA"/>
              </a:solidFill>
              <a:prstDash val="solid"/>
            </a:ln>
          </spPr>
          <marker>
            <symbol val="circle"/>
            <size val="5"/>
            <spPr>
              <a:solidFill>
                <a:srgbClr val="A78BFA"/>
              </a:solidFill>
              <a:ln>
                <a:prstDash val="solid"/>
              </a:ln>
            </spPr>
          </marker>
          <cat>
            <numRef>
              <f>'Прогнозування'!$A$90:$A$104</f>
            </numRef>
          </cat>
          <val>
            <numRef>
              <f>'Прогнозування'!$E$90:$E$104</f>
            </numRef>
          </val>
          <smooth val="0"/>
        </ser>
        <ser>
          <idx val="4"/>
          <order val="4"/>
          <tx>
            <strRef>
              <f>'Прогнозування'!F89</f>
            </strRef>
          </tx>
          <spPr>
            <a:ln w="22000">
              <a:solidFill>
                <a:srgbClr val="22D3EE"/>
              </a:solidFill>
              <a:prstDash val="solid"/>
            </a:ln>
          </spPr>
          <marker>
            <symbol val="circle"/>
            <size val="5"/>
            <spPr>
              <a:solidFill>
                <a:srgbClr val="22D3EE"/>
              </a:solidFill>
              <a:ln>
                <a:prstDash val="solid"/>
              </a:ln>
            </spPr>
          </marker>
          <cat>
            <numRef>
              <f>'Прогнозування'!$A$90:$A$104</f>
            </numRef>
          </cat>
          <val>
            <numRef>
              <f>'Прогнозування'!$F$90:$F$104</f>
            </numRef>
          </val>
          <smooth val="0"/>
        </ser>
        <axId val="10"/>
        <axId val="100"/>
      </lineChart>
      <catAx>
        <axId val="10"/>
        <scaling>
          <orientation val="minMax"/>
        </scaling>
        <delete val="0"/>
        <axPos val="l"/>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0"/>
        <lblOffset val="100"/>
      </catAx>
      <valAx>
        <axId val="100"/>
        <scaling>
          <orientation val="minMax"/>
        </scaling>
        <delete val="0"/>
        <axPos val="l"/>
        <majorGridlines>
          <spPr>
            <a:ln>
              <a:solidFill>
                <a:srgbClr val="D9D9D9"/>
              </a:solidFill>
              <a:prstDash val="solid"/>
            </a:ln>
          </spPr>
        </majorGridlines>
        <numFmt formatCode="#,##0" sourceLinked="0"/>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
      </valAx>
    </plotArea>
    <legend>
      <legendPos val="b"/>
      <overlay val="0"/>
      <txPr>
        <a:bodyPr vert="horz"/>
        <a:p>
          <a:pPr>
            <a:defRPr sz="900">
              <a:solidFill>
                <a:srgbClr val="404040"/>
              </a:solidFill>
            </a:defRPr>
          </a:pPr>
          <a:endParaRPr sz="900">
            <a:solidFill>
              <a:srgbClr val="404040"/>
            </a:solidFill>
          </a:endParaRPr>
        </a:p>
      </txPr>
    </legend>
    <plotVisOnly val="1"/>
    <dispBlanksAs val="gap"/>
  </chart>
  <spPr>
    <a:solidFill>
      <a:srgbClr val="FFFFFF"/>
    </a:solidFill>
    <a:ln>
      <a:noFill/>
      <a:prstDash val="solid"/>
    </a:ln>
  </spPr>
</chartSpace>
</file>

<file path=xl/charts/chart19.xml><?xml version="1.0" encoding="utf-8"?>
<chartSpace xmlns:a="http://schemas.openxmlformats.org/drawingml/2006/main" xmlns="http://schemas.openxmlformats.org/drawingml/2006/chart">
  <chart>
    <title>
      <tx>
        <rich>
          <a:bodyPr/>
          <a:p>
            <a:pPr>
              <a:defRPr sz="1200" b="1">
                <a:solidFill>
                  <a:srgbClr val="1F3864"/>
                </a:solidFill>
              </a:defRPr>
            </a:pPr>
            <a:r>
              <a:t>Крива розвитку договорів</a:t>
            </a:r>
          </a:p>
        </rich>
      </tx>
      <overlay val="0"/>
    </title>
    <plotArea>
      <lineChart>
        <grouping val="standard"/>
        <ser>
          <idx val="0"/>
          <order val="0"/>
          <tx>
            <strRef>
              <f>'Прогнозування'!B137</f>
            </strRef>
          </tx>
          <spPr>
            <a:ln w="22000">
              <a:solidFill>
                <a:srgbClr val="3D7EFF"/>
              </a:solidFill>
              <a:prstDash val="solid"/>
            </a:ln>
          </spPr>
          <marker>
            <symbol val="circle"/>
            <size val="5"/>
            <spPr>
              <a:solidFill>
                <a:srgbClr val="3D7EFF"/>
              </a:solidFill>
              <a:ln>
                <a:prstDash val="solid"/>
              </a:ln>
            </spPr>
          </marker>
          <cat>
            <numRef>
              <f>'Прогнозування'!$A$138:$A$143</f>
            </numRef>
          </cat>
          <val>
            <numRef>
              <f>'Прогнозування'!$B$138:$B$143</f>
            </numRef>
          </val>
          <smooth val="0"/>
        </ser>
        <axId val="10"/>
        <axId val="100"/>
      </lineChart>
      <catAx>
        <axId val="10"/>
        <scaling>
          <orientation val="minMax"/>
        </scaling>
        <delete val="0"/>
        <axPos val="l"/>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0"/>
        <lblOffset val="100"/>
      </catAx>
      <valAx>
        <axId val="100"/>
        <scaling>
          <orientation val="minMax"/>
        </scaling>
        <delete val="0"/>
        <axPos val="l"/>
        <majorGridlines>
          <spPr>
            <a:ln>
              <a:solidFill>
                <a:srgbClr val="D9D9D9"/>
              </a:solidFill>
              <a:prstDash val="solid"/>
            </a:ln>
          </spPr>
        </majorGridlines>
        <numFmt formatCode="0.0&quot;%&quot;" sourceLinked="0"/>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
      </valAx>
    </plotArea>
    <plotVisOnly val="1"/>
    <dispBlanksAs val="gap"/>
  </chart>
  <spPr>
    <a:solidFill>
      <a:srgbClr val="FFFFFF"/>
    </a:solidFill>
    <a:ln>
      <a:noFill/>
      <a:prstDash val="solid"/>
    </a:ln>
  </spPr>
</chartSpace>
</file>

<file path=xl/charts/chart20.xml><?xml version="1.0" encoding="utf-8"?>
<chartSpace xmlns:a="http://schemas.openxmlformats.org/drawingml/2006/main" xmlns="http://schemas.openxmlformats.org/drawingml/2006/chart">
  <chart>
    <title>
      <tx>
        <rich>
          <a:bodyPr/>
          <a:p>
            <a:pPr>
              <a:defRPr sz="1200" b="1">
                <a:solidFill>
                  <a:srgbClr val="1F3864"/>
                </a:solidFill>
              </a:defRPr>
            </a:pPr>
            <a:r>
              <a:t>Прогноз на 2026-09 по гравцях</a:t>
            </a:r>
          </a:p>
        </rich>
      </tx>
      <overlay val="0"/>
    </title>
    <plotArea>
      <barChart>
        <barDir val="bar"/>
        <grouping val="clustered"/>
        <ser>
          <idx val="0"/>
          <order val="0"/>
          <tx>
            <strRef>
              <f>'Прогнозування'!B255</f>
            </strRef>
          </tx>
          <spPr>
            <a:solidFill>
              <a:srgbClr val="3D7EFF"/>
            </a:solidFill>
            <a:ln>
              <a:noFill/>
              <a:prstDash val="solid"/>
            </a:ln>
          </spPr>
          <dPt>
            <idx val="3"/>
            <spPr>
              <a:solidFill>
                <a:srgbClr val="3ECF8E"/>
              </a:solidFill>
              <a:ln>
                <a:prstDash val="solid"/>
              </a:ln>
            </spPr>
          </dPt>
          <cat>
            <numRef>
              <f>'Прогнозування'!$A$256:$A$261</f>
            </numRef>
          </cat>
          <val>
            <numRef>
              <f>'Прогнозування'!$B$256:$B$261</f>
            </numRef>
          </val>
        </ser>
        <dLbls>
          <numFmt formatCode="#,##0"/>
          <txPr>
            <a:bodyPr vert="horz"/>
            <a:p>
              <a:pPr>
                <a:defRPr sz="900">
                  <a:solidFill>
                    <a:srgbClr val="404040"/>
                  </a:solidFill>
                </a:defRPr>
              </a:pPr>
              <a:endParaRPr sz="900">
                <a:solidFill>
                  <a:srgbClr val="404040"/>
                </a:solidFill>
              </a:endParaRPr>
            </a:p>
          </txPr>
          <dLblPos val="outEnd"/>
          <showLegendKey val="0"/>
          <showVal val="1"/>
          <showCatName val="0"/>
          <showSerName val="0"/>
          <showPercent val="0"/>
          <showBubbleSize val="0"/>
        </dLbls>
        <gapWidth val="60"/>
        <axId val="10"/>
        <axId val="100"/>
      </barChart>
      <catAx>
        <axId val="10"/>
        <scaling>
          <orientation val="maxMin"/>
        </scaling>
        <delete val="0"/>
        <axPos val="l"/>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0"/>
        <lblOffset val="100"/>
      </catAx>
      <valAx>
        <axId val="100"/>
        <scaling>
          <orientation val="minMax"/>
        </scaling>
        <delete val="0"/>
        <axPos val="l"/>
        <majorGridlines>
          <spPr>
            <a:ln>
              <a:solidFill>
                <a:srgbClr val="D9D9D9"/>
              </a:solidFill>
              <a:prstDash val="solid"/>
            </a:ln>
          </spPr>
        </majorGridlines>
        <numFmt formatCode="#,##0" sourceLinked="0"/>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
        <crosses val="max"/>
      </valAx>
    </plotArea>
    <plotVisOnly val="1"/>
    <dispBlanksAs val="gap"/>
  </chart>
  <spPr>
    <a:solidFill>
      <a:srgbClr val="FFFFFF"/>
    </a:solidFill>
    <a:ln>
      <a:noFill/>
      <a:prstDash val="solid"/>
    </a:ln>
  </spPr>
</chartSpace>
</file>

<file path=xl/charts/chart21.xml><?xml version="1.0" encoding="utf-8"?>
<chartSpace xmlns:a="http://schemas.openxmlformats.org/drawingml/2006/main" xmlns="http://schemas.openxmlformats.org/drawingml/2006/chart">
  <chart>
    <title>
      <tx>
        <rich>
          <a:bodyPr/>
          <a:p>
            <a:pPr>
              <a:defRPr sz="1200" b="1">
                <a:solidFill>
                  <a:srgbClr val="1F3864"/>
                </a:solidFill>
              </a:defRPr>
            </a:pPr>
            <a:r>
              <a:t>Причини відмов</a:t>
            </a:r>
          </a:p>
        </rich>
      </tx>
      <overlay val="0"/>
    </title>
    <plotArea>
      <pieChart>
        <varyColors val="1"/>
        <ser>
          <idx val="0"/>
          <order val="0"/>
          <tx>
            <strRef>
              <f>'Відмови'!B28</f>
            </strRef>
          </tx>
          <spPr>
            <a:ln>
              <a:prstDash val="solid"/>
            </a:ln>
          </spPr>
          <dPt>
            <idx val="0"/>
            <spPr>
              <a:solidFill>
                <a:srgbClr val="3D7EFF"/>
              </a:solidFill>
              <a:ln>
                <a:prstDash val="solid"/>
              </a:ln>
            </spPr>
          </dPt>
          <dPt>
            <idx val="1"/>
            <spPr>
              <a:solidFill>
                <a:srgbClr val="3ECF8E"/>
              </a:solidFill>
              <a:ln>
                <a:prstDash val="solid"/>
              </a:ln>
            </spPr>
          </dPt>
          <dPt>
            <idx val="2"/>
            <spPr>
              <a:solidFill>
                <a:srgbClr val="F0B429"/>
              </a:solidFill>
              <a:ln>
                <a:prstDash val="solid"/>
              </a:ln>
            </spPr>
          </dPt>
          <dPt>
            <idx val="3"/>
            <spPr>
              <a:solidFill>
                <a:srgbClr val="A78BFA"/>
              </a:solidFill>
              <a:ln>
                <a:prstDash val="solid"/>
              </a:ln>
            </spPr>
          </dPt>
          <dPt>
            <idx val="4"/>
            <spPr>
              <a:solidFill>
                <a:srgbClr val="22D3EE"/>
              </a:solidFill>
              <a:ln>
                <a:prstDash val="solid"/>
              </a:ln>
            </spPr>
          </dPt>
          <dPt>
            <idx val="5"/>
            <spPr>
              <a:solidFill>
                <a:srgbClr val="FB923C"/>
              </a:solidFill>
              <a:ln>
                <a:prstDash val="solid"/>
              </a:ln>
            </spPr>
          </dPt>
          <dPt>
            <idx val="6"/>
            <spPr>
              <a:solidFill>
                <a:srgbClr val="F472B6"/>
              </a:solidFill>
              <a:ln>
                <a:prstDash val="solid"/>
              </a:ln>
            </spPr>
          </dPt>
          <dPt>
            <idx val="7"/>
            <spPr>
              <a:solidFill>
                <a:srgbClr val="84CC16"/>
              </a:solidFill>
              <a:ln>
                <a:prstDash val="solid"/>
              </a:ln>
            </spPr>
          </dPt>
          <dPt>
            <idx val="8"/>
            <spPr>
              <a:solidFill>
                <a:srgbClr val="E879F9"/>
              </a:solidFill>
              <a:ln>
                <a:prstDash val="solid"/>
              </a:ln>
            </spPr>
          </dPt>
          <cat>
            <numRef>
              <f>'Відмови'!$A$29:$A$37</f>
            </numRef>
          </cat>
          <val>
            <numRef>
              <f>'Відмови'!$B$29:$B$37</f>
            </numRef>
          </val>
        </ser>
        <dLbls>
          <txPr>
            <a:bodyPr vert="horz"/>
            <a:p>
              <a:pPr>
                <a:defRPr sz="900">
                  <a:solidFill>
                    <a:srgbClr val="404040"/>
                  </a:solidFill>
                </a:defRPr>
              </a:pPr>
              <a:endParaRPr sz="900">
                <a:solidFill>
                  <a:srgbClr val="404040"/>
                </a:solidFill>
              </a:endParaRPr>
            </a:p>
          </txPr>
          <dLblPos val="bestFit"/>
          <showLegendKey val="0"/>
          <showVal val="0"/>
          <showCatName val="0"/>
          <showSerName val="0"/>
          <showPercent val="1"/>
          <showBubbleSize val="0"/>
          <showLeaderLines val="1"/>
        </dLbls>
        <firstSliceAng val="0"/>
      </pieChart>
    </plotArea>
    <legend>
      <legendPos val="b"/>
      <overlay val="0"/>
      <txPr>
        <a:bodyPr vert="horz"/>
        <a:p>
          <a:pPr>
            <a:defRPr sz="900">
              <a:solidFill>
                <a:srgbClr val="404040"/>
              </a:solidFill>
            </a:defRPr>
          </a:pPr>
          <a:endParaRPr sz="900">
            <a:solidFill>
              <a:srgbClr val="404040"/>
            </a:solidFill>
          </a:endParaRPr>
        </a:p>
      </txPr>
    </legend>
    <plotVisOnly val="1"/>
    <dispBlanksAs val="gap"/>
  </chart>
  <spPr>
    <a:solidFill>
      <a:srgbClr val="FFFFFF"/>
    </a:solidFill>
    <a:ln>
      <a:noFill/>
      <a:prstDash val="solid"/>
    </a:ln>
  </spPr>
</chartSpace>
</file>

<file path=xl/charts/chart22.xml><?xml version="1.0" encoding="utf-8"?>
<chartSpace xmlns:a="http://schemas.openxmlformats.org/drawingml/2006/main" xmlns="http://schemas.openxmlformats.org/drawingml/2006/chart">
  <chart>
    <title>
      <tx>
        <rich>
          <a:bodyPr/>
          <a:p>
            <a:pPr>
              <a:defRPr sz="1200" b="1">
                <a:solidFill>
                  <a:srgbClr val="1F3864"/>
                </a:solidFill>
              </a:defRPr>
            </a:pPr>
            <a:r>
              <a:t>Сума зірваних перемог за причинами</a:t>
            </a:r>
          </a:p>
        </rich>
      </tx>
      <overlay val="0"/>
    </title>
    <plotArea>
      <barChart>
        <barDir val="bar"/>
        <grouping val="clustered"/>
        <ser>
          <idx val="0"/>
          <order val="0"/>
          <tx>
            <strRef>
              <f>'Відмови'!B48</f>
            </strRef>
          </tx>
          <spPr>
            <a:solidFill>
              <a:srgbClr val="3D7EFF"/>
            </a:solidFill>
            <a:ln>
              <a:noFill/>
              <a:prstDash val="solid"/>
            </a:ln>
          </spPr>
          <cat>
            <numRef>
              <f>'Відмови'!$A$49:$A$57</f>
            </numRef>
          </cat>
          <val>
            <numRef>
              <f>'Відмови'!$B$49:$B$57</f>
            </numRef>
          </val>
        </ser>
        <dLbls>
          <numFmt formatCode="#,##0"/>
          <txPr>
            <a:bodyPr vert="horz"/>
            <a:p>
              <a:pPr>
                <a:defRPr sz="900">
                  <a:solidFill>
                    <a:srgbClr val="404040"/>
                  </a:solidFill>
                </a:defRPr>
              </a:pPr>
              <a:endParaRPr sz="900">
                <a:solidFill>
                  <a:srgbClr val="404040"/>
                </a:solidFill>
              </a:endParaRPr>
            </a:p>
          </txPr>
          <dLblPos val="outEnd"/>
          <showLegendKey val="0"/>
          <showVal val="1"/>
          <showCatName val="0"/>
          <showSerName val="0"/>
          <showPercent val="0"/>
          <showBubbleSize val="0"/>
        </dLbls>
        <gapWidth val="60"/>
        <axId val="10"/>
        <axId val="100"/>
      </barChart>
      <catAx>
        <axId val="10"/>
        <scaling>
          <orientation val="maxMin"/>
        </scaling>
        <delete val="0"/>
        <axPos val="l"/>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0"/>
        <lblOffset val="100"/>
      </catAx>
      <valAx>
        <axId val="100"/>
        <scaling>
          <orientation val="minMax"/>
        </scaling>
        <delete val="0"/>
        <axPos val="l"/>
        <majorGridlines>
          <spPr>
            <a:ln>
              <a:solidFill>
                <a:srgbClr val="D9D9D9"/>
              </a:solidFill>
              <a:prstDash val="solid"/>
            </a:ln>
          </spPr>
        </majorGridlines>
        <numFmt formatCode="#,##0" sourceLinked="0"/>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
        <crosses val="max"/>
      </valAx>
    </plotArea>
    <plotVisOnly val="1"/>
    <dispBlanksAs val="gap"/>
  </chart>
  <spPr>
    <a:solidFill>
      <a:srgbClr val="FFFFFF"/>
    </a:solidFill>
    <a:ln>
      <a:noFill/>
      <a:prstDash val="solid"/>
    </a:ln>
  </spPr>
</chartSpace>
</file>

<file path=xl/charts/chart23.xml><?xml version="1.0" encoding="utf-8"?>
<chartSpace xmlns:a="http://schemas.openxmlformats.org/drawingml/2006/main" xmlns="http://schemas.openxmlformats.org/drawingml/2006/chart">
  <chart>
    <title>
      <tx>
        <rich>
          <a:bodyPr/>
          <a:p>
            <a:pPr>
              <a:defRPr sz="1200" b="1">
                <a:solidFill>
                  <a:srgbClr val="1F3864"/>
                </a:solidFill>
              </a:defRPr>
            </a:pPr>
            <a:r>
              <a:t>Скасовані перемоги по місяцях</a:t>
            </a:r>
          </a:p>
        </rich>
      </tx>
      <overlay val="0"/>
    </title>
    <plotArea>
      <lineChart>
        <grouping val="standard"/>
        <ser>
          <idx val="0"/>
          <order val="0"/>
          <tx>
            <strRef>
              <f>'Відмови'!B64</f>
            </strRef>
          </tx>
          <spPr>
            <a:ln w="22000">
              <a:solidFill>
                <a:srgbClr val="3D7EFF"/>
              </a:solidFill>
              <a:prstDash val="solid"/>
            </a:ln>
          </spPr>
          <marker>
            <symbol val="circle"/>
            <size val="5"/>
            <spPr>
              <a:solidFill>
                <a:srgbClr val="3D7EFF"/>
              </a:solidFill>
              <a:ln>
                <a:prstDash val="solid"/>
              </a:ln>
            </spPr>
          </marker>
          <cat>
            <numRef>
              <f>'Відмови'!$A$65:$A$76</f>
            </numRef>
          </cat>
          <val>
            <numRef>
              <f>'Відмови'!$B$65:$B$76</f>
            </numRef>
          </val>
          <smooth val="0"/>
        </ser>
        <axId val="10"/>
        <axId val="100"/>
      </lineChart>
      <catAx>
        <axId val="10"/>
        <scaling>
          <orientation val="minMax"/>
        </scaling>
        <delete val="0"/>
        <axPos val="l"/>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0"/>
        <lblOffset val="100"/>
      </catAx>
      <valAx>
        <axId val="100"/>
        <scaling>
          <orientation val="minMax"/>
        </scaling>
        <delete val="0"/>
        <axPos val="l"/>
        <majorGridlines>
          <spPr>
            <a:ln>
              <a:solidFill>
                <a:srgbClr val="D9D9D9"/>
              </a:solidFill>
              <a:prstDash val="solid"/>
            </a:ln>
          </spPr>
        </majorGridlines>
        <numFmt formatCode="#,##0" sourceLinked="0"/>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
      </valAx>
    </plotArea>
    <plotVisOnly val="1"/>
    <dispBlanksAs val="gap"/>
  </chart>
  <spPr>
    <a:solidFill>
      <a:srgbClr val="FFFFFF"/>
    </a:solidFill>
    <a:ln>
      <a:noFill/>
      <a:prstDash val="solid"/>
    </a:ln>
  </spPr>
</chartSpace>
</file>

<file path=xl/charts/chart24.xml><?xml version="1.0" encoding="utf-8"?>
<chartSpace xmlns:a="http://schemas.openxmlformats.org/drawingml/2006/main" xmlns="http://schemas.openxmlformats.org/drawingml/2006/chart">
  <chart>
    <title>
      <tx>
        <rich>
          <a:bodyPr/>
          <a:p>
            <a:pPr>
              <a:defRPr sz="1200" b="1">
                <a:solidFill>
                  <a:srgbClr val="1F3864"/>
                </a:solidFill>
              </a:defRPr>
            </a:pPr>
            <a:r>
              <a:t>Підстави відміни</a:t>
            </a:r>
          </a:p>
        </rich>
      </tx>
      <overlay val="0"/>
    </title>
    <plotArea>
      <pieChart>
        <varyColors val="1"/>
        <ser>
          <idx val="0"/>
          <order val="0"/>
          <tx>
            <strRef>
              <f>'Відмови'!B461</f>
            </strRef>
          </tx>
          <spPr>
            <a:ln>
              <a:prstDash val="solid"/>
            </a:ln>
          </spPr>
          <dPt>
            <idx val="0"/>
            <spPr>
              <a:solidFill>
                <a:srgbClr val="3D7EFF"/>
              </a:solidFill>
              <a:ln>
                <a:prstDash val="solid"/>
              </a:ln>
            </spPr>
          </dPt>
          <dPt>
            <idx val="1"/>
            <spPr>
              <a:solidFill>
                <a:srgbClr val="3ECF8E"/>
              </a:solidFill>
              <a:ln>
                <a:prstDash val="solid"/>
              </a:ln>
            </spPr>
          </dPt>
          <dPt>
            <idx val="2"/>
            <spPr>
              <a:solidFill>
                <a:srgbClr val="F0B429"/>
              </a:solidFill>
              <a:ln>
                <a:prstDash val="solid"/>
              </a:ln>
            </spPr>
          </dPt>
          <cat>
            <numRef>
              <f>'Відмови'!$A$462:$A$464</f>
            </numRef>
          </cat>
          <val>
            <numRef>
              <f>'Відмови'!$B$462:$B$464</f>
            </numRef>
          </val>
        </ser>
        <dLbls>
          <txPr>
            <a:bodyPr vert="horz"/>
            <a:p>
              <a:pPr>
                <a:defRPr sz="900">
                  <a:solidFill>
                    <a:srgbClr val="404040"/>
                  </a:solidFill>
                </a:defRPr>
              </a:pPr>
              <a:endParaRPr sz="900">
                <a:solidFill>
                  <a:srgbClr val="404040"/>
                </a:solidFill>
              </a:endParaRPr>
            </a:p>
          </txPr>
          <dLblPos val="bestFit"/>
          <showLegendKey val="0"/>
          <showVal val="0"/>
          <showCatName val="0"/>
          <showSerName val="0"/>
          <showPercent val="1"/>
          <showBubbleSize val="0"/>
          <showLeaderLines val="1"/>
        </dLbls>
        <firstSliceAng val="0"/>
      </pieChart>
    </plotArea>
    <legend>
      <legendPos val="b"/>
      <overlay val="0"/>
      <txPr>
        <a:bodyPr vert="horz"/>
        <a:p>
          <a:pPr>
            <a:defRPr sz="900">
              <a:solidFill>
                <a:srgbClr val="404040"/>
              </a:solidFill>
            </a:defRPr>
          </a:pPr>
          <a:endParaRPr sz="900">
            <a:solidFill>
              <a:srgbClr val="404040"/>
            </a:solidFill>
          </a:endParaRPr>
        </a:p>
      </txPr>
    </legend>
    <plotVisOnly val="1"/>
    <dispBlanksAs val="gap"/>
  </chart>
  <spPr>
    <a:solidFill>
      <a:srgbClr val="FFFFFF"/>
    </a:solidFill>
    <a:ln>
      <a:noFill/>
      <a:prstDash val="solid"/>
    </a:ln>
  </spPr>
</chartSpace>
</file>

<file path=xl/charts/chart25.xml><?xml version="1.0" encoding="utf-8"?>
<chartSpace xmlns:a="http://schemas.openxmlformats.org/drawingml/2006/main" xmlns="http://schemas.openxmlformats.org/drawingml/2006/chart">
  <chart>
    <title>
      <tx>
        <rich>
          <a:bodyPr/>
          <a:p>
            <a:pPr>
              <a:defRPr sz="1200" b="1">
                <a:solidFill>
                  <a:srgbClr val="1F3864"/>
                </a:solidFill>
              </a:defRPr>
            </a:pPr>
            <a:r>
              <a:t>З ким ми найчастіше зустрічаємось на торгах</a:t>
            </a:r>
          </a:p>
        </rich>
      </tx>
      <overlay val="0"/>
    </title>
    <plotArea>
      <barChart>
        <barDir val="bar"/>
        <grouping val="clustered"/>
        <ser>
          <idx val="0"/>
          <order val="0"/>
          <tx>
            <strRef>
              <f>'Наші ТОВ'!B58</f>
            </strRef>
          </tx>
          <spPr>
            <a:solidFill>
              <a:srgbClr val="3D7EFF"/>
            </a:solidFill>
            <a:ln>
              <a:noFill/>
              <a:prstDash val="solid"/>
            </a:ln>
          </spPr>
          <cat>
            <numRef>
              <f>'Наші ТОВ'!$A$59:$A$70</f>
            </numRef>
          </cat>
          <val>
            <numRef>
              <f>'Наші ТОВ'!$B$59:$B$70</f>
            </numRef>
          </val>
        </ser>
        <dLbls>
          <numFmt formatCode="#,##0"/>
          <txPr>
            <a:bodyPr vert="horz"/>
            <a:p>
              <a:pPr>
                <a:defRPr sz="900">
                  <a:solidFill>
                    <a:srgbClr val="404040"/>
                  </a:solidFill>
                </a:defRPr>
              </a:pPr>
              <a:endParaRPr sz="900">
                <a:solidFill>
                  <a:srgbClr val="404040"/>
                </a:solidFill>
              </a:endParaRPr>
            </a:p>
          </txPr>
          <dLblPos val="outEnd"/>
          <showLegendKey val="0"/>
          <showVal val="1"/>
          <showCatName val="0"/>
          <showSerName val="0"/>
          <showPercent val="0"/>
          <showBubbleSize val="0"/>
        </dLbls>
        <gapWidth val="60"/>
        <axId val="10"/>
        <axId val="100"/>
      </barChart>
      <catAx>
        <axId val="10"/>
        <scaling>
          <orientation val="maxMin"/>
        </scaling>
        <delete val="0"/>
        <axPos val="l"/>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0"/>
        <lblOffset val="100"/>
      </catAx>
      <valAx>
        <axId val="100"/>
        <scaling>
          <orientation val="minMax"/>
        </scaling>
        <delete val="0"/>
        <axPos val="l"/>
        <majorGridlines>
          <spPr>
            <a:ln>
              <a:solidFill>
                <a:srgbClr val="D9D9D9"/>
              </a:solidFill>
              <a:prstDash val="solid"/>
            </a:ln>
          </spPr>
        </majorGridlines>
        <numFmt formatCode="#,##0" sourceLinked="0"/>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
        <crosses val="max"/>
      </valAx>
    </plotArea>
    <plotVisOnly val="1"/>
    <dispBlanksAs val="gap"/>
  </chart>
  <spPr>
    <a:solidFill>
      <a:srgbClr val="FFFFFF"/>
    </a:solidFill>
    <a:ln>
      <a:noFill/>
      <a:prstDash val="solid"/>
    </a:ln>
  </spPr>
</chartSpace>
</file>

<file path=xl/charts/chart26.xml><?xml version="1.0" encoding="utf-8"?>
<chartSpace xmlns:a="http://schemas.openxmlformats.org/drawingml/2006/main" xmlns="http://schemas.openxmlformats.org/drawingml/2006/chart">
  <chart>
    <title>
      <tx>
        <rich>
          <a:bodyPr/>
          <a:p>
            <a:pPr>
              <a:defRPr sz="1200" b="1">
                <a:solidFill>
                  <a:srgbClr val="1F3864"/>
                </a:solidFill>
              </a:defRPr>
            </a:pPr>
            <a:r>
              <a:t>Найбільші конкуренти (топ-12) і ми</a:t>
            </a:r>
          </a:p>
        </rich>
      </tx>
      <overlay val="0"/>
    </title>
    <plotArea>
      <barChart>
        <barDir val="bar"/>
        <grouping val="clustered"/>
        <ser>
          <idx val="0"/>
          <order val="0"/>
          <tx>
            <strRef>
              <f>'Конкуренти'!B10</f>
            </strRef>
          </tx>
          <spPr>
            <a:solidFill>
              <a:srgbClr val="3D7EFF"/>
            </a:solidFill>
            <a:ln>
              <a:noFill/>
              <a:prstDash val="solid"/>
            </a:ln>
          </spPr>
          <dPt>
            <idx val="12"/>
            <spPr>
              <a:solidFill>
                <a:srgbClr val="3ECF8E"/>
              </a:solidFill>
              <a:ln>
                <a:prstDash val="solid"/>
              </a:ln>
            </spPr>
          </dPt>
          <dPt>
            <idx val="13"/>
            <spPr>
              <a:solidFill>
                <a:srgbClr val="3ECF8E"/>
              </a:solidFill>
              <a:ln>
                <a:prstDash val="solid"/>
              </a:ln>
            </spPr>
          </dPt>
          <cat>
            <numRef>
              <f>'Конкуренти'!$A$11:$A$24</f>
            </numRef>
          </cat>
          <val>
            <numRef>
              <f>'Конкуренти'!$B$11:$B$24</f>
            </numRef>
          </val>
        </ser>
        <dLbls>
          <numFmt formatCode="#,##0"/>
          <txPr>
            <a:bodyPr vert="horz"/>
            <a:p>
              <a:pPr>
                <a:defRPr sz="900">
                  <a:solidFill>
                    <a:srgbClr val="404040"/>
                  </a:solidFill>
                </a:defRPr>
              </a:pPr>
              <a:endParaRPr sz="900">
                <a:solidFill>
                  <a:srgbClr val="404040"/>
                </a:solidFill>
              </a:endParaRPr>
            </a:p>
          </txPr>
          <dLblPos val="outEnd"/>
          <showLegendKey val="0"/>
          <showVal val="1"/>
          <showCatName val="0"/>
          <showSerName val="0"/>
          <showPercent val="0"/>
          <showBubbleSize val="0"/>
        </dLbls>
        <gapWidth val="60"/>
        <axId val="10"/>
        <axId val="100"/>
      </barChart>
      <catAx>
        <axId val="10"/>
        <scaling>
          <orientation val="maxMin"/>
        </scaling>
        <delete val="0"/>
        <axPos val="l"/>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0"/>
        <lblOffset val="100"/>
      </catAx>
      <valAx>
        <axId val="100"/>
        <scaling>
          <orientation val="minMax"/>
        </scaling>
        <delete val="0"/>
        <axPos val="l"/>
        <majorGridlines>
          <spPr>
            <a:ln>
              <a:solidFill>
                <a:srgbClr val="D9D9D9"/>
              </a:solidFill>
              <a:prstDash val="solid"/>
            </a:ln>
          </spPr>
        </majorGridlines>
        <numFmt formatCode="#,##0" sourceLinked="0"/>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
        <crosses val="max"/>
      </valAx>
    </plotArea>
    <plotVisOnly val="1"/>
    <dispBlanksAs val="gap"/>
  </chart>
  <spPr>
    <a:solidFill>
      <a:srgbClr val="FFFFFF"/>
    </a:solidFill>
    <a:ln>
      <a:noFill/>
      <a:prstDash val="solid"/>
    </a:ln>
  </spPr>
</chartSpace>
</file>

<file path=xl/charts/chart27.xml><?xml version="1.0" encoding="utf-8"?>
<chartSpace xmlns:a="http://schemas.openxmlformats.org/drawingml/2006/main" xmlns="http://schemas.openxmlformats.org/drawingml/2006/chart">
  <chart>
    <title>
      <tx>
        <rich>
          <a:bodyPr/>
          <a:p>
            <a:pPr>
              <a:defRPr sz="1200" b="1">
                <a:solidFill>
                  <a:srgbClr val="1F3864"/>
                </a:solidFill>
              </a:defRPr>
            </a:pPr>
            <a:r>
              <a:t>Закупівлі конкурентів: де нас не було, а де програли</a:t>
            </a:r>
          </a:p>
        </rich>
      </tx>
      <overlay val="0"/>
    </title>
    <plotArea>
      <barChart>
        <barDir val="bar"/>
        <grouping val="clustered"/>
        <ser>
          <idx val="0"/>
          <order val="0"/>
          <tx>
            <strRef>
              <f>'Конкуренти'!B33</f>
            </strRef>
          </tx>
          <spPr>
            <a:solidFill>
              <a:srgbClr val="3D7EFF"/>
            </a:solidFill>
            <a:ln>
              <a:noFill/>
              <a:prstDash val="solid"/>
            </a:ln>
          </spPr>
          <cat>
            <numRef>
              <f>'Конкуренти'!$A$34:$A$45</f>
            </numRef>
          </cat>
          <val>
            <numRef>
              <f>'Конкуренти'!$B$34:$B$45</f>
            </numRef>
          </val>
        </ser>
        <ser>
          <idx val="1"/>
          <order val="1"/>
          <tx>
            <strRef>
              <f>'Конкуренти'!C33</f>
            </strRef>
          </tx>
          <spPr>
            <a:solidFill>
              <a:srgbClr val="3ECF8E"/>
            </a:solidFill>
            <a:ln>
              <a:noFill/>
              <a:prstDash val="solid"/>
            </a:ln>
          </spPr>
          <cat>
            <numRef>
              <f>'Конкуренти'!$A$34:$A$45</f>
            </numRef>
          </cat>
          <val>
            <numRef>
              <f>'Конкуренти'!$C$34:$C$45</f>
            </numRef>
          </val>
        </ser>
        <ser>
          <idx val="2"/>
          <order val="2"/>
          <tx>
            <strRef>
              <f>'Конкуренти'!D33</f>
            </strRef>
          </tx>
          <spPr>
            <a:solidFill>
              <a:srgbClr val="F0B429"/>
            </a:solidFill>
            <a:ln>
              <a:noFill/>
              <a:prstDash val="solid"/>
            </a:ln>
          </spPr>
          <cat>
            <numRef>
              <f>'Конкуренти'!$A$34:$A$45</f>
            </numRef>
          </cat>
          <val>
            <numRef>
              <f>'Конкуренти'!$D$34:$D$45</f>
            </numRef>
          </val>
        </ser>
        <gapWidth val="60"/>
        <axId val="10"/>
        <axId val="100"/>
      </barChart>
      <catAx>
        <axId val="10"/>
        <scaling>
          <orientation val="maxMin"/>
        </scaling>
        <delete val="0"/>
        <axPos val="l"/>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0"/>
        <lblOffset val="100"/>
      </catAx>
      <valAx>
        <axId val="100"/>
        <scaling>
          <orientation val="minMax"/>
        </scaling>
        <delete val="0"/>
        <axPos val="l"/>
        <majorGridlines>
          <spPr>
            <a:ln>
              <a:solidFill>
                <a:srgbClr val="D9D9D9"/>
              </a:solidFill>
              <a:prstDash val="solid"/>
            </a:ln>
          </spPr>
        </majorGridlines>
        <numFmt formatCode="#,##0" sourceLinked="0"/>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
        <crosses val="max"/>
      </valAx>
    </plotArea>
    <legend>
      <legendPos val="b"/>
      <overlay val="0"/>
      <txPr>
        <a:bodyPr vert="horz"/>
        <a:p>
          <a:pPr>
            <a:defRPr sz="900">
              <a:solidFill>
                <a:srgbClr val="404040"/>
              </a:solidFill>
            </a:defRPr>
          </a:pPr>
          <a:endParaRPr sz="900">
            <a:solidFill>
              <a:srgbClr val="404040"/>
            </a:solidFill>
          </a:endParaRPr>
        </a:p>
      </txPr>
    </legend>
    <plotVisOnly val="1"/>
    <dispBlanksAs val="gap"/>
  </chart>
  <spPr>
    <a:solidFill>
      <a:srgbClr val="FFFFFF"/>
    </a:solidFill>
    <a:ln>
      <a:noFill/>
      <a:prstDash val="solid"/>
    </a:ln>
  </spPr>
</chartSpace>
</file>

<file path=xl/charts/chart28.xml><?xml version="1.0" encoding="utf-8"?>
<chartSpace xmlns:a="http://schemas.openxmlformats.org/drawingml/2006/main" xmlns="http://schemas.openxmlformats.org/drawingml/2006/chart">
  <chart>
    <title>
      <tx>
        <rich>
          <a:bodyPr/>
          <a:p>
            <a:pPr>
              <a:defRPr sz="1200" b="1">
                <a:solidFill>
                  <a:srgbClr val="1F3864"/>
                </a:solidFill>
              </a:defRPr>
            </a:pPr>
            <a:r>
              <a:t>Торгові марки за сумою угод</a:t>
            </a:r>
          </a:p>
        </rich>
      </tx>
      <overlay val="0"/>
    </title>
    <plotArea>
      <barChart>
        <barDir val="bar"/>
        <grouping val="clustered"/>
        <ser>
          <idx val="0"/>
          <order val="0"/>
          <tx>
            <strRef>
              <f>'Товари і ТМ'!B14</f>
            </strRef>
          </tx>
          <spPr>
            <a:solidFill>
              <a:srgbClr val="3D7EFF"/>
            </a:solidFill>
            <a:ln>
              <a:noFill/>
              <a:prstDash val="solid"/>
            </a:ln>
          </spPr>
          <cat>
            <numRef>
              <f>'Товари і ТМ'!$A$15:$A$26</f>
            </numRef>
          </cat>
          <val>
            <numRef>
              <f>'Товари і ТМ'!$B$15:$B$26</f>
            </numRef>
          </val>
        </ser>
        <dLbls>
          <numFmt formatCode="#,##0"/>
          <txPr>
            <a:bodyPr vert="horz"/>
            <a:p>
              <a:pPr>
                <a:defRPr sz="900">
                  <a:solidFill>
                    <a:srgbClr val="404040"/>
                  </a:solidFill>
                </a:defRPr>
              </a:pPr>
              <a:endParaRPr sz="900">
                <a:solidFill>
                  <a:srgbClr val="404040"/>
                </a:solidFill>
              </a:endParaRPr>
            </a:p>
          </txPr>
          <dLblPos val="outEnd"/>
          <showLegendKey val="0"/>
          <showVal val="1"/>
          <showCatName val="0"/>
          <showSerName val="0"/>
          <showPercent val="0"/>
          <showBubbleSize val="0"/>
        </dLbls>
        <gapWidth val="60"/>
        <axId val="10"/>
        <axId val="100"/>
      </barChart>
      <catAx>
        <axId val="10"/>
        <scaling>
          <orientation val="maxMin"/>
        </scaling>
        <delete val="0"/>
        <axPos val="l"/>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0"/>
        <lblOffset val="100"/>
      </catAx>
      <valAx>
        <axId val="100"/>
        <scaling>
          <orientation val="minMax"/>
        </scaling>
        <delete val="0"/>
        <axPos val="l"/>
        <majorGridlines>
          <spPr>
            <a:ln>
              <a:solidFill>
                <a:srgbClr val="D9D9D9"/>
              </a:solidFill>
              <a:prstDash val="solid"/>
            </a:ln>
          </spPr>
        </majorGridlines>
        <numFmt formatCode="#,##0" sourceLinked="0"/>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
        <crosses val="max"/>
      </valAx>
    </plotArea>
    <plotVisOnly val="1"/>
    <dispBlanksAs val="gap"/>
  </chart>
  <spPr>
    <a:solidFill>
      <a:srgbClr val="FFFFFF"/>
    </a:solidFill>
    <a:ln>
      <a:noFill/>
      <a:prstDash val="solid"/>
    </a:ln>
  </spPr>
</chartSpace>
</file>

<file path=xl/charts/chart29.xml><?xml version="1.0" encoding="utf-8"?>
<chartSpace xmlns:a="http://schemas.openxmlformats.org/drawingml/2006/main" xmlns="http://schemas.openxmlformats.org/drawingml/2006/chart">
  <chart>
    <title>
      <tx>
        <rich>
          <a:bodyPr/>
          <a:p>
            <a:pPr>
              <a:defRPr sz="1200" b="1">
                <a:solidFill>
                  <a:srgbClr val="1F3864"/>
                </a:solidFill>
              </a:defRPr>
            </a:pPr>
            <a:r>
              <a:t>Частки ТМ</a:t>
            </a:r>
          </a:p>
        </rich>
      </tx>
      <overlay val="0"/>
    </title>
    <plotArea>
      <pieChart>
        <varyColors val="1"/>
        <ser>
          <idx val="0"/>
          <order val="0"/>
          <tx>
            <strRef>
              <f>'Товари і ТМ'!B35</f>
            </strRef>
          </tx>
          <spPr>
            <a:ln>
              <a:prstDash val="solid"/>
            </a:ln>
          </spPr>
          <dPt>
            <idx val="0"/>
            <spPr>
              <a:solidFill>
                <a:srgbClr val="3D7EFF"/>
              </a:solidFill>
              <a:ln>
                <a:prstDash val="solid"/>
              </a:ln>
            </spPr>
          </dPt>
          <dPt>
            <idx val="1"/>
            <spPr>
              <a:solidFill>
                <a:srgbClr val="3ECF8E"/>
              </a:solidFill>
              <a:ln>
                <a:prstDash val="solid"/>
              </a:ln>
            </spPr>
          </dPt>
          <dPt>
            <idx val="2"/>
            <spPr>
              <a:solidFill>
                <a:srgbClr val="F0B429"/>
              </a:solidFill>
              <a:ln>
                <a:prstDash val="solid"/>
              </a:ln>
            </spPr>
          </dPt>
          <dPt>
            <idx val="3"/>
            <spPr>
              <a:solidFill>
                <a:srgbClr val="A78BFA"/>
              </a:solidFill>
              <a:ln>
                <a:prstDash val="solid"/>
              </a:ln>
            </spPr>
          </dPt>
          <dPt>
            <idx val="4"/>
            <spPr>
              <a:solidFill>
                <a:srgbClr val="22D3EE"/>
              </a:solidFill>
              <a:ln>
                <a:prstDash val="solid"/>
              </a:ln>
            </spPr>
          </dPt>
          <dPt>
            <idx val="5"/>
            <spPr>
              <a:solidFill>
                <a:srgbClr val="FB923C"/>
              </a:solidFill>
              <a:ln>
                <a:prstDash val="solid"/>
              </a:ln>
            </spPr>
          </dPt>
          <dPt>
            <idx val="6"/>
            <spPr>
              <a:solidFill>
                <a:srgbClr val="F472B6"/>
              </a:solidFill>
              <a:ln>
                <a:prstDash val="solid"/>
              </a:ln>
            </spPr>
          </dPt>
          <dPt>
            <idx val="7"/>
            <spPr>
              <a:solidFill>
                <a:srgbClr val="84CC16"/>
              </a:solidFill>
              <a:ln>
                <a:prstDash val="solid"/>
              </a:ln>
            </spPr>
          </dPt>
          <dPt>
            <idx val="8"/>
            <spPr>
              <a:solidFill>
                <a:srgbClr val="E879F9"/>
              </a:solidFill>
              <a:ln>
                <a:prstDash val="solid"/>
              </a:ln>
            </spPr>
          </dPt>
          <cat>
            <numRef>
              <f>'Товари і ТМ'!$A$36:$A$44</f>
            </numRef>
          </cat>
          <val>
            <numRef>
              <f>'Товари і ТМ'!$B$36:$B$44</f>
            </numRef>
          </val>
        </ser>
        <dLbls>
          <txPr>
            <a:bodyPr vert="horz"/>
            <a:p>
              <a:pPr>
                <a:defRPr sz="900">
                  <a:solidFill>
                    <a:srgbClr val="404040"/>
                  </a:solidFill>
                </a:defRPr>
              </a:pPr>
              <a:endParaRPr sz="900">
                <a:solidFill>
                  <a:srgbClr val="404040"/>
                </a:solidFill>
              </a:endParaRPr>
            </a:p>
          </txPr>
          <dLblPos val="bestFit"/>
          <showLegendKey val="0"/>
          <showVal val="0"/>
          <showCatName val="0"/>
          <showSerName val="0"/>
          <showPercent val="1"/>
          <showBubbleSize val="0"/>
          <showLeaderLines val="1"/>
        </dLbls>
        <firstSliceAng val="0"/>
      </pieChart>
    </plotArea>
    <legend>
      <legendPos val="b"/>
      <overlay val="0"/>
      <txPr>
        <a:bodyPr vert="horz"/>
        <a:p>
          <a:pPr>
            <a:defRPr sz="900">
              <a:solidFill>
                <a:srgbClr val="404040"/>
              </a:solidFill>
            </a:defRPr>
          </a:pPr>
          <a:endParaRPr sz="900">
            <a:solidFill>
              <a:srgbClr val="404040"/>
            </a:solidFill>
          </a:endParaRPr>
        </a:p>
      </txPr>
    </legend>
    <plotVisOnly val="1"/>
    <dispBlanksAs val="gap"/>
  </chart>
  <spPr>
    <a:solidFill>
      <a:srgbClr val="FFFFFF"/>
    </a:solidFill>
    <a:ln>
      <a:noFill/>
      <a:prstDash val="solid"/>
    </a:ln>
  </spPr>
</chartSpace>
</file>

<file path=xl/charts/chart30.xml><?xml version="1.0" encoding="utf-8"?>
<chartSpace xmlns:a="http://schemas.openxmlformats.org/drawingml/2006/main" xmlns="http://schemas.openxmlformats.org/drawingml/2006/chart">
  <chart>
    <title>
      <tx>
        <rich>
          <a:bodyPr/>
          <a:p>
            <a:pPr>
              <a:defRPr sz="1200" b="1">
                <a:solidFill>
                  <a:srgbClr val="1F3864"/>
                </a:solidFill>
              </a:defRPr>
            </a:pPr>
            <a:r>
              <a:t>Найпоширеніші товари</a:t>
            </a:r>
          </a:p>
        </rich>
      </tx>
      <overlay val="0"/>
    </title>
    <plotArea>
      <barChart>
        <barDir val="bar"/>
        <grouping val="clustered"/>
        <ser>
          <idx val="0"/>
          <order val="0"/>
          <tx>
            <strRef>
              <f>'Товари і ТМ'!B56</f>
            </strRef>
          </tx>
          <spPr>
            <a:solidFill>
              <a:srgbClr val="3D7EFF"/>
            </a:solidFill>
            <a:ln>
              <a:noFill/>
              <a:prstDash val="solid"/>
            </a:ln>
          </spPr>
          <cat>
            <numRef>
              <f>'Товари і ТМ'!$A$57:$A$68</f>
            </numRef>
          </cat>
          <val>
            <numRef>
              <f>'Товари і ТМ'!$B$57:$B$68</f>
            </numRef>
          </val>
        </ser>
        <dLbls>
          <numFmt formatCode="#,##0"/>
          <txPr>
            <a:bodyPr vert="horz"/>
            <a:p>
              <a:pPr>
                <a:defRPr sz="900">
                  <a:solidFill>
                    <a:srgbClr val="404040"/>
                  </a:solidFill>
                </a:defRPr>
              </a:pPr>
              <a:endParaRPr sz="900">
                <a:solidFill>
                  <a:srgbClr val="404040"/>
                </a:solidFill>
              </a:endParaRPr>
            </a:p>
          </txPr>
          <dLblPos val="outEnd"/>
          <showLegendKey val="0"/>
          <showVal val="1"/>
          <showCatName val="0"/>
          <showSerName val="0"/>
          <showPercent val="0"/>
          <showBubbleSize val="0"/>
        </dLbls>
        <gapWidth val="60"/>
        <axId val="10"/>
        <axId val="100"/>
      </barChart>
      <catAx>
        <axId val="10"/>
        <scaling>
          <orientation val="maxMin"/>
        </scaling>
        <delete val="0"/>
        <axPos val="l"/>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0"/>
        <lblOffset val="100"/>
      </catAx>
      <valAx>
        <axId val="100"/>
        <scaling>
          <orientation val="minMax"/>
        </scaling>
        <delete val="0"/>
        <axPos val="l"/>
        <majorGridlines>
          <spPr>
            <a:ln>
              <a:solidFill>
                <a:srgbClr val="D9D9D9"/>
              </a:solidFill>
              <a:prstDash val="solid"/>
            </a:ln>
          </spPr>
        </majorGridlines>
        <numFmt formatCode="#,##0" sourceLinked="0"/>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
        <crosses val="max"/>
      </valAx>
    </plotArea>
    <plotVisOnly val="1"/>
    <dispBlanksAs val="gap"/>
  </chart>
  <spPr>
    <a:solidFill>
      <a:srgbClr val="FFFFFF"/>
    </a:solidFill>
    <a:ln>
      <a:noFill/>
      <a:prstDash val="solid"/>
    </a:ln>
  </spPr>
</chartSpace>
</file>

<file path=xl/charts/chart31.xml><?xml version="1.0" encoding="utf-8"?>
<chartSpace xmlns:a="http://schemas.openxmlformats.org/drawingml/2006/main" xmlns="http://schemas.openxmlformats.org/drawingml/2006/chart">
  <chart>
    <title>
      <tx>
        <rich>
          <a:bodyPr/>
          <a:p>
            <a:pPr>
              <a:defRPr sz="1200" b="1">
                <a:solidFill>
                  <a:srgbClr val="1F3864"/>
                </a:solidFill>
              </a:defRPr>
            </a:pPr>
            <a:r>
              <a:t>Бренди в е-каталозі: карток</a:t>
            </a:r>
          </a:p>
        </rich>
      </tx>
      <overlay val="0"/>
    </title>
    <plotArea>
      <barChart>
        <barDir val="bar"/>
        <grouping val="clustered"/>
        <ser>
          <idx val="0"/>
          <order val="0"/>
          <tx>
            <strRef>
              <f>'Товари і ТМ'!B76</f>
            </strRef>
          </tx>
          <spPr>
            <a:solidFill>
              <a:srgbClr val="3D7EFF"/>
            </a:solidFill>
            <a:ln>
              <a:noFill/>
              <a:prstDash val="solid"/>
            </a:ln>
          </spPr>
          <cat>
            <numRef>
              <f>'Товари і ТМ'!$A$77:$A$88</f>
            </numRef>
          </cat>
          <val>
            <numRef>
              <f>'Товари і ТМ'!$B$77:$B$88</f>
            </numRef>
          </val>
        </ser>
        <dLbls>
          <numFmt formatCode="#,##0"/>
          <txPr>
            <a:bodyPr vert="horz"/>
            <a:p>
              <a:pPr>
                <a:defRPr sz="900">
                  <a:solidFill>
                    <a:srgbClr val="404040"/>
                  </a:solidFill>
                </a:defRPr>
              </a:pPr>
              <a:endParaRPr sz="900">
                <a:solidFill>
                  <a:srgbClr val="404040"/>
                </a:solidFill>
              </a:endParaRPr>
            </a:p>
          </txPr>
          <dLblPos val="outEnd"/>
          <showLegendKey val="0"/>
          <showVal val="1"/>
          <showCatName val="0"/>
          <showSerName val="0"/>
          <showPercent val="0"/>
          <showBubbleSize val="0"/>
        </dLbls>
        <gapWidth val="60"/>
        <axId val="10"/>
        <axId val="100"/>
      </barChart>
      <catAx>
        <axId val="10"/>
        <scaling>
          <orientation val="maxMin"/>
        </scaling>
        <delete val="0"/>
        <axPos val="l"/>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0"/>
        <lblOffset val="100"/>
      </catAx>
      <valAx>
        <axId val="100"/>
        <scaling>
          <orientation val="minMax"/>
        </scaling>
        <delete val="0"/>
        <axPos val="l"/>
        <majorGridlines>
          <spPr>
            <a:ln>
              <a:solidFill>
                <a:srgbClr val="D9D9D9"/>
              </a:solidFill>
              <a:prstDash val="solid"/>
            </a:ln>
          </spPr>
        </majorGridlines>
        <numFmt formatCode="#,##0" sourceLinked="0"/>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
        <crosses val="max"/>
      </valAx>
    </plotArea>
    <plotVisOnly val="1"/>
    <dispBlanksAs val="gap"/>
  </chart>
  <spPr>
    <a:solidFill>
      <a:srgbClr val="FFFFFF"/>
    </a:solidFill>
    <a:ln>
      <a:noFill/>
      <a:prstDash val="solid"/>
    </a:ln>
  </spPr>
</chartSpace>
</file>

<file path=xl/charts/chart32.xml><?xml version="1.0" encoding="utf-8"?>
<chartSpace xmlns:a="http://schemas.openxmlformats.org/drawingml/2006/main" xmlns="http://schemas.openxmlformats.org/drawingml/2006/chart">
  <chart>
    <title>
      <tx>
        <rich>
          <a:bodyPr/>
          <a:p>
            <a:pPr>
              <a:defRPr sz="1200" b="1">
                <a:solidFill>
                  <a:srgbClr val="1F3864"/>
                </a:solidFill>
              </a:defRPr>
            </a:pPr>
            <a:r>
              <a:t>Цінове позиціонування брендів у каталозі</a:t>
            </a:r>
          </a:p>
        </rich>
      </tx>
      <overlay val="0"/>
    </title>
    <plotArea>
      <barChart>
        <barDir val="bar"/>
        <grouping val="clustered"/>
        <ser>
          <idx val="0"/>
          <order val="0"/>
          <tx>
            <strRef>
              <f>'Товари і ТМ'!B97</f>
            </strRef>
          </tx>
          <spPr>
            <a:solidFill>
              <a:srgbClr val="3D7EFF"/>
            </a:solidFill>
            <a:ln>
              <a:noFill/>
              <a:prstDash val="solid"/>
            </a:ln>
          </spPr>
          <cat>
            <numRef>
              <f>'Товари і ТМ'!$A$98:$A$109</f>
            </numRef>
          </cat>
          <val>
            <numRef>
              <f>'Товари і ТМ'!$B$98:$B$109</f>
            </numRef>
          </val>
        </ser>
        <ser>
          <idx val="1"/>
          <order val="1"/>
          <tx>
            <strRef>
              <f>'Товари і ТМ'!C97</f>
            </strRef>
          </tx>
          <spPr>
            <a:solidFill>
              <a:srgbClr val="3ECF8E"/>
            </a:solidFill>
            <a:ln>
              <a:noFill/>
              <a:prstDash val="solid"/>
            </a:ln>
          </spPr>
          <cat>
            <numRef>
              <f>'Товари і ТМ'!$A$98:$A$109</f>
            </numRef>
          </cat>
          <val>
            <numRef>
              <f>'Товари і ТМ'!$C$98:$C$109</f>
            </numRef>
          </val>
        </ser>
        <gapWidth val="60"/>
        <axId val="10"/>
        <axId val="100"/>
      </barChart>
      <catAx>
        <axId val="10"/>
        <scaling>
          <orientation val="maxMin"/>
        </scaling>
        <delete val="0"/>
        <axPos val="l"/>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0"/>
        <lblOffset val="100"/>
      </catAx>
      <valAx>
        <axId val="100"/>
        <scaling>
          <orientation val="minMax"/>
        </scaling>
        <delete val="0"/>
        <axPos val="l"/>
        <majorGridlines>
          <spPr>
            <a:ln>
              <a:solidFill>
                <a:srgbClr val="D9D9D9"/>
              </a:solidFill>
              <a:prstDash val="solid"/>
            </a:ln>
          </spPr>
        </majorGridlines>
        <numFmt formatCode="#,##0" sourceLinked="0"/>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
        <crosses val="max"/>
      </valAx>
    </plotArea>
    <legend>
      <legendPos val="b"/>
      <overlay val="0"/>
      <txPr>
        <a:bodyPr vert="horz"/>
        <a:p>
          <a:pPr>
            <a:defRPr sz="900">
              <a:solidFill>
                <a:srgbClr val="404040"/>
              </a:solidFill>
            </a:defRPr>
          </a:pPr>
          <a:endParaRPr sz="900">
            <a:solidFill>
              <a:srgbClr val="404040"/>
            </a:solidFill>
          </a:endParaRPr>
        </a:p>
      </txPr>
    </legend>
    <plotVisOnly val="1"/>
    <dispBlanksAs val="gap"/>
  </chart>
  <spPr>
    <a:solidFill>
      <a:srgbClr val="FFFFFF"/>
    </a:solidFill>
    <a:ln>
      <a:noFill/>
      <a:prstDash val="solid"/>
    </a:ln>
  </spPr>
</chartSpace>
</file>

<file path=xl/charts/chart33.xml><?xml version="1.0" encoding="utf-8"?>
<chartSpace xmlns:a="http://schemas.openxmlformats.org/drawingml/2006/main" xmlns="http://schemas.openxmlformats.org/drawingml/2006/chart">
  <chart>
    <title>
      <tx>
        <rich>
          <a:bodyPr/>
          <a:p>
            <a:pPr>
              <a:defRPr sz="1200" b="1">
                <a:solidFill>
                  <a:srgbClr val="1F3864"/>
                </a:solidFill>
              </a:defRPr>
            </a:pPr>
            <a:r>
              <a:t>Що учасники кладуть у пропозиції</a:t>
            </a:r>
          </a:p>
        </rich>
      </tx>
      <overlay val="0"/>
    </title>
    <plotArea>
      <barChart>
        <barDir val="bar"/>
        <grouping val="clustered"/>
        <ser>
          <idx val="0"/>
          <order val="0"/>
          <tx>
            <strRef>
              <f>'Постачання'!B13</f>
            </strRef>
          </tx>
          <spPr>
            <a:solidFill>
              <a:srgbClr val="3D7EFF"/>
            </a:solidFill>
            <a:ln>
              <a:noFill/>
              <a:prstDash val="solid"/>
            </a:ln>
          </spPr>
          <cat>
            <numRef>
              <f>'Постачання'!$A$14:$A$25</f>
            </numRef>
          </cat>
          <val>
            <numRef>
              <f>'Постачання'!$B$14:$B$25</f>
            </numRef>
          </val>
        </ser>
        <dLbls>
          <numFmt formatCode="#,##0"/>
          <txPr>
            <a:bodyPr vert="horz"/>
            <a:p>
              <a:pPr>
                <a:defRPr sz="900">
                  <a:solidFill>
                    <a:srgbClr val="404040"/>
                  </a:solidFill>
                </a:defRPr>
              </a:pPr>
              <a:endParaRPr sz="900">
                <a:solidFill>
                  <a:srgbClr val="404040"/>
                </a:solidFill>
              </a:endParaRPr>
            </a:p>
          </txPr>
          <dLblPos val="outEnd"/>
          <showLegendKey val="0"/>
          <showVal val="1"/>
          <showCatName val="0"/>
          <showSerName val="0"/>
          <showPercent val="0"/>
          <showBubbleSize val="0"/>
        </dLbls>
        <gapWidth val="60"/>
        <axId val="10"/>
        <axId val="100"/>
      </barChart>
      <catAx>
        <axId val="10"/>
        <scaling>
          <orientation val="maxMin"/>
        </scaling>
        <delete val="0"/>
        <axPos val="l"/>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0"/>
        <lblOffset val="100"/>
      </catAx>
      <valAx>
        <axId val="100"/>
        <scaling>
          <orientation val="minMax"/>
        </scaling>
        <delete val="0"/>
        <axPos val="l"/>
        <majorGridlines>
          <spPr>
            <a:ln>
              <a:solidFill>
                <a:srgbClr val="D9D9D9"/>
              </a:solidFill>
              <a:prstDash val="solid"/>
            </a:ln>
          </spPr>
        </majorGridlines>
        <numFmt formatCode="#,##0" sourceLinked="0"/>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
        <crosses val="max"/>
      </valAx>
    </plotArea>
    <plotVisOnly val="1"/>
    <dispBlanksAs val="gap"/>
  </chart>
  <spPr>
    <a:solidFill>
      <a:srgbClr val="FFFFFF"/>
    </a:solidFill>
    <a:ln>
      <a:noFill/>
      <a:prstDash val="solid"/>
    </a:ln>
  </spPr>
</chartSpace>
</file>

<file path=xl/charts/chart34.xml><?xml version="1.0" encoding="utf-8"?>
<chartSpace xmlns:a="http://schemas.openxmlformats.org/drawingml/2006/main" xmlns="http://schemas.openxmlformats.org/drawingml/2006/chart">
  <chart>
    <title>
      <tx>
        <rich>
          <a:bodyPr/>
          <a:p>
            <a:pPr>
              <a:defRPr sz="1200" b="1">
                <a:solidFill>
                  <a:srgbClr val="1F3864"/>
                </a:solidFill>
              </a:defRPr>
            </a:pPr>
            <a:r>
              <a:t>Кількість різних товарних марок, проданих компанією з 02.09.2025 до 02.09.2026</a:t>
            </a:r>
          </a:p>
        </rich>
      </tx>
      <overlay val="0"/>
    </title>
    <plotArea>
      <barChart>
        <barDir val="bar"/>
        <grouping val="clustered"/>
        <ser>
          <idx val="0"/>
          <order val="0"/>
          <tx>
            <strRef>
              <f>'Порівняння'!B13</f>
            </strRef>
          </tx>
          <spPr>
            <a:solidFill>
              <a:srgbClr val="3D7EFF"/>
            </a:solidFill>
            <a:ln>
              <a:noFill/>
              <a:prstDash val="solid"/>
            </a:ln>
          </spPr>
          <dPt>
            <idx val="0"/>
            <spPr>
              <a:solidFill>
                <a:srgbClr val="3ECF8E"/>
              </a:solidFill>
              <a:ln>
                <a:prstDash val="solid"/>
              </a:ln>
            </spPr>
          </dPt>
          <dPt>
            <idx val="1"/>
            <spPr>
              <a:solidFill>
                <a:srgbClr val="3ECF8E"/>
              </a:solidFill>
              <a:ln>
                <a:prstDash val="solid"/>
              </a:ln>
            </spPr>
          </dPt>
          <cat>
            <numRef>
              <f>'Порівняння'!$A$14:$A$27</f>
            </numRef>
          </cat>
          <val>
            <numRef>
              <f>'Порівняння'!$B$14:$B$27</f>
            </numRef>
          </val>
        </ser>
        <dLbls>
          <numFmt formatCode="#,##0"/>
          <txPr>
            <a:bodyPr vert="horz"/>
            <a:p>
              <a:pPr>
                <a:defRPr sz="900">
                  <a:solidFill>
                    <a:srgbClr val="404040"/>
                  </a:solidFill>
                </a:defRPr>
              </a:pPr>
              <a:endParaRPr sz="900">
                <a:solidFill>
                  <a:srgbClr val="404040"/>
                </a:solidFill>
              </a:endParaRPr>
            </a:p>
          </txPr>
          <dLblPos val="outEnd"/>
          <showLegendKey val="0"/>
          <showVal val="1"/>
          <showCatName val="0"/>
          <showSerName val="0"/>
          <showPercent val="0"/>
          <showBubbleSize val="0"/>
        </dLbls>
        <gapWidth val="60"/>
        <axId val="10"/>
        <axId val="100"/>
      </barChart>
      <catAx>
        <axId val="10"/>
        <scaling>
          <orientation val="maxMin"/>
        </scaling>
        <delete val="0"/>
        <axPos val="l"/>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0"/>
        <lblOffset val="100"/>
      </catAx>
      <valAx>
        <axId val="100"/>
        <scaling>
          <orientation val="minMax"/>
        </scaling>
        <delete val="0"/>
        <axPos val="l"/>
        <majorGridlines>
          <spPr>
            <a:ln>
              <a:solidFill>
                <a:srgbClr val="D9D9D9"/>
              </a:solidFill>
              <a:prstDash val="solid"/>
            </a:ln>
          </spPr>
        </majorGridlines>
        <numFmt formatCode="#,##0" sourceLinked="0"/>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
        <crosses val="max"/>
      </valAx>
    </plotArea>
    <plotVisOnly val="1"/>
    <dispBlanksAs val="gap"/>
  </chart>
  <spPr>
    <a:solidFill>
      <a:srgbClr val="FFFFFF"/>
    </a:solidFill>
    <a:ln>
      <a:noFill/>
      <a:prstDash val="solid"/>
    </a:ln>
  </spPr>
</chartSpace>
</file>

<file path=xl/charts/chart35.xml><?xml version="1.0" encoding="utf-8"?>
<chartSpace xmlns:a="http://schemas.openxmlformats.org/drawingml/2006/main" xmlns="http://schemas.openxmlformats.org/drawingml/2006/chart">
  <chart>
    <title>
      <tx>
        <rich>
          <a:bodyPr/>
          <a:p>
            <a:pPr>
              <a:defRPr sz="1200" b="1">
                <a:solidFill>
                  <a:srgbClr val="1F3864"/>
                </a:solidFill>
              </a:defRPr>
            </a:pPr>
            <a:r>
              <a:t>Цінова поведінка: медіанний дисконт</a:t>
            </a:r>
          </a:p>
        </rich>
      </tx>
      <overlay val="0"/>
    </title>
    <plotArea>
      <barChart>
        <barDir val="bar"/>
        <grouping val="clustered"/>
        <ser>
          <idx val="0"/>
          <order val="0"/>
          <tx>
            <strRef>
              <f>'Порівняння'!B36</f>
            </strRef>
          </tx>
          <spPr>
            <a:solidFill>
              <a:srgbClr val="3D7EFF"/>
            </a:solidFill>
            <a:ln>
              <a:noFill/>
              <a:prstDash val="solid"/>
            </a:ln>
          </spPr>
          <dPt>
            <idx val="0"/>
            <spPr>
              <a:solidFill>
                <a:srgbClr val="3ECF8E"/>
              </a:solidFill>
              <a:ln>
                <a:prstDash val="solid"/>
              </a:ln>
            </spPr>
          </dPt>
          <dPt>
            <idx val="1"/>
            <spPr>
              <a:solidFill>
                <a:srgbClr val="3ECF8E"/>
              </a:solidFill>
              <a:ln>
                <a:prstDash val="solid"/>
              </a:ln>
            </spPr>
          </dPt>
          <cat>
            <numRef>
              <f>'Порівняння'!$A$37:$A$50</f>
            </numRef>
          </cat>
          <val>
            <numRef>
              <f>'Порівняння'!$B$37:$B$50</f>
            </numRef>
          </val>
        </ser>
        <dLbls>
          <numFmt formatCode="0.0&quot;%&quot;"/>
          <txPr>
            <a:bodyPr vert="horz"/>
            <a:p>
              <a:pPr>
                <a:defRPr sz="900">
                  <a:solidFill>
                    <a:srgbClr val="404040"/>
                  </a:solidFill>
                </a:defRPr>
              </a:pPr>
              <a:endParaRPr sz="900">
                <a:solidFill>
                  <a:srgbClr val="404040"/>
                </a:solidFill>
              </a:endParaRPr>
            </a:p>
          </txPr>
          <dLblPos val="outEnd"/>
          <showLegendKey val="0"/>
          <showVal val="1"/>
          <showCatName val="0"/>
          <showSerName val="0"/>
          <showPercent val="0"/>
          <showBubbleSize val="0"/>
        </dLbls>
        <gapWidth val="60"/>
        <axId val="10"/>
        <axId val="100"/>
      </barChart>
      <catAx>
        <axId val="10"/>
        <scaling>
          <orientation val="maxMin"/>
        </scaling>
        <delete val="0"/>
        <axPos val="l"/>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0"/>
        <lblOffset val="100"/>
      </catAx>
      <valAx>
        <axId val="100"/>
        <scaling>
          <orientation val="minMax"/>
        </scaling>
        <delete val="0"/>
        <axPos val="l"/>
        <majorGridlines>
          <spPr>
            <a:ln>
              <a:solidFill>
                <a:srgbClr val="D9D9D9"/>
              </a:solidFill>
              <a:prstDash val="solid"/>
            </a:ln>
          </spPr>
        </majorGridlines>
        <numFmt formatCode="0.0&quot;%&quot;" sourceLinked="0"/>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
        <crosses val="max"/>
      </valAx>
    </plotArea>
    <plotVisOnly val="1"/>
    <dispBlanksAs val="gap"/>
  </chart>
  <spPr>
    <a:solidFill>
      <a:srgbClr val="FFFFFF"/>
    </a:solidFill>
    <a:ln>
      <a:noFill/>
      <a:prstDash val="solid"/>
    </a:ln>
  </spPr>
</chartSpace>
</file>

<file path=xl/charts/chart36.xml><?xml version="1.0" encoding="utf-8"?>
<chartSpace xmlns:a="http://schemas.openxmlformats.org/drawingml/2006/main" xmlns="http://schemas.openxmlformats.org/drawingml/2006/chart">
  <chart>
    <title>
      <tx>
        <rich>
          <a:bodyPr/>
          <a:p>
            <a:pPr>
              <a:defRPr sz="1200" b="1">
                <a:solidFill>
                  <a:srgbClr val="1F3864"/>
                </a:solidFill>
              </a:defRPr>
            </a:pPr>
            <a:r>
              <a:t>Підтверджувальні документи у пропозиціях</a:t>
            </a:r>
          </a:p>
        </rich>
      </tx>
      <overlay val="0"/>
    </title>
    <plotArea>
      <barChart>
        <barDir val="bar"/>
        <grouping val="clustered"/>
        <ser>
          <idx val="0"/>
          <order val="0"/>
          <tx>
            <strRef>
              <f>'Порівняння'!B58</f>
            </strRef>
          </tx>
          <spPr>
            <a:solidFill>
              <a:srgbClr val="3D7EFF"/>
            </a:solidFill>
            <a:ln>
              <a:noFill/>
              <a:prstDash val="solid"/>
            </a:ln>
          </spPr>
          <dPt>
            <idx val="0"/>
            <spPr>
              <a:solidFill>
                <a:srgbClr val="3ECF8E"/>
              </a:solidFill>
              <a:ln>
                <a:prstDash val="solid"/>
              </a:ln>
            </spPr>
          </dPt>
          <dPt>
            <idx val="1"/>
            <spPr>
              <a:solidFill>
                <a:srgbClr val="3ECF8E"/>
              </a:solidFill>
              <a:ln>
                <a:prstDash val="solid"/>
              </a:ln>
            </spPr>
          </dPt>
          <cat>
            <numRef>
              <f>'Порівняння'!$A$59:$A$72</f>
            </numRef>
          </cat>
          <val>
            <numRef>
              <f>'Порівняння'!$B$59:$B$72</f>
            </numRef>
          </val>
        </ser>
        <ser>
          <idx val="1"/>
          <order val="1"/>
          <tx>
            <strRef>
              <f>'Порівняння'!C58</f>
            </strRef>
          </tx>
          <spPr>
            <a:solidFill>
              <a:srgbClr val="3ECF8E"/>
            </a:solidFill>
            <a:ln>
              <a:noFill/>
              <a:prstDash val="solid"/>
            </a:ln>
          </spPr>
          <dPt>
            <idx val="0"/>
            <spPr>
              <a:solidFill>
                <a:srgbClr val="3ECF8E"/>
              </a:solidFill>
              <a:ln>
                <a:prstDash val="solid"/>
              </a:ln>
            </spPr>
          </dPt>
          <dPt>
            <idx val="1"/>
            <spPr>
              <a:solidFill>
                <a:srgbClr val="3ECF8E"/>
              </a:solidFill>
              <a:ln>
                <a:prstDash val="solid"/>
              </a:ln>
            </spPr>
          </dPt>
          <cat>
            <numRef>
              <f>'Порівняння'!$A$59:$A$72</f>
            </numRef>
          </cat>
          <val>
            <numRef>
              <f>'Порівняння'!$C$59:$C$72</f>
            </numRef>
          </val>
        </ser>
        <gapWidth val="60"/>
        <axId val="10"/>
        <axId val="100"/>
      </barChart>
      <catAx>
        <axId val="10"/>
        <scaling>
          <orientation val="maxMin"/>
        </scaling>
        <delete val="0"/>
        <axPos val="l"/>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0"/>
        <lblOffset val="100"/>
      </catAx>
      <valAx>
        <axId val="100"/>
        <scaling>
          <orientation val="minMax"/>
        </scaling>
        <delete val="0"/>
        <axPos val="l"/>
        <majorGridlines>
          <spPr>
            <a:ln>
              <a:solidFill>
                <a:srgbClr val="D9D9D9"/>
              </a:solidFill>
              <a:prstDash val="solid"/>
            </a:ln>
          </spPr>
        </majorGridlines>
        <numFmt formatCode="#,##0" sourceLinked="0"/>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
        <crosses val="max"/>
      </valAx>
    </plotArea>
    <legend>
      <legendPos val="b"/>
      <overlay val="0"/>
      <txPr>
        <a:bodyPr vert="horz"/>
        <a:p>
          <a:pPr>
            <a:defRPr sz="900">
              <a:solidFill>
                <a:srgbClr val="404040"/>
              </a:solidFill>
            </a:defRPr>
          </a:pPr>
          <a:endParaRPr sz="900">
            <a:solidFill>
              <a:srgbClr val="404040"/>
            </a:solidFill>
          </a:endParaRPr>
        </a:p>
      </txPr>
    </legend>
    <plotVisOnly val="1"/>
    <dispBlanksAs val="gap"/>
  </chart>
  <spPr>
    <a:solidFill>
      <a:srgbClr val="FFFFFF"/>
    </a:solidFill>
    <a:ln>
      <a:noFill/>
      <a:prstDash val="solid"/>
    </a:ln>
  </spPr>
</chartSpace>
</file>

<file path=xl/charts/chart37.xml><?xml version="1.0" encoding="utf-8"?>
<chartSpace xmlns:a="http://schemas.openxmlformats.org/drawingml/2006/main" xmlns="http://schemas.openxmlformats.org/drawingml/2006/chart">
  <chart>
    <title>
      <tx>
        <rich>
          <a:bodyPr/>
          <a:p>
            <a:pPr>
              <a:defRPr sz="1200" b="1">
                <a:solidFill>
                  <a:srgbClr val="1F3864"/>
                </a:solidFill>
              </a:defRPr>
            </a:pPr>
            <a:r>
              <a:t>Динаміка ринку по місяцях</a:t>
            </a:r>
          </a:p>
        </rich>
      </tx>
      <overlay val="0"/>
    </title>
    <plotArea>
      <lineChart>
        <grouping val="standard"/>
        <ser>
          <idx val="0"/>
          <order val="0"/>
          <tx>
            <strRef>
              <f>'Підсумок'!B26</f>
            </strRef>
          </tx>
          <spPr>
            <a:ln w="22000">
              <a:solidFill>
                <a:srgbClr val="3D7EFF"/>
              </a:solidFill>
              <a:prstDash val="solid"/>
            </a:ln>
          </spPr>
          <marker>
            <symbol val="circle"/>
            <size val="5"/>
            <spPr>
              <a:solidFill>
                <a:srgbClr val="3D7EFF"/>
              </a:solidFill>
              <a:ln>
                <a:prstDash val="solid"/>
              </a:ln>
            </spPr>
          </marker>
          <cat>
            <numRef>
              <f>'Підсумок'!$A$27:$A$39</f>
            </numRef>
          </cat>
          <val>
            <numRef>
              <f>'Підсумок'!$B$27:$B$39</f>
            </numRef>
          </val>
          <smooth val="0"/>
        </ser>
        <ser>
          <idx val="1"/>
          <order val="1"/>
          <tx>
            <strRef>
              <f>'Підсумок'!C26</f>
            </strRef>
          </tx>
          <spPr>
            <a:ln w="22000">
              <a:solidFill>
                <a:srgbClr val="3ECF8E"/>
              </a:solidFill>
              <a:prstDash val="solid"/>
            </a:ln>
          </spPr>
          <marker>
            <symbol val="circle"/>
            <size val="5"/>
            <spPr>
              <a:solidFill>
                <a:srgbClr val="3ECF8E"/>
              </a:solidFill>
              <a:ln>
                <a:prstDash val="solid"/>
              </a:ln>
            </spPr>
          </marker>
          <cat>
            <numRef>
              <f>'Підсумок'!$A$27:$A$39</f>
            </numRef>
          </cat>
          <val>
            <numRef>
              <f>'Підсумок'!$C$27:$C$39</f>
            </numRef>
          </val>
          <smooth val="0"/>
        </ser>
        <axId val="10"/>
        <axId val="100"/>
      </lineChart>
      <catAx>
        <axId val="10"/>
        <scaling>
          <orientation val="minMax"/>
        </scaling>
        <delete val="0"/>
        <axPos val="l"/>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0"/>
        <lblOffset val="100"/>
      </catAx>
      <valAx>
        <axId val="100"/>
        <scaling>
          <orientation val="minMax"/>
        </scaling>
        <delete val="0"/>
        <axPos val="l"/>
        <majorGridlines>
          <spPr>
            <a:ln>
              <a:solidFill>
                <a:srgbClr val="D9D9D9"/>
              </a:solidFill>
              <a:prstDash val="solid"/>
            </a:ln>
          </spPr>
        </majorGridlines>
        <numFmt formatCode="#,##0" sourceLinked="0"/>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
      </valAx>
    </plotArea>
    <legend>
      <legendPos val="b"/>
      <overlay val="0"/>
      <txPr>
        <a:bodyPr vert="horz"/>
        <a:p>
          <a:pPr>
            <a:defRPr sz="900">
              <a:solidFill>
                <a:srgbClr val="404040"/>
              </a:solidFill>
            </a:defRPr>
          </a:pPr>
          <a:endParaRPr sz="900">
            <a:solidFill>
              <a:srgbClr val="404040"/>
            </a:solidFill>
          </a:endParaRPr>
        </a:p>
      </txPr>
    </legend>
    <plotVisOnly val="1"/>
    <dispBlanksAs val="gap"/>
  </chart>
  <spPr>
    <a:solidFill>
      <a:srgbClr val="FFFFFF"/>
    </a:solidFill>
    <a:ln>
      <a:noFill/>
      <a:prstDash val="solid"/>
    </a:ln>
  </spPr>
</chartSpace>
</file>

<file path=xl/charts/chart38.xml><?xml version="1.0" encoding="utf-8"?>
<chartSpace xmlns:a="http://schemas.openxmlformats.org/drawingml/2006/main" xmlns="http://schemas.openxmlformats.org/drawingml/2006/chart">
  <chart>
    <title>
      <tx>
        <rich>
          <a:bodyPr/>
          <a:p>
            <a:pPr>
              <a:defRPr sz="1200" b="1">
                <a:solidFill>
                  <a:srgbClr val="1F3864"/>
                </a:solidFill>
              </a:defRPr>
            </a:pPr>
            <a:r>
              <a:t>Коли гроші розійшлися</a:t>
            </a:r>
          </a:p>
        </rich>
      </tx>
      <overlay val="0"/>
    </title>
    <plotArea>
      <lineChart>
        <grouping val="standard"/>
        <ser>
          <idx val="0"/>
          <order val="0"/>
          <tx>
            <strRef>
              <f>'Підсумок'!B46</f>
            </strRef>
          </tx>
          <spPr>
            <a:ln w="22000">
              <a:solidFill>
                <a:srgbClr val="3D7EFF"/>
              </a:solidFill>
              <a:prstDash val="solid"/>
            </a:ln>
          </spPr>
          <marker>
            <symbol val="circle"/>
            <size val="5"/>
            <spPr>
              <a:solidFill>
                <a:srgbClr val="3D7EFF"/>
              </a:solidFill>
              <a:ln>
                <a:prstDash val="solid"/>
              </a:ln>
            </spPr>
          </marker>
          <cat>
            <numRef>
              <f>'Підсумок'!$A$47:$A$59</f>
            </numRef>
          </cat>
          <val>
            <numRef>
              <f>'Підсумок'!$B$47:$B$59</f>
            </numRef>
          </val>
          <smooth val="0"/>
        </ser>
        <axId val="10"/>
        <axId val="100"/>
      </lineChart>
      <catAx>
        <axId val="10"/>
        <scaling>
          <orientation val="minMax"/>
        </scaling>
        <delete val="0"/>
        <axPos val="l"/>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0"/>
        <lblOffset val="100"/>
      </catAx>
      <valAx>
        <axId val="100"/>
        <scaling>
          <orientation val="minMax"/>
        </scaling>
        <delete val="0"/>
        <axPos val="l"/>
        <majorGridlines>
          <spPr>
            <a:ln>
              <a:solidFill>
                <a:srgbClr val="D9D9D9"/>
              </a:solidFill>
              <a:prstDash val="solid"/>
            </a:ln>
          </spPr>
        </majorGridlines>
        <numFmt formatCode="#,##0" sourceLinked="0"/>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
      </valAx>
    </plotArea>
    <plotVisOnly val="1"/>
    <dispBlanksAs val="gap"/>
  </chart>
  <spPr>
    <a:solidFill>
      <a:srgbClr val="FFFFFF"/>
    </a:solidFill>
    <a:ln>
      <a:noFill/>
      <a:prstDash val="solid"/>
    </a:ln>
  </spPr>
</chartSpace>
</file>

<file path=xl/charts/chart39.xml><?xml version="1.0" encoding="utf-8"?>
<chartSpace xmlns:a="http://schemas.openxmlformats.org/drawingml/2006/main" xmlns="http://schemas.openxmlformats.org/drawingml/2006/chart">
  <chart>
    <title>
      <tx>
        <rich>
          <a:bodyPr/>
          <a:p>
            <a:pPr>
              <a:defRPr sz="1200" b="1">
                <a:solidFill>
                  <a:srgbClr val="1F3864"/>
                </a:solidFill>
              </a:defRPr>
            </a:pPr>
            <a:r>
              <a:t>Ми проти лідерів ринку (топ-12)</a:t>
            </a:r>
          </a:p>
        </rich>
      </tx>
      <overlay val="0"/>
    </title>
    <plotArea>
      <barChart>
        <barDir val="bar"/>
        <grouping val="clustered"/>
        <ser>
          <idx val="0"/>
          <order val="0"/>
          <tx>
            <strRef>
              <f>'Підсумок'!B66</f>
            </strRef>
          </tx>
          <spPr>
            <a:solidFill>
              <a:srgbClr val="3D7EFF"/>
            </a:solidFill>
            <a:ln>
              <a:noFill/>
              <a:prstDash val="solid"/>
            </a:ln>
          </spPr>
          <dPt>
            <idx val="2"/>
            <spPr>
              <a:solidFill>
                <a:srgbClr val="3ECF8E"/>
              </a:solidFill>
              <a:ln>
                <a:prstDash val="solid"/>
              </a:ln>
            </spPr>
          </dPt>
          <dPt>
            <idx val="12"/>
            <spPr>
              <a:solidFill>
                <a:srgbClr val="3ECF8E"/>
              </a:solidFill>
              <a:ln>
                <a:prstDash val="solid"/>
              </a:ln>
            </spPr>
          </dPt>
          <cat>
            <numRef>
              <f>'Підсумок'!$A$67:$A$79</f>
            </numRef>
          </cat>
          <val>
            <numRef>
              <f>'Підсумок'!$B$67:$B$79</f>
            </numRef>
          </val>
        </ser>
        <dLbls>
          <numFmt formatCode="#,##0"/>
          <txPr>
            <a:bodyPr vert="horz"/>
            <a:p>
              <a:pPr>
                <a:defRPr sz="900">
                  <a:solidFill>
                    <a:srgbClr val="404040"/>
                  </a:solidFill>
                </a:defRPr>
              </a:pPr>
              <a:endParaRPr sz="900">
                <a:solidFill>
                  <a:srgbClr val="404040"/>
                </a:solidFill>
              </a:endParaRPr>
            </a:p>
          </txPr>
          <dLblPos val="outEnd"/>
          <showLegendKey val="0"/>
          <showVal val="1"/>
          <showCatName val="0"/>
          <showSerName val="0"/>
          <showPercent val="0"/>
          <showBubbleSize val="0"/>
        </dLbls>
        <gapWidth val="60"/>
        <axId val="10"/>
        <axId val="100"/>
      </barChart>
      <catAx>
        <axId val="10"/>
        <scaling>
          <orientation val="maxMin"/>
        </scaling>
        <delete val="0"/>
        <axPos val="l"/>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0"/>
        <lblOffset val="100"/>
      </catAx>
      <valAx>
        <axId val="100"/>
        <scaling>
          <orientation val="minMax"/>
        </scaling>
        <delete val="0"/>
        <axPos val="l"/>
        <majorGridlines>
          <spPr>
            <a:ln>
              <a:solidFill>
                <a:srgbClr val="D9D9D9"/>
              </a:solidFill>
              <a:prstDash val="solid"/>
            </a:ln>
          </spPr>
        </majorGridlines>
        <numFmt formatCode="#,##0" sourceLinked="0"/>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
        <crosses val="max"/>
      </valAx>
    </plotArea>
    <plotVisOnly val="1"/>
    <dispBlanksAs val="gap"/>
  </chart>
  <spPr>
    <a:solidFill>
      <a:srgbClr val="FFFFFF"/>
    </a:solidFill>
    <a:ln>
      <a:noFill/>
      <a:prstDash val="solid"/>
    </a:ln>
  </spPr>
</chartSpace>
</file>

<file path=xl/charts/chart40.xml><?xml version="1.0" encoding="utf-8"?>
<chartSpace xmlns:a="http://schemas.openxmlformats.org/drawingml/2006/main" xmlns="http://schemas.openxmlformats.org/drawingml/2006/chart">
  <chart>
    <title>
      <tx>
        <rich>
          <a:bodyPr/>
          <a:p>
            <a:pPr>
              <a:defRPr sz="1200" b="1">
                <a:solidFill>
                  <a:srgbClr val="1F3864"/>
                </a:solidFill>
              </a:defRPr>
            </a:pPr>
            <a:r>
              <a:t>Де ми не брали участі — за галузями</a:t>
            </a:r>
          </a:p>
        </rich>
      </tx>
      <overlay val="0"/>
    </title>
    <plotArea>
      <barChart>
        <barDir val="bar"/>
        <grouping val="clustered"/>
        <ser>
          <idx val="0"/>
          <order val="0"/>
          <tx>
            <strRef>
              <f>'Підсумок'!B87</f>
            </strRef>
          </tx>
          <spPr>
            <a:solidFill>
              <a:srgbClr val="3D7EFF"/>
            </a:solidFill>
            <a:ln>
              <a:noFill/>
              <a:prstDash val="solid"/>
            </a:ln>
          </spPr>
          <cat>
            <numRef>
              <f>'Підсумок'!$A$88:$A$89</f>
            </numRef>
          </cat>
          <val>
            <numRef>
              <f>'Підсумок'!$B$88:$B$89</f>
            </numRef>
          </val>
        </ser>
        <dLbls>
          <numFmt formatCode="#,##0"/>
          <txPr>
            <a:bodyPr vert="horz"/>
            <a:p>
              <a:pPr>
                <a:defRPr sz="900">
                  <a:solidFill>
                    <a:srgbClr val="404040"/>
                  </a:solidFill>
                </a:defRPr>
              </a:pPr>
              <a:endParaRPr sz="900">
                <a:solidFill>
                  <a:srgbClr val="404040"/>
                </a:solidFill>
              </a:endParaRPr>
            </a:p>
          </txPr>
          <dLblPos val="outEnd"/>
          <showLegendKey val="0"/>
          <showVal val="1"/>
          <showCatName val="0"/>
          <showSerName val="0"/>
          <showPercent val="0"/>
          <showBubbleSize val="0"/>
        </dLbls>
        <gapWidth val="150"/>
        <axId val="10"/>
        <axId val="100"/>
      </barChart>
      <catAx>
        <axId val="10"/>
        <scaling>
          <orientation val="maxMin"/>
        </scaling>
        <delete val="0"/>
        <axPos val="l"/>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0"/>
        <lblOffset val="100"/>
      </catAx>
      <valAx>
        <axId val="100"/>
        <scaling>
          <orientation val="minMax"/>
        </scaling>
        <delete val="0"/>
        <axPos val="l"/>
        <majorGridlines>
          <spPr>
            <a:ln>
              <a:solidFill>
                <a:srgbClr val="D9D9D9"/>
              </a:solidFill>
              <a:prstDash val="solid"/>
            </a:ln>
          </spPr>
        </majorGridlines>
        <numFmt formatCode="#,##0" sourceLinked="0"/>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
        <crosses val="max"/>
      </valAx>
    </plotArea>
    <plotVisOnly val="1"/>
    <dispBlanksAs val="gap"/>
  </chart>
  <spPr>
    <a:solidFill>
      <a:srgbClr val="FFFFFF"/>
    </a:solidFill>
    <a:ln>
      <a:noFill/>
      <a:prstDash val="solid"/>
    </a:ln>
  </spPr>
</chartSpace>
</file>

<file path=xl/charts/chart41.xml><?xml version="1.0" encoding="utf-8"?>
<chartSpace xmlns:a="http://schemas.openxmlformats.org/drawingml/2006/main" xmlns="http://schemas.openxmlformats.org/drawingml/2006/chart">
  <chart>
    <title>
      <tx>
        <rich>
          <a:bodyPr/>
          <a:p>
            <a:pPr>
              <a:defRPr sz="1200" b="1">
                <a:solidFill>
                  <a:srgbClr val="1F3864"/>
                </a:solidFill>
              </a:defRPr>
            </a:pPr>
            <a:r>
              <a:t>Зауваження до даних за типом</a:t>
            </a:r>
          </a:p>
        </rich>
      </tx>
      <overlay val="0"/>
    </title>
    <plotArea>
      <barChart>
        <barDir val="bar"/>
        <grouping val="clustered"/>
        <ser>
          <idx val="0"/>
          <order val="0"/>
          <tx>
            <strRef>
              <f>'Очищення'!B20</f>
            </strRef>
          </tx>
          <spPr>
            <a:solidFill>
              <a:srgbClr val="3D7EFF"/>
            </a:solidFill>
            <a:ln>
              <a:noFill/>
              <a:prstDash val="solid"/>
            </a:ln>
          </spPr>
          <cat>
            <numRef>
              <f>'Очищення'!$A$21:$A$23</f>
            </numRef>
          </cat>
          <val>
            <numRef>
              <f>'Очищення'!$B$21:$B$23</f>
            </numRef>
          </val>
        </ser>
        <dLbls>
          <numFmt formatCode="#,##0"/>
          <txPr>
            <a:bodyPr vert="horz"/>
            <a:p>
              <a:pPr>
                <a:defRPr sz="900">
                  <a:solidFill>
                    <a:srgbClr val="404040"/>
                  </a:solidFill>
                </a:defRPr>
              </a:pPr>
              <a:endParaRPr sz="900">
                <a:solidFill>
                  <a:srgbClr val="404040"/>
                </a:solidFill>
              </a:endParaRPr>
            </a:p>
          </txPr>
          <dLblPos val="outEnd"/>
          <showLegendKey val="0"/>
          <showVal val="1"/>
          <showCatName val="0"/>
          <showSerName val="0"/>
          <showPercent val="0"/>
          <showBubbleSize val="0"/>
        </dLbls>
        <gapWidth val="150"/>
        <axId val="10"/>
        <axId val="100"/>
      </barChart>
      <catAx>
        <axId val="10"/>
        <scaling>
          <orientation val="maxMin"/>
        </scaling>
        <delete val="0"/>
        <axPos val="l"/>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0"/>
        <lblOffset val="100"/>
      </catAx>
      <valAx>
        <axId val="100"/>
        <scaling>
          <orientation val="minMax"/>
        </scaling>
        <delete val="0"/>
        <axPos val="l"/>
        <majorGridlines>
          <spPr>
            <a:ln>
              <a:solidFill>
                <a:srgbClr val="D9D9D9"/>
              </a:solidFill>
              <a:prstDash val="solid"/>
            </a:ln>
          </spPr>
        </majorGridlines>
        <numFmt formatCode="#,##0" sourceLinked="0"/>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
        <crosses val="max"/>
      </valAx>
    </plotArea>
    <plotVisOnly val="1"/>
    <dispBlanksAs val="gap"/>
  </chart>
  <spPr>
    <a:solidFill>
      <a:srgbClr val="FFFFFF"/>
    </a:solidFill>
    <a:ln>
      <a:noFill/>
      <a:prstDash val="solid"/>
    </a:ln>
  </spPr>
</chartSpace>
</file>

<file path=xl/charts/chart42.xml><?xml version="1.0" encoding="utf-8"?>
<chartSpace xmlns:a="http://schemas.openxmlformats.org/drawingml/2006/main" xmlns="http://schemas.openxmlformats.org/drawingml/2006/chart">
  <chart>
    <title>
      <tx>
        <rich>
          <a:bodyPr/>
          <a:p>
            <a:pPr>
              <a:defRPr sz="1200" b="1">
                <a:solidFill>
                  <a:srgbClr val="1F3864"/>
                </a:solidFill>
              </a:defRPr>
            </a:pPr>
            <a:r>
              <a:t>Розподіл угод за сумою</a:t>
            </a:r>
          </a:p>
        </rich>
      </tx>
      <overlay val="0"/>
    </title>
    <plotArea>
      <barChart>
        <barDir val="col"/>
        <grouping val="clustered"/>
        <ser>
          <idx val="0"/>
          <order val="0"/>
          <tx>
            <strRef>
              <f>'Очищення'!B37</f>
            </strRef>
          </tx>
          <spPr>
            <a:solidFill>
              <a:srgbClr val="3D7EFF"/>
            </a:solidFill>
            <a:ln>
              <a:noFill/>
              <a:prstDash val="solid"/>
            </a:ln>
          </spPr>
          <cat>
            <numRef>
              <f>'Очищення'!$A$38:$A$43</f>
            </numRef>
          </cat>
          <val>
            <numRef>
              <f>'Очищення'!$B$38:$B$43</f>
            </numRef>
          </val>
        </ser>
        <dLbls>
          <numFmt formatCode="#,##0"/>
          <txPr>
            <a:bodyPr vert="horz"/>
            <a:p>
              <a:pPr>
                <a:defRPr sz="900">
                  <a:solidFill>
                    <a:srgbClr val="404040"/>
                  </a:solidFill>
                </a:defRPr>
              </a:pPr>
              <a:endParaRPr sz="900">
                <a:solidFill>
                  <a:srgbClr val="404040"/>
                </a:solidFill>
              </a:endParaRPr>
            </a:p>
          </txPr>
          <dLblPos val="outEnd"/>
          <showLegendKey val="0"/>
          <showVal val="1"/>
          <showCatName val="0"/>
          <showSerName val="0"/>
          <showPercent val="0"/>
          <showBubbleSize val="0"/>
        </dLbls>
        <gapWidth val="60"/>
        <axId val="10"/>
        <axId val="100"/>
      </barChart>
      <catAx>
        <axId val="10"/>
        <scaling>
          <orientation val="minMax"/>
        </scaling>
        <delete val="0"/>
        <axPos val="l"/>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0"/>
        <lblOffset val="100"/>
      </catAx>
      <valAx>
        <axId val="100"/>
        <scaling>
          <orientation val="minMax"/>
        </scaling>
        <delete val="0"/>
        <axPos val="l"/>
        <majorGridlines>
          <spPr>
            <a:ln>
              <a:solidFill>
                <a:srgbClr val="D9D9D9"/>
              </a:solidFill>
              <a:prstDash val="solid"/>
            </a:ln>
          </spPr>
        </majorGridlines>
        <numFmt formatCode="#,##0" sourceLinked="0"/>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
      </valAx>
    </plotArea>
    <plotVisOnly val="1"/>
    <dispBlanksAs val="gap"/>
  </chart>
  <spPr>
    <a:solidFill>
      <a:srgbClr val="FFFFFF"/>
    </a:solidFill>
    <a:ln>
      <a:noFill/>
      <a:prstDash val="solid"/>
    </a:ln>
  </spPr>
</chartSpace>
</file>

<file path=xl/charts/chart43.xml><?xml version="1.0" encoding="utf-8"?>
<chartSpace xmlns:a="http://schemas.openxmlformats.org/drawingml/2006/main" xmlns="http://schemas.openxmlformats.org/drawingml/2006/chart">
  <chart>
    <title>
      <tx>
        <rich>
          <a:bodyPr/>
          <a:p>
            <a:pPr>
              <a:defRPr sz="1200" b="1">
                <a:solidFill>
                  <a:srgbClr val="1F3864"/>
                </a:solidFill>
              </a:defRPr>
            </a:pPr>
            <a:r>
              <a:t>Ціна за одиницю проти кількості</a:t>
            </a:r>
          </a:p>
        </rich>
      </tx>
      <overlay val="0"/>
    </title>
    <plotArea>
      <scatterChart>
        <ser>
          <idx val="0"/>
          <order val="0"/>
          <tx>
            <strRef>
              <f>'Очищення'!B57</f>
            </strRef>
          </tx>
          <spPr>
            <a:ln>
              <a:noFill/>
              <a:prstDash val="solid"/>
            </a:ln>
          </spPr>
          <marker>
            <symbol val="circle"/>
            <size val="5"/>
            <spPr>
              <a:solidFill>
                <a:srgbClr val="3D7EFF"/>
              </a:solidFill>
              <a:ln>
                <a:prstDash val="solid"/>
              </a:ln>
            </spPr>
          </marker>
          <xVal>
            <numRef>
              <f>'Очищення'!$A$58:$A$1057</f>
            </numRef>
          </xVal>
          <yVal>
            <numRef>
              <f>'Очищення'!$B$58:$B$1057</f>
            </numRef>
          </yVal>
        </ser>
        <ser>
          <idx val="1"/>
          <order val="1"/>
          <tx>
            <strRef>
              <f>'Очищення'!C57</f>
            </strRef>
          </tx>
          <spPr>
            <a:ln>
              <a:noFill/>
              <a:prstDash val="solid"/>
            </a:ln>
          </spPr>
          <marker>
            <symbol val="circle"/>
            <size val="5"/>
            <spPr>
              <a:solidFill>
                <a:srgbClr val="EF5F5F"/>
              </a:solidFill>
              <a:ln>
                <a:prstDash val="solid"/>
              </a:ln>
            </spPr>
          </marker>
          <xVal>
            <numRef>
              <f>'Очищення'!$A$58:$A$1057</f>
            </numRef>
          </xVal>
          <yVal>
            <numRef>
              <f>'Очищення'!$C$58:$C$1057</f>
            </numRef>
          </yVal>
        </ser>
        <axId val="10"/>
        <axId val="20"/>
      </scatterChart>
      <valAx>
        <axId val="10"/>
        <scaling>
          <orientation val="minMax"/>
        </scaling>
        <delete val="0"/>
        <axPos val="l"/>
        <title>
          <tx>
            <rich>
              <a:bodyPr/>
              <a:p>
                <a:pPr>
                  <a:defRPr sz="900" b="1">
                    <a:solidFill>
                      <a:srgbClr val="404040"/>
                    </a:solidFill>
                  </a:defRPr>
                </a:pPr>
                <a:r>
                  <a:t>Кількість, порядок величини</a:t>
                </a:r>
              </a:p>
            </rich>
          </tx>
          <overlay val="0"/>
        </title>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20"/>
      </valAx>
      <valAx>
        <axId val="20"/>
        <scaling>
          <orientation val="minMax"/>
        </scaling>
        <delete val="0"/>
        <axPos val="l"/>
        <majorGridlines>
          <spPr>
            <a:ln>
              <a:solidFill>
                <a:srgbClr val="D9D9D9"/>
              </a:solidFill>
              <a:prstDash val="solid"/>
            </a:ln>
          </spPr>
        </majorGridlines>
        <title>
          <tx>
            <rich>
              <a:bodyPr/>
              <a:p>
                <a:pPr>
                  <a:defRPr sz="900" b="1">
                    <a:solidFill>
                      <a:srgbClr val="404040"/>
                    </a:solidFill>
                  </a:defRPr>
                </a:pPr>
                <a:r>
                  <a:t>Ціна за одиницю, порядок величини</a:t>
                </a:r>
              </a:p>
            </rich>
          </tx>
          <overlay val="0"/>
        </title>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
      </valAx>
    </plotArea>
    <plotVisOnly val="1"/>
    <dispBlanksAs val="gap"/>
  </chart>
  <spPr>
    <a:solidFill>
      <a:srgbClr val="FFFFFF"/>
    </a:solidFill>
    <a:ln>
      <a:noFill/>
      <a:prstDash val="solid"/>
    </a:ln>
  </spPr>
</chartSpace>
</file>

<file path=xl/charts/chart44.xml><?xml version="1.0" encoding="utf-8"?>
<chartSpace xmlns:a="http://schemas.openxmlformats.org/drawingml/2006/main" xmlns="http://schemas.openxmlformats.org/drawingml/2006/chart">
  <chart>
    <title>
      <tx>
        <rich>
          <a:bodyPr/>
          <a:p>
            <a:pPr>
              <a:defRPr sz="1200" b="1">
                <a:solidFill>
                  <a:srgbClr val="1F3864"/>
                </a:solidFill>
              </a:defRPr>
            </a:pPr>
            <a:r>
              <a:t>Динаміка ринку по місяцях</a:t>
            </a:r>
          </a:p>
        </rich>
      </tx>
      <overlay val="0"/>
    </title>
    <plotArea>
      <lineChart>
        <grouping val="standard"/>
        <ser>
          <idx val="0"/>
          <order val="0"/>
          <tx>
            <strRef>
              <f>'Ринок'!B34</f>
            </strRef>
          </tx>
          <spPr>
            <a:ln w="22000">
              <a:solidFill>
                <a:srgbClr val="3D7EFF"/>
              </a:solidFill>
              <a:prstDash val="solid"/>
            </a:ln>
          </spPr>
          <marker>
            <symbol val="circle"/>
            <size val="5"/>
            <spPr>
              <a:solidFill>
                <a:srgbClr val="3D7EFF"/>
              </a:solidFill>
              <a:ln>
                <a:prstDash val="solid"/>
              </a:ln>
            </spPr>
          </marker>
          <cat>
            <numRef>
              <f>'Ринок'!$A$35:$A$47</f>
            </numRef>
          </cat>
          <val>
            <numRef>
              <f>'Ринок'!$B$35:$B$47</f>
            </numRef>
          </val>
          <smooth val="0"/>
        </ser>
        <ser>
          <idx val="1"/>
          <order val="1"/>
          <tx>
            <strRef>
              <f>'Ринок'!C34</f>
            </strRef>
          </tx>
          <spPr>
            <a:ln w="22000">
              <a:solidFill>
                <a:srgbClr val="3ECF8E"/>
              </a:solidFill>
              <a:prstDash val="solid"/>
            </a:ln>
          </spPr>
          <marker>
            <symbol val="circle"/>
            <size val="5"/>
            <spPr>
              <a:solidFill>
                <a:srgbClr val="3ECF8E"/>
              </a:solidFill>
              <a:ln>
                <a:prstDash val="solid"/>
              </a:ln>
            </spPr>
          </marker>
          <cat>
            <numRef>
              <f>'Ринок'!$A$35:$A$47</f>
            </numRef>
          </cat>
          <val>
            <numRef>
              <f>'Ринок'!$C$35:$C$47</f>
            </numRef>
          </val>
          <smooth val="0"/>
        </ser>
        <axId val="10"/>
        <axId val="100"/>
      </lineChart>
      <catAx>
        <axId val="10"/>
        <scaling>
          <orientation val="minMax"/>
        </scaling>
        <delete val="0"/>
        <axPos val="l"/>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0"/>
        <lblOffset val="100"/>
      </catAx>
      <valAx>
        <axId val="100"/>
        <scaling>
          <orientation val="minMax"/>
        </scaling>
        <delete val="0"/>
        <axPos val="l"/>
        <majorGridlines>
          <spPr>
            <a:ln>
              <a:solidFill>
                <a:srgbClr val="D9D9D9"/>
              </a:solidFill>
              <a:prstDash val="solid"/>
            </a:ln>
          </spPr>
        </majorGridlines>
        <numFmt formatCode="#,##0" sourceLinked="0"/>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
      </valAx>
    </plotArea>
    <legend>
      <legendPos val="b"/>
      <overlay val="0"/>
      <txPr>
        <a:bodyPr vert="horz"/>
        <a:p>
          <a:pPr>
            <a:defRPr sz="900">
              <a:solidFill>
                <a:srgbClr val="404040"/>
              </a:solidFill>
            </a:defRPr>
          </a:pPr>
          <a:endParaRPr sz="900">
            <a:solidFill>
              <a:srgbClr val="404040"/>
            </a:solidFill>
          </a:endParaRPr>
        </a:p>
      </txPr>
    </legend>
    <plotVisOnly val="1"/>
    <dispBlanksAs val="gap"/>
  </chart>
  <spPr>
    <a:solidFill>
      <a:srgbClr val="FFFFFF"/>
    </a:solidFill>
    <a:ln>
      <a:noFill/>
      <a:prstDash val="solid"/>
    </a:ln>
  </spPr>
</chartSpace>
</file>

<file path=xl/charts/chart45.xml><?xml version="1.0" encoding="utf-8"?>
<chartSpace xmlns:a="http://schemas.openxmlformats.org/drawingml/2006/main" xmlns="http://schemas.openxmlformats.org/drawingml/2006/chart">
  <chart>
    <title>
      <tx>
        <rich>
          <a:bodyPr/>
          <a:p>
            <a:pPr>
              <a:defRPr sz="1200" b="1">
                <a:solidFill>
                  <a:srgbClr val="1F3864"/>
                </a:solidFill>
              </a:defRPr>
            </a:pPr>
            <a:r>
              <a:t>Коли гроші розійшлися</a:t>
            </a:r>
          </a:p>
        </rich>
      </tx>
      <overlay val="0"/>
    </title>
    <plotArea>
      <lineChart>
        <grouping val="standard"/>
        <ser>
          <idx val="0"/>
          <order val="0"/>
          <tx>
            <strRef>
              <f>'Ринок'!B54</f>
            </strRef>
          </tx>
          <spPr>
            <a:ln w="22000">
              <a:solidFill>
                <a:srgbClr val="3D7EFF"/>
              </a:solidFill>
              <a:prstDash val="solid"/>
            </a:ln>
          </spPr>
          <marker>
            <symbol val="circle"/>
            <size val="5"/>
            <spPr>
              <a:solidFill>
                <a:srgbClr val="3D7EFF"/>
              </a:solidFill>
              <a:ln>
                <a:prstDash val="solid"/>
              </a:ln>
            </spPr>
          </marker>
          <cat>
            <numRef>
              <f>'Ринок'!$A$55:$A$67</f>
            </numRef>
          </cat>
          <val>
            <numRef>
              <f>'Ринок'!$B$55:$B$67</f>
            </numRef>
          </val>
          <smooth val="0"/>
        </ser>
        <axId val="10"/>
        <axId val="100"/>
      </lineChart>
      <catAx>
        <axId val="10"/>
        <scaling>
          <orientation val="minMax"/>
        </scaling>
        <delete val="0"/>
        <axPos val="l"/>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0"/>
        <lblOffset val="100"/>
      </catAx>
      <valAx>
        <axId val="100"/>
        <scaling>
          <orientation val="minMax"/>
        </scaling>
        <delete val="0"/>
        <axPos val="l"/>
        <majorGridlines>
          <spPr>
            <a:ln>
              <a:solidFill>
                <a:srgbClr val="D9D9D9"/>
              </a:solidFill>
              <a:prstDash val="solid"/>
            </a:ln>
          </spPr>
        </majorGridlines>
        <numFmt formatCode="#,##0" sourceLinked="0"/>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
      </valAx>
    </plotArea>
    <plotVisOnly val="1"/>
    <dispBlanksAs val="gap"/>
  </chart>
  <spPr>
    <a:solidFill>
      <a:srgbClr val="FFFFFF"/>
    </a:solidFill>
    <a:ln>
      <a:noFill/>
      <a:prstDash val="solid"/>
    </a:ln>
  </spPr>
</chartSpace>
</file>

<file path=xl/charts/chart46.xml><?xml version="1.0" encoding="utf-8"?>
<chartSpace xmlns:a="http://schemas.openxmlformats.org/drawingml/2006/main" xmlns="http://schemas.openxmlformats.org/drawingml/2006/chart">
  <chart>
    <title>
      <tx>
        <rich>
          <a:bodyPr/>
          <a:p>
            <a:pPr>
              <a:defRPr sz="1200" b="1">
                <a:solidFill>
                  <a:srgbClr val="1F3864"/>
                </a:solidFill>
              </a:defRPr>
            </a:pPr>
            <a:r>
              <a:t>Кількість закупівель по місяцях</a:t>
            </a:r>
          </a:p>
        </rich>
      </tx>
      <overlay val="0"/>
    </title>
    <plotArea>
      <barChart>
        <barDir val="col"/>
        <grouping val="clustered"/>
        <ser>
          <idx val="0"/>
          <order val="0"/>
          <tx>
            <strRef>
              <f>'Ринок'!B74</f>
            </strRef>
          </tx>
          <spPr>
            <a:solidFill>
              <a:srgbClr val="3D7EFF"/>
            </a:solidFill>
            <a:ln>
              <a:noFill/>
              <a:prstDash val="solid"/>
            </a:ln>
          </spPr>
          <cat>
            <numRef>
              <f>'Ринок'!$A$75:$A$87</f>
            </numRef>
          </cat>
          <val>
            <numRef>
              <f>'Ринок'!$B$75:$B$87</f>
            </numRef>
          </val>
        </ser>
        <dLbls>
          <numFmt formatCode="#,##0"/>
          <txPr>
            <a:bodyPr vert="horz"/>
            <a:p>
              <a:pPr>
                <a:defRPr sz="900">
                  <a:solidFill>
                    <a:srgbClr val="404040"/>
                  </a:solidFill>
                </a:defRPr>
              </a:pPr>
              <a:endParaRPr sz="900">
                <a:solidFill>
                  <a:srgbClr val="404040"/>
                </a:solidFill>
              </a:endParaRPr>
            </a:p>
          </txPr>
          <dLblPos val="outEnd"/>
          <showLegendKey val="0"/>
          <showVal val="1"/>
          <showCatName val="0"/>
          <showSerName val="0"/>
          <showPercent val="0"/>
          <showBubbleSize val="0"/>
        </dLbls>
        <gapWidth val="60"/>
        <axId val="10"/>
        <axId val="100"/>
      </barChart>
      <catAx>
        <axId val="10"/>
        <scaling>
          <orientation val="minMax"/>
        </scaling>
        <delete val="0"/>
        <axPos val="l"/>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0"/>
        <lblOffset val="100"/>
      </catAx>
      <valAx>
        <axId val="100"/>
        <scaling>
          <orientation val="minMax"/>
        </scaling>
        <delete val="0"/>
        <axPos val="l"/>
        <majorGridlines>
          <spPr>
            <a:ln>
              <a:solidFill>
                <a:srgbClr val="D9D9D9"/>
              </a:solidFill>
              <a:prstDash val="solid"/>
            </a:ln>
          </spPr>
        </majorGridlines>
        <numFmt formatCode="#,##0" sourceLinked="0"/>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
      </valAx>
    </plotArea>
    <plotVisOnly val="1"/>
    <dispBlanksAs val="gap"/>
  </chart>
  <spPr>
    <a:solidFill>
      <a:srgbClr val="FFFFFF"/>
    </a:solidFill>
    <a:ln>
      <a:noFill/>
      <a:prstDash val="solid"/>
    </a:ln>
  </spPr>
</chartSpace>
</file>

<file path=xl/charts/chart47.xml><?xml version="1.0" encoding="utf-8"?>
<chartSpace xmlns:a="http://schemas.openxmlformats.org/drawingml/2006/main" xmlns="http://schemas.openxmlformats.org/drawingml/2006/chart">
  <chart>
    <title>
      <tx>
        <rich>
          <a:bodyPr/>
          <a:p>
            <a:pPr>
              <a:defRPr sz="1200" b="1">
                <a:solidFill>
                  <a:srgbClr val="1F3864"/>
                </a:solidFill>
              </a:defRPr>
            </a:pPr>
            <a:r>
              <a:t>Топ-15 постачальників за сумою угод</a:t>
            </a:r>
          </a:p>
        </rich>
      </tx>
      <overlay val="0"/>
    </title>
    <plotArea>
      <barChart>
        <barDir val="bar"/>
        <grouping val="clustered"/>
        <ser>
          <idx val="0"/>
          <order val="0"/>
          <tx>
            <strRef>
              <f>'Ринок'!B94</f>
            </strRef>
          </tx>
          <spPr>
            <a:solidFill>
              <a:srgbClr val="3D7EFF"/>
            </a:solidFill>
            <a:ln>
              <a:noFill/>
              <a:prstDash val="solid"/>
            </a:ln>
          </spPr>
          <dPt>
            <idx val="2"/>
            <spPr>
              <a:solidFill>
                <a:srgbClr val="3ECF8E"/>
              </a:solidFill>
              <a:ln>
                <a:prstDash val="solid"/>
              </a:ln>
            </spPr>
          </dPt>
          <dPt>
            <idx val="15"/>
            <spPr>
              <a:solidFill>
                <a:srgbClr val="3ECF8E"/>
              </a:solidFill>
              <a:ln>
                <a:prstDash val="solid"/>
              </a:ln>
            </spPr>
          </dPt>
          <cat>
            <numRef>
              <f>'Ринок'!$A$95:$A$110</f>
            </numRef>
          </cat>
          <val>
            <numRef>
              <f>'Ринок'!$B$95:$B$110</f>
            </numRef>
          </val>
        </ser>
        <dLbls>
          <numFmt formatCode="#,##0"/>
          <txPr>
            <a:bodyPr vert="horz"/>
            <a:p>
              <a:pPr>
                <a:defRPr sz="900">
                  <a:solidFill>
                    <a:srgbClr val="404040"/>
                  </a:solidFill>
                </a:defRPr>
              </a:pPr>
              <a:endParaRPr sz="900">
                <a:solidFill>
                  <a:srgbClr val="404040"/>
                </a:solidFill>
              </a:endParaRPr>
            </a:p>
          </txPr>
          <dLblPos val="outEnd"/>
          <showLegendKey val="0"/>
          <showVal val="1"/>
          <showCatName val="0"/>
          <showSerName val="0"/>
          <showPercent val="0"/>
          <showBubbleSize val="0"/>
        </dLbls>
        <gapWidth val="60"/>
        <axId val="10"/>
        <axId val="100"/>
      </barChart>
      <catAx>
        <axId val="10"/>
        <scaling>
          <orientation val="maxMin"/>
        </scaling>
        <delete val="0"/>
        <axPos val="l"/>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0"/>
        <lblOffset val="100"/>
      </catAx>
      <valAx>
        <axId val="100"/>
        <scaling>
          <orientation val="minMax"/>
        </scaling>
        <delete val="0"/>
        <axPos val="l"/>
        <majorGridlines>
          <spPr>
            <a:ln>
              <a:solidFill>
                <a:srgbClr val="D9D9D9"/>
              </a:solidFill>
              <a:prstDash val="solid"/>
            </a:ln>
          </spPr>
        </majorGridlines>
        <numFmt formatCode="#,##0" sourceLinked="0"/>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
        <crosses val="max"/>
      </valAx>
    </plotArea>
    <plotVisOnly val="1"/>
    <dispBlanksAs val="gap"/>
  </chart>
  <spPr>
    <a:solidFill>
      <a:srgbClr val="FFFFFF"/>
    </a:solidFill>
    <a:ln>
      <a:noFill/>
      <a:prstDash val="solid"/>
    </a:ln>
  </spPr>
</chartSpace>
</file>

<file path=xl/charts/chart48.xml><?xml version="1.0" encoding="utf-8"?>
<chartSpace xmlns:a="http://schemas.openxmlformats.org/drawingml/2006/main" xmlns="http://schemas.openxmlformats.org/drawingml/2006/chart">
  <chart>
    <title>
      <tx>
        <rich>
          <a:bodyPr/>
          <a:p>
            <a:pPr>
              <a:defRPr sz="1200" b="1">
                <a:solidFill>
                  <a:srgbClr val="1F3864"/>
                </a:solidFill>
              </a:defRPr>
            </a:pPr>
            <a:r>
              <a:t>Структура ринку за процедурами</a:t>
            </a:r>
          </a:p>
        </rich>
      </tx>
      <overlay val="0"/>
    </title>
    <plotArea>
      <pieChart>
        <varyColors val="1"/>
        <ser>
          <idx val="0"/>
          <order val="0"/>
          <tx>
            <strRef>
              <f>'Ринок'!B118</f>
            </strRef>
          </tx>
          <spPr>
            <a:ln>
              <a:prstDash val="solid"/>
            </a:ln>
          </spPr>
          <dPt>
            <idx val="0"/>
            <spPr>
              <a:solidFill>
                <a:srgbClr val="3D7EFF"/>
              </a:solidFill>
              <a:ln>
                <a:prstDash val="solid"/>
              </a:ln>
            </spPr>
          </dPt>
          <dPt>
            <idx val="1"/>
            <spPr>
              <a:solidFill>
                <a:srgbClr val="3ECF8E"/>
              </a:solidFill>
              <a:ln>
                <a:prstDash val="solid"/>
              </a:ln>
            </spPr>
          </dPt>
          <dPt>
            <idx val="2"/>
            <spPr>
              <a:solidFill>
                <a:srgbClr val="F0B429"/>
              </a:solidFill>
              <a:ln>
                <a:prstDash val="solid"/>
              </a:ln>
            </spPr>
          </dPt>
          <dPt>
            <idx val="3"/>
            <spPr>
              <a:solidFill>
                <a:srgbClr val="A78BFA"/>
              </a:solidFill>
              <a:ln>
                <a:prstDash val="solid"/>
              </a:ln>
            </spPr>
          </dPt>
          <cat>
            <numRef>
              <f>'Ринок'!$A$119:$A$122</f>
            </numRef>
          </cat>
          <val>
            <numRef>
              <f>'Ринок'!$B$119:$B$122</f>
            </numRef>
          </val>
        </ser>
        <dLbls>
          <txPr>
            <a:bodyPr vert="horz"/>
            <a:p>
              <a:pPr>
                <a:defRPr sz="900">
                  <a:solidFill>
                    <a:srgbClr val="404040"/>
                  </a:solidFill>
                </a:defRPr>
              </a:pPr>
              <a:endParaRPr sz="900">
                <a:solidFill>
                  <a:srgbClr val="404040"/>
                </a:solidFill>
              </a:endParaRPr>
            </a:p>
          </txPr>
          <dLblPos val="bestFit"/>
          <showLegendKey val="0"/>
          <showVal val="0"/>
          <showCatName val="0"/>
          <showSerName val="0"/>
          <showPercent val="1"/>
          <showBubbleSize val="0"/>
          <showLeaderLines val="1"/>
        </dLbls>
        <firstSliceAng val="0"/>
      </pieChart>
    </plotArea>
    <legend>
      <legendPos val="b"/>
      <overlay val="0"/>
      <txPr>
        <a:bodyPr vert="horz"/>
        <a:p>
          <a:pPr>
            <a:defRPr sz="900">
              <a:solidFill>
                <a:srgbClr val="404040"/>
              </a:solidFill>
            </a:defRPr>
          </a:pPr>
          <a:endParaRPr sz="900">
            <a:solidFill>
              <a:srgbClr val="404040"/>
            </a:solidFill>
          </a:endParaRPr>
        </a:p>
      </txPr>
    </legend>
    <plotVisOnly val="1"/>
    <dispBlanksAs val="gap"/>
  </chart>
  <spPr>
    <a:solidFill>
      <a:srgbClr val="FFFFFF"/>
    </a:solidFill>
    <a:ln>
      <a:noFill/>
      <a:prstDash val="solid"/>
    </a:ln>
  </spPr>
</chartSpace>
</file>

<file path=xl/charts/chart49.xml><?xml version="1.0" encoding="utf-8"?>
<chartSpace xmlns:a="http://schemas.openxmlformats.org/drawingml/2006/main" xmlns="http://schemas.openxmlformats.org/drawingml/2006/chart">
  <chart>
    <title>
      <tx>
        <rich>
          <a:bodyPr/>
          <a:p>
            <a:pPr>
              <a:defRPr sz="1200" b="1">
                <a:solidFill>
                  <a:srgbClr val="1F3864"/>
                </a:solidFill>
              </a:defRPr>
            </a:pPr>
            <a:r>
              <a:t>Структура ринку за галузями ДК021</a:t>
            </a:r>
          </a:p>
        </rich>
      </tx>
      <overlay val="0"/>
    </title>
    <plotArea>
      <pieChart>
        <varyColors val="1"/>
        <ser>
          <idx val="0"/>
          <order val="0"/>
          <tx>
            <strRef>
              <f>'Ринок'!B138</f>
            </strRef>
          </tx>
          <spPr>
            <a:ln>
              <a:prstDash val="solid"/>
            </a:ln>
          </spPr>
          <dPt>
            <idx val="0"/>
            <spPr>
              <a:solidFill>
                <a:srgbClr val="3D7EFF"/>
              </a:solidFill>
              <a:ln>
                <a:prstDash val="solid"/>
              </a:ln>
            </spPr>
          </dPt>
          <dPt>
            <idx val="1"/>
            <spPr>
              <a:solidFill>
                <a:srgbClr val="3ECF8E"/>
              </a:solidFill>
              <a:ln>
                <a:prstDash val="solid"/>
              </a:ln>
            </spPr>
          </dPt>
          <dPt>
            <idx val="2"/>
            <spPr>
              <a:solidFill>
                <a:srgbClr val="F0B429"/>
              </a:solidFill>
              <a:ln>
                <a:prstDash val="solid"/>
              </a:ln>
            </spPr>
          </dPt>
          <cat>
            <numRef>
              <f>'Ринок'!$A$139:$A$141</f>
            </numRef>
          </cat>
          <val>
            <numRef>
              <f>'Ринок'!$B$139:$B$141</f>
            </numRef>
          </val>
        </ser>
        <dLbls>
          <txPr>
            <a:bodyPr vert="horz"/>
            <a:p>
              <a:pPr>
                <a:defRPr sz="900">
                  <a:solidFill>
                    <a:srgbClr val="404040"/>
                  </a:solidFill>
                </a:defRPr>
              </a:pPr>
              <a:endParaRPr sz="900">
                <a:solidFill>
                  <a:srgbClr val="404040"/>
                </a:solidFill>
              </a:endParaRPr>
            </a:p>
          </txPr>
          <dLblPos val="bestFit"/>
          <showLegendKey val="0"/>
          <showVal val="0"/>
          <showCatName val="0"/>
          <showSerName val="0"/>
          <showPercent val="1"/>
          <showBubbleSize val="0"/>
          <showLeaderLines val="1"/>
        </dLbls>
        <firstSliceAng val="0"/>
      </pieChart>
    </plotArea>
    <legend>
      <legendPos val="b"/>
      <overlay val="0"/>
      <txPr>
        <a:bodyPr vert="horz"/>
        <a:p>
          <a:pPr>
            <a:defRPr sz="900">
              <a:solidFill>
                <a:srgbClr val="404040"/>
              </a:solidFill>
            </a:defRPr>
          </a:pPr>
          <a:endParaRPr sz="900">
            <a:solidFill>
              <a:srgbClr val="404040"/>
            </a:solidFill>
          </a:endParaRPr>
        </a:p>
      </txPr>
    </legend>
    <plotVisOnly val="1"/>
    <dispBlanksAs val="gap"/>
  </chart>
  <spPr>
    <a:solidFill>
      <a:srgbClr val="FFFFFF"/>
    </a:solidFill>
    <a:ln>
      <a:noFill/>
      <a:prstDash val="solid"/>
    </a:ln>
  </spPr>
</chartSpace>
</file>

<file path=xl/charts/chart50.xml><?xml version="1.0" encoding="utf-8"?>
<chartSpace xmlns:a="http://schemas.openxmlformats.org/drawingml/2006/main" xmlns="http://schemas.openxmlformats.org/drawingml/2006/chart">
  <chart>
    <title>
      <tx>
        <rich>
          <a:bodyPr/>
          <a:p>
            <a:pPr>
              <a:defRPr sz="1200" b="1">
                <a:solidFill>
                  <a:srgbClr val="1F3864"/>
                </a:solidFill>
              </a:defRPr>
            </a:pPr>
            <a:r>
              <a:t>Географія ринку</a:t>
            </a:r>
          </a:p>
        </rich>
      </tx>
      <overlay val="0"/>
    </title>
    <plotArea>
      <barChart>
        <barDir val="bar"/>
        <grouping val="clustered"/>
        <ser>
          <idx val="0"/>
          <order val="0"/>
          <tx>
            <strRef>
              <f>'Ринок'!B158</f>
            </strRef>
          </tx>
          <spPr>
            <a:solidFill>
              <a:srgbClr val="3D7EFF"/>
            </a:solidFill>
            <a:ln>
              <a:noFill/>
              <a:prstDash val="solid"/>
            </a:ln>
          </spPr>
          <cat>
            <numRef>
              <f>'Ринок'!$A$159</f>
            </numRef>
          </cat>
          <val>
            <numRef>
              <f>'Ринок'!$B$159</f>
            </numRef>
          </val>
        </ser>
        <dLbls>
          <numFmt formatCode="#,##0"/>
          <txPr>
            <a:bodyPr vert="horz"/>
            <a:p>
              <a:pPr>
                <a:defRPr sz="900">
                  <a:solidFill>
                    <a:srgbClr val="404040"/>
                  </a:solidFill>
                </a:defRPr>
              </a:pPr>
              <a:endParaRPr sz="900">
                <a:solidFill>
                  <a:srgbClr val="404040"/>
                </a:solidFill>
              </a:endParaRPr>
            </a:p>
          </txPr>
          <dLblPos val="outEnd"/>
          <showLegendKey val="0"/>
          <showVal val="1"/>
          <showCatName val="0"/>
          <showSerName val="0"/>
          <showPercent val="0"/>
          <showBubbleSize val="0"/>
        </dLbls>
        <gapWidth val="150"/>
        <axId val="10"/>
        <axId val="100"/>
      </barChart>
      <catAx>
        <axId val="10"/>
        <scaling>
          <orientation val="maxMin"/>
        </scaling>
        <delete val="0"/>
        <axPos val="l"/>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0"/>
        <lblOffset val="100"/>
      </catAx>
      <valAx>
        <axId val="100"/>
        <scaling>
          <orientation val="minMax"/>
        </scaling>
        <delete val="0"/>
        <axPos val="l"/>
        <majorGridlines>
          <spPr>
            <a:ln>
              <a:solidFill>
                <a:srgbClr val="D9D9D9"/>
              </a:solidFill>
              <a:prstDash val="solid"/>
            </a:ln>
          </spPr>
        </majorGridlines>
        <numFmt formatCode="#,##0" sourceLinked="0"/>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
        <crosses val="max"/>
      </valAx>
    </plotArea>
    <plotVisOnly val="1"/>
    <dispBlanksAs val="gap"/>
  </chart>
  <spPr>
    <a:solidFill>
      <a:srgbClr val="FFFFFF"/>
    </a:solidFill>
    <a:ln>
      <a:noFill/>
      <a:prstDash val="solid"/>
    </a:ln>
  </spPr>
</chartSpace>
</file>

<file path=xl/charts/chart51.xml><?xml version="1.0" encoding="utf-8"?>
<chartSpace xmlns:a="http://schemas.openxmlformats.org/drawingml/2006/main" xmlns="http://schemas.openxmlformats.org/drawingml/2006/chart">
  <chart>
    <title>
      <tx>
        <rich>
          <a:bodyPr/>
          <a:p>
            <a:pPr>
              <a:defRPr sz="1200" b="1">
                <a:solidFill>
                  <a:srgbClr val="1F3864"/>
                </a:solidFill>
              </a:defRPr>
            </a:pPr>
            <a:r>
              <a:t>Розподіл економії на конкурентних закупівлях</a:t>
            </a:r>
          </a:p>
        </rich>
      </tx>
      <overlay val="0"/>
    </title>
    <plotArea>
      <barChart>
        <barDir val="col"/>
        <grouping val="clustered"/>
        <ser>
          <idx val="0"/>
          <order val="0"/>
          <tx>
            <strRef>
              <f>'Ринок'!B175</f>
            </strRef>
          </tx>
          <spPr>
            <a:solidFill>
              <a:srgbClr val="3D7EFF"/>
            </a:solidFill>
            <a:ln>
              <a:noFill/>
              <a:prstDash val="solid"/>
            </a:ln>
          </spPr>
          <cat>
            <numRef>
              <f>'Ринок'!$A$176:$A$182</f>
            </numRef>
          </cat>
          <val>
            <numRef>
              <f>'Ринок'!$B$176:$B$182</f>
            </numRef>
          </val>
        </ser>
        <dLbls>
          <numFmt formatCode="#,##0"/>
          <txPr>
            <a:bodyPr vert="horz"/>
            <a:p>
              <a:pPr>
                <a:defRPr sz="900">
                  <a:solidFill>
                    <a:srgbClr val="404040"/>
                  </a:solidFill>
                </a:defRPr>
              </a:pPr>
              <a:endParaRPr sz="900">
                <a:solidFill>
                  <a:srgbClr val="404040"/>
                </a:solidFill>
              </a:endParaRPr>
            </a:p>
          </txPr>
          <dLblPos val="outEnd"/>
          <showLegendKey val="0"/>
          <showVal val="1"/>
          <showCatName val="0"/>
          <showSerName val="0"/>
          <showPercent val="0"/>
          <showBubbleSize val="0"/>
        </dLbls>
        <gapWidth val="60"/>
        <axId val="10"/>
        <axId val="100"/>
      </barChart>
      <catAx>
        <axId val="10"/>
        <scaling>
          <orientation val="minMax"/>
        </scaling>
        <delete val="0"/>
        <axPos val="l"/>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0"/>
        <lblOffset val="100"/>
      </catAx>
      <valAx>
        <axId val="100"/>
        <scaling>
          <orientation val="minMax"/>
        </scaling>
        <delete val="0"/>
        <axPos val="l"/>
        <majorGridlines>
          <spPr>
            <a:ln>
              <a:solidFill>
                <a:srgbClr val="D9D9D9"/>
              </a:solidFill>
              <a:prstDash val="solid"/>
            </a:ln>
          </spPr>
        </majorGridlines>
        <numFmt formatCode="#,##0" sourceLinked="0"/>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
      </valAx>
    </plotArea>
    <plotVisOnly val="1"/>
    <dispBlanksAs val="gap"/>
  </chart>
  <spPr>
    <a:solidFill>
      <a:srgbClr val="FFFFFF"/>
    </a:solidFill>
    <a:ln>
      <a:noFill/>
      <a:prstDash val="solid"/>
    </a:ln>
  </spPr>
</chartSpace>
</file>

<file path=xl/charts/chart52.xml><?xml version="1.0" encoding="utf-8"?>
<chartSpace xmlns:a="http://schemas.openxmlformats.org/drawingml/2006/main" xmlns="http://schemas.openxmlformats.org/drawingml/2006/chart">
  <chart>
    <title>
      <tx>
        <rich>
          <a:bodyPr/>
          <a:p>
            <a:pPr>
              <a:defRPr sz="1200" b="1">
                <a:solidFill>
                  <a:srgbClr val="1F3864"/>
                </a:solidFill>
              </a:defRPr>
            </a:pPr>
            <a:r>
              <a:t>Економія за рівнем конкуренції</a:t>
            </a:r>
          </a:p>
        </rich>
      </tx>
      <overlay val="0"/>
    </title>
    <plotArea>
      <barChart>
        <barDir val="col"/>
        <grouping val="clustered"/>
        <ser>
          <idx val="0"/>
          <order val="0"/>
          <tx>
            <strRef>
              <f>'Ринок'!B195</f>
            </strRef>
          </tx>
          <spPr>
            <a:solidFill>
              <a:srgbClr val="3D7EFF"/>
            </a:solidFill>
            <a:ln>
              <a:noFill/>
              <a:prstDash val="solid"/>
            </a:ln>
          </spPr>
          <cat>
            <numRef>
              <f>'Ринок'!$A$196:$A$198</f>
            </numRef>
          </cat>
          <val>
            <numRef>
              <f>'Ринок'!$B$196:$B$198</f>
            </numRef>
          </val>
        </ser>
        <dLbls>
          <numFmt formatCode="0.0&quot;%&quot;"/>
          <txPr>
            <a:bodyPr vert="horz"/>
            <a:p>
              <a:pPr>
                <a:defRPr sz="900">
                  <a:solidFill>
                    <a:srgbClr val="404040"/>
                  </a:solidFill>
                </a:defRPr>
              </a:pPr>
              <a:endParaRPr sz="900">
                <a:solidFill>
                  <a:srgbClr val="404040"/>
                </a:solidFill>
              </a:endParaRPr>
            </a:p>
          </txPr>
          <dLblPos val="outEnd"/>
          <showLegendKey val="0"/>
          <showVal val="1"/>
          <showCatName val="0"/>
          <showSerName val="0"/>
          <showPercent val="0"/>
          <showBubbleSize val="0"/>
        </dLbls>
        <gapWidth val="150"/>
        <axId val="10"/>
        <axId val="100"/>
      </barChart>
      <catAx>
        <axId val="10"/>
        <scaling>
          <orientation val="minMax"/>
        </scaling>
        <delete val="0"/>
        <axPos val="l"/>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0"/>
        <lblOffset val="100"/>
      </catAx>
      <valAx>
        <axId val="100"/>
        <scaling>
          <orientation val="minMax"/>
        </scaling>
        <delete val="0"/>
        <axPos val="l"/>
        <majorGridlines>
          <spPr>
            <a:ln>
              <a:solidFill>
                <a:srgbClr val="D9D9D9"/>
              </a:solidFill>
              <a:prstDash val="solid"/>
            </a:ln>
          </spPr>
        </majorGridlines>
        <numFmt formatCode="0.0&quot;%&quot;" sourceLinked="0"/>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
      </valAx>
    </plotArea>
    <plotVisOnly val="1"/>
    <dispBlanksAs val="gap"/>
  </chart>
  <spPr>
    <a:solidFill>
      <a:srgbClr val="FFFFFF"/>
    </a:solidFill>
    <a:ln>
      <a:noFill/>
      <a:prstDash val="solid"/>
    </a:ln>
  </spPr>
</chartSpace>
</file>

<file path=xl/charts/chart53.xml><?xml version="1.0" encoding="utf-8"?>
<chartSpace xmlns:a="http://schemas.openxmlformats.org/drawingml/2006/main" xmlns="http://schemas.openxmlformats.org/drawingml/2006/chart">
  <chart>
    <title>
      <tx>
        <rich>
          <a:bodyPr/>
          <a:p>
            <a:pPr>
              <a:defRPr sz="1200" b="1">
                <a:solidFill>
                  <a:srgbClr val="1F3864"/>
                </a:solidFill>
              </a:defRPr>
            </a:pPr>
            <a:r>
              <a:t>Сума угод: факт і прогноз</a:t>
            </a:r>
          </a:p>
        </rich>
      </tx>
      <overlay val="0"/>
    </title>
    <plotArea>
      <lineChart>
        <grouping val="standard"/>
        <ser>
          <idx val="0"/>
          <order val="0"/>
          <tx>
            <strRef>
              <f>'Прогнозування'!B29</f>
            </strRef>
          </tx>
          <spPr>
            <a:ln w="22000">
              <a:solidFill>
                <a:srgbClr val="3D7EFF"/>
              </a:solidFill>
              <a:prstDash val="solid"/>
            </a:ln>
          </spPr>
          <marker>
            <symbol val="circle"/>
            <size val="5"/>
            <spPr>
              <a:solidFill>
                <a:srgbClr val="3D7EFF"/>
              </a:solidFill>
              <a:ln>
                <a:prstDash val="solid"/>
              </a:ln>
            </spPr>
          </marker>
          <cat>
            <numRef>
              <f>'Прогнозування'!$A$30:$A$44</f>
            </numRef>
          </cat>
          <val>
            <numRef>
              <f>'Прогнозування'!$B$30:$B$44</f>
            </numRef>
          </val>
          <smooth val="0"/>
        </ser>
        <ser>
          <idx val="1"/>
          <order val="1"/>
          <tx>
            <strRef>
              <f>'Прогнозування'!C29</f>
            </strRef>
          </tx>
          <spPr>
            <a:ln w="22000">
              <a:solidFill>
                <a:srgbClr val="3ECF8E"/>
              </a:solidFill>
              <a:prstDash val="solid"/>
            </a:ln>
          </spPr>
          <marker>
            <symbol val="circle"/>
            <size val="5"/>
            <spPr>
              <a:solidFill>
                <a:srgbClr val="3ECF8E"/>
              </a:solidFill>
              <a:ln>
                <a:prstDash val="solid"/>
              </a:ln>
            </spPr>
          </marker>
          <cat>
            <numRef>
              <f>'Прогнозування'!$A$30:$A$44</f>
            </numRef>
          </cat>
          <val>
            <numRef>
              <f>'Прогнозування'!$C$30:$C$44</f>
            </numRef>
          </val>
          <smooth val="0"/>
        </ser>
        <ser>
          <idx val="2"/>
          <order val="2"/>
          <tx>
            <strRef>
              <f>'Прогнозування'!D29</f>
            </strRef>
          </tx>
          <spPr>
            <a:ln w="22000">
              <a:solidFill>
                <a:srgbClr val="F0B429"/>
              </a:solidFill>
              <a:prstDash val="solid"/>
            </a:ln>
          </spPr>
          <marker>
            <symbol val="circle"/>
            <size val="5"/>
            <spPr>
              <a:solidFill>
                <a:srgbClr val="F0B429"/>
              </a:solidFill>
              <a:ln>
                <a:prstDash val="solid"/>
              </a:ln>
            </spPr>
          </marker>
          <cat>
            <numRef>
              <f>'Прогнозування'!$A$30:$A$44</f>
            </numRef>
          </cat>
          <val>
            <numRef>
              <f>'Прогнозування'!$D$30:$D$44</f>
            </numRef>
          </val>
          <smooth val="0"/>
        </ser>
        <ser>
          <idx val="3"/>
          <order val="3"/>
          <tx>
            <strRef>
              <f>'Прогнозування'!E29</f>
            </strRef>
          </tx>
          <spPr>
            <a:ln w="22000">
              <a:solidFill>
                <a:srgbClr val="A78BFA"/>
              </a:solidFill>
              <a:prstDash val="solid"/>
            </a:ln>
          </spPr>
          <marker>
            <symbol val="circle"/>
            <size val="5"/>
            <spPr>
              <a:solidFill>
                <a:srgbClr val="A78BFA"/>
              </a:solidFill>
              <a:ln>
                <a:prstDash val="solid"/>
              </a:ln>
            </spPr>
          </marker>
          <cat>
            <numRef>
              <f>'Прогнозування'!$A$30:$A$44</f>
            </numRef>
          </cat>
          <val>
            <numRef>
              <f>'Прогнозування'!$E$30:$E$44</f>
            </numRef>
          </val>
          <smooth val="0"/>
        </ser>
        <ser>
          <idx val="4"/>
          <order val="4"/>
          <tx>
            <strRef>
              <f>'Прогнозування'!F29</f>
            </strRef>
          </tx>
          <spPr>
            <a:ln w="22000">
              <a:solidFill>
                <a:srgbClr val="22D3EE"/>
              </a:solidFill>
              <a:prstDash val="solid"/>
            </a:ln>
          </spPr>
          <marker>
            <symbol val="circle"/>
            <size val="5"/>
            <spPr>
              <a:solidFill>
                <a:srgbClr val="22D3EE"/>
              </a:solidFill>
              <a:ln>
                <a:prstDash val="solid"/>
              </a:ln>
            </spPr>
          </marker>
          <cat>
            <numRef>
              <f>'Прогнозування'!$A$30:$A$44</f>
            </numRef>
          </cat>
          <val>
            <numRef>
              <f>'Прогнозування'!$F$30:$F$44</f>
            </numRef>
          </val>
          <smooth val="0"/>
        </ser>
        <axId val="10"/>
        <axId val="100"/>
      </lineChart>
      <catAx>
        <axId val="10"/>
        <scaling>
          <orientation val="minMax"/>
        </scaling>
        <delete val="0"/>
        <axPos val="l"/>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0"/>
        <lblOffset val="100"/>
      </catAx>
      <valAx>
        <axId val="100"/>
        <scaling>
          <orientation val="minMax"/>
        </scaling>
        <delete val="0"/>
        <axPos val="l"/>
        <majorGridlines>
          <spPr>
            <a:ln>
              <a:solidFill>
                <a:srgbClr val="D9D9D9"/>
              </a:solidFill>
              <a:prstDash val="solid"/>
            </a:ln>
          </spPr>
        </majorGridlines>
        <numFmt formatCode="#,##0" sourceLinked="0"/>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
      </valAx>
    </plotArea>
    <legend>
      <legendPos val="b"/>
      <overlay val="0"/>
      <txPr>
        <a:bodyPr vert="horz"/>
        <a:p>
          <a:pPr>
            <a:defRPr sz="900">
              <a:solidFill>
                <a:srgbClr val="404040"/>
              </a:solidFill>
            </a:defRPr>
          </a:pPr>
          <a:endParaRPr sz="900">
            <a:solidFill>
              <a:srgbClr val="404040"/>
            </a:solidFill>
          </a:endParaRPr>
        </a:p>
      </txPr>
    </legend>
    <plotVisOnly val="1"/>
    <dispBlanksAs val="gap"/>
  </chart>
  <spPr>
    <a:solidFill>
      <a:srgbClr val="FFFFFF"/>
    </a:solidFill>
    <a:ln>
      <a:noFill/>
      <a:prstDash val="solid"/>
    </a:ln>
  </spPr>
</chartSpace>
</file>

<file path=xl/charts/chart54.xml><?xml version="1.0" encoding="utf-8"?>
<chartSpace xmlns:a="http://schemas.openxmlformats.org/drawingml/2006/main" xmlns="http://schemas.openxmlformats.org/drawingml/2006/chart">
  <chart>
    <title>
      <tx>
        <rich>
          <a:bodyPr/>
          <a:p>
            <a:pPr>
              <a:defRPr sz="1200" b="1">
                <a:solidFill>
                  <a:srgbClr val="1F3864"/>
                </a:solidFill>
              </a:defRPr>
            </a:pPr>
            <a:r>
              <a:t>Очікувана вартість: факт і прогноз</a:t>
            </a:r>
          </a:p>
        </rich>
      </tx>
      <overlay val="0"/>
    </title>
    <plotArea>
      <lineChart>
        <grouping val="standard"/>
        <ser>
          <idx val="0"/>
          <order val="0"/>
          <tx>
            <strRef>
              <f>'Прогнозування'!B49</f>
            </strRef>
          </tx>
          <spPr>
            <a:ln w="22000">
              <a:solidFill>
                <a:srgbClr val="3D7EFF"/>
              </a:solidFill>
              <a:prstDash val="solid"/>
            </a:ln>
          </spPr>
          <marker>
            <symbol val="circle"/>
            <size val="5"/>
            <spPr>
              <a:solidFill>
                <a:srgbClr val="3D7EFF"/>
              </a:solidFill>
              <a:ln>
                <a:prstDash val="solid"/>
              </a:ln>
            </spPr>
          </marker>
          <cat>
            <numRef>
              <f>'Прогнозування'!$A$50:$A$64</f>
            </numRef>
          </cat>
          <val>
            <numRef>
              <f>'Прогнозування'!$B$50:$B$64</f>
            </numRef>
          </val>
          <smooth val="0"/>
        </ser>
        <ser>
          <idx val="1"/>
          <order val="1"/>
          <tx>
            <strRef>
              <f>'Прогнозування'!C49</f>
            </strRef>
          </tx>
          <spPr>
            <a:ln w="22000">
              <a:solidFill>
                <a:srgbClr val="3ECF8E"/>
              </a:solidFill>
              <a:prstDash val="solid"/>
            </a:ln>
          </spPr>
          <marker>
            <symbol val="circle"/>
            <size val="5"/>
            <spPr>
              <a:solidFill>
                <a:srgbClr val="3ECF8E"/>
              </a:solidFill>
              <a:ln>
                <a:prstDash val="solid"/>
              </a:ln>
            </spPr>
          </marker>
          <cat>
            <numRef>
              <f>'Прогнозування'!$A$50:$A$64</f>
            </numRef>
          </cat>
          <val>
            <numRef>
              <f>'Прогнозування'!$C$50:$C$64</f>
            </numRef>
          </val>
          <smooth val="0"/>
        </ser>
        <ser>
          <idx val="2"/>
          <order val="2"/>
          <tx>
            <strRef>
              <f>'Прогнозування'!D49</f>
            </strRef>
          </tx>
          <spPr>
            <a:ln w="22000">
              <a:solidFill>
                <a:srgbClr val="F0B429"/>
              </a:solidFill>
              <a:prstDash val="solid"/>
            </a:ln>
          </spPr>
          <marker>
            <symbol val="circle"/>
            <size val="5"/>
            <spPr>
              <a:solidFill>
                <a:srgbClr val="F0B429"/>
              </a:solidFill>
              <a:ln>
                <a:prstDash val="solid"/>
              </a:ln>
            </spPr>
          </marker>
          <cat>
            <numRef>
              <f>'Прогнозування'!$A$50:$A$64</f>
            </numRef>
          </cat>
          <val>
            <numRef>
              <f>'Прогнозування'!$D$50:$D$64</f>
            </numRef>
          </val>
          <smooth val="0"/>
        </ser>
        <ser>
          <idx val="3"/>
          <order val="3"/>
          <tx>
            <strRef>
              <f>'Прогнозування'!E49</f>
            </strRef>
          </tx>
          <spPr>
            <a:ln w="22000">
              <a:solidFill>
                <a:srgbClr val="A78BFA"/>
              </a:solidFill>
              <a:prstDash val="solid"/>
            </a:ln>
          </spPr>
          <marker>
            <symbol val="circle"/>
            <size val="5"/>
            <spPr>
              <a:solidFill>
                <a:srgbClr val="A78BFA"/>
              </a:solidFill>
              <a:ln>
                <a:prstDash val="solid"/>
              </a:ln>
            </spPr>
          </marker>
          <cat>
            <numRef>
              <f>'Прогнозування'!$A$50:$A$64</f>
            </numRef>
          </cat>
          <val>
            <numRef>
              <f>'Прогнозування'!$E$50:$E$64</f>
            </numRef>
          </val>
          <smooth val="0"/>
        </ser>
        <ser>
          <idx val="4"/>
          <order val="4"/>
          <tx>
            <strRef>
              <f>'Прогнозування'!F49</f>
            </strRef>
          </tx>
          <spPr>
            <a:ln w="22000">
              <a:solidFill>
                <a:srgbClr val="22D3EE"/>
              </a:solidFill>
              <a:prstDash val="solid"/>
            </a:ln>
          </spPr>
          <marker>
            <symbol val="circle"/>
            <size val="5"/>
            <spPr>
              <a:solidFill>
                <a:srgbClr val="22D3EE"/>
              </a:solidFill>
              <a:ln>
                <a:prstDash val="solid"/>
              </a:ln>
            </spPr>
          </marker>
          <cat>
            <numRef>
              <f>'Прогнозування'!$A$50:$A$64</f>
            </numRef>
          </cat>
          <val>
            <numRef>
              <f>'Прогнозування'!$F$50:$F$64</f>
            </numRef>
          </val>
          <smooth val="0"/>
        </ser>
        <axId val="10"/>
        <axId val="100"/>
      </lineChart>
      <catAx>
        <axId val="10"/>
        <scaling>
          <orientation val="minMax"/>
        </scaling>
        <delete val="0"/>
        <axPos val="l"/>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0"/>
        <lblOffset val="100"/>
      </catAx>
      <valAx>
        <axId val="100"/>
        <scaling>
          <orientation val="minMax"/>
        </scaling>
        <delete val="0"/>
        <axPos val="l"/>
        <majorGridlines>
          <spPr>
            <a:ln>
              <a:solidFill>
                <a:srgbClr val="D9D9D9"/>
              </a:solidFill>
              <a:prstDash val="solid"/>
            </a:ln>
          </spPr>
        </majorGridlines>
        <numFmt formatCode="#,##0" sourceLinked="0"/>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
      </valAx>
    </plotArea>
    <legend>
      <legendPos val="b"/>
      <overlay val="0"/>
      <txPr>
        <a:bodyPr vert="horz"/>
        <a:p>
          <a:pPr>
            <a:defRPr sz="900">
              <a:solidFill>
                <a:srgbClr val="404040"/>
              </a:solidFill>
            </a:defRPr>
          </a:pPr>
          <a:endParaRPr sz="900">
            <a:solidFill>
              <a:srgbClr val="404040"/>
            </a:solidFill>
          </a:endParaRPr>
        </a:p>
      </txPr>
    </legend>
    <plotVisOnly val="1"/>
    <dispBlanksAs val="gap"/>
  </chart>
  <spPr>
    <a:solidFill>
      <a:srgbClr val="FFFFFF"/>
    </a:solidFill>
    <a:ln>
      <a:noFill/>
      <a:prstDash val="solid"/>
    </a:ln>
  </spPr>
</chartSpace>
</file>

<file path=xl/charts/chart55.xml><?xml version="1.0" encoding="utf-8"?>
<chartSpace xmlns:a="http://schemas.openxmlformats.org/drawingml/2006/main" xmlns="http://schemas.openxmlformats.org/drawingml/2006/chart">
  <chart>
    <title>
      <tx>
        <rich>
          <a:bodyPr/>
          <a:p>
            <a:pPr>
              <a:defRPr sz="1200" b="1">
                <a:solidFill>
                  <a:srgbClr val="1F3864"/>
                </a:solidFill>
              </a:defRPr>
            </a:pPr>
            <a:r>
              <a:t>Закупівель: факт і прогноз</a:t>
            </a:r>
          </a:p>
        </rich>
      </tx>
      <overlay val="0"/>
    </title>
    <plotArea>
      <lineChart>
        <grouping val="standard"/>
        <ser>
          <idx val="0"/>
          <order val="0"/>
          <tx>
            <strRef>
              <f>'Прогнозування'!B69</f>
            </strRef>
          </tx>
          <spPr>
            <a:ln w="22000">
              <a:solidFill>
                <a:srgbClr val="3D7EFF"/>
              </a:solidFill>
              <a:prstDash val="solid"/>
            </a:ln>
          </spPr>
          <marker>
            <symbol val="circle"/>
            <size val="5"/>
            <spPr>
              <a:solidFill>
                <a:srgbClr val="3D7EFF"/>
              </a:solidFill>
              <a:ln>
                <a:prstDash val="solid"/>
              </a:ln>
            </spPr>
          </marker>
          <cat>
            <numRef>
              <f>'Прогнозування'!$A$70:$A$84</f>
            </numRef>
          </cat>
          <val>
            <numRef>
              <f>'Прогнозування'!$B$70:$B$84</f>
            </numRef>
          </val>
          <smooth val="0"/>
        </ser>
        <ser>
          <idx val="1"/>
          <order val="1"/>
          <tx>
            <strRef>
              <f>'Прогнозування'!C69</f>
            </strRef>
          </tx>
          <spPr>
            <a:ln w="22000">
              <a:solidFill>
                <a:srgbClr val="3ECF8E"/>
              </a:solidFill>
              <a:prstDash val="solid"/>
            </a:ln>
          </spPr>
          <marker>
            <symbol val="circle"/>
            <size val="5"/>
            <spPr>
              <a:solidFill>
                <a:srgbClr val="3ECF8E"/>
              </a:solidFill>
              <a:ln>
                <a:prstDash val="solid"/>
              </a:ln>
            </spPr>
          </marker>
          <cat>
            <numRef>
              <f>'Прогнозування'!$A$70:$A$84</f>
            </numRef>
          </cat>
          <val>
            <numRef>
              <f>'Прогнозування'!$C$70:$C$84</f>
            </numRef>
          </val>
          <smooth val="0"/>
        </ser>
        <ser>
          <idx val="2"/>
          <order val="2"/>
          <tx>
            <strRef>
              <f>'Прогнозування'!D69</f>
            </strRef>
          </tx>
          <spPr>
            <a:ln w="22000">
              <a:solidFill>
                <a:srgbClr val="F0B429"/>
              </a:solidFill>
              <a:prstDash val="solid"/>
            </a:ln>
          </spPr>
          <marker>
            <symbol val="circle"/>
            <size val="5"/>
            <spPr>
              <a:solidFill>
                <a:srgbClr val="F0B429"/>
              </a:solidFill>
              <a:ln>
                <a:prstDash val="solid"/>
              </a:ln>
            </spPr>
          </marker>
          <cat>
            <numRef>
              <f>'Прогнозування'!$A$70:$A$84</f>
            </numRef>
          </cat>
          <val>
            <numRef>
              <f>'Прогнозування'!$D$70:$D$84</f>
            </numRef>
          </val>
          <smooth val="0"/>
        </ser>
        <ser>
          <idx val="3"/>
          <order val="3"/>
          <tx>
            <strRef>
              <f>'Прогнозування'!E69</f>
            </strRef>
          </tx>
          <spPr>
            <a:ln w="22000">
              <a:solidFill>
                <a:srgbClr val="A78BFA"/>
              </a:solidFill>
              <a:prstDash val="solid"/>
            </a:ln>
          </spPr>
          <marker>
            <symbol val="circle"/>
            <size val="5"/>
            <spPr>
              <a:solidFill>
                <a:srgbClr val="A78BFA"/>
              </a:solidFill>
              <a:ln>
                <a:prstDash val="solid"/>
              </a:ln>
            </spPr>
          </marker>
          <cat>
            <numRef>
              <f>'Прогнозування'!$A$70:$A$84</f>
            </numRef>
          </cat>
          <val>
            <numRef>
              <f>'Прогнозування'!$E$70:$E$84</f>
            </numRef>
          </val>
          <smooth val="0"/>
        </ser>
        <ser>
          <idx val="4"/>
          <order val="4"/>
          <tx>
            <strRef>
              <f>'Прогнозування'!F69</f>
            </strRef>
          </tx>
          <spPr>
            <a:ln w="22000">
              <a:solidFill>
                <a:srgbClr val="22D3EE"/>
              </a:solidFill>
              <a:prstDash val="solid"/>
            </a:ln>
          </spPr>
          <marker>
            <symbol val="circle"/>
            <size val="5"/>
            <spPr>
              <a:solidFill>
                <a:srgbClr val="22D3EE"/>
              </a:solidFill>
              <a:ln>
                <a:prstDash val="solid"/>
              </a:ln>
            </spPr>
          </marker>
          <cat>
            <numRef>
              <f>'Прогнозування'!$A$70:$A$84</f>
            </numRef>
          </cat>
          <val>
            <numRef>
              <f>'Прогнозування'!$F$70:$F$84</f>
            </numRef>
          </val>
          <smooth val="0"/>
        </ser>
        <axId val="10"/>
        <axId val="100"/>
      </lineChart>
      <catAx>
        <axId val="10"/>
        <scaling>
          <orientation val="minMax"/>
        </scaling>
        <delete val="0"/>
        <axPos val="l"/>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0"/>
        <lblOffset val="100"/>
      </catAx>
      <valAx>
        <axId val="100"/>
        <scaling>
          <orientation val="minMax"/>
        </scaling>
        <delete val="0"/>
        <axPos val="l"/>
        <majorGridlines>
          <spPr>
            <a:ln>
              <a:solidFill>
                <a:srgbClr val="D9D9D9"/>
              </a:solidFill>
              <a:prstDash val="solid"/>
            </a:ln>
          </spPr>
        </majorGridlines>
        <numFmt formatCode="#,##0" sourceLinked="0"/>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
      </valAx>
    </plotArea>
    <legend>
      <legendPos val="b"/>
      <overlay val="0"/>
      <txPr>
        <a:bodyPr vert="horz"/>
        <a:p>
          <a:pPr>
            <a:defRPr sz="900">
              <a:solidFill>
                <a:srgbClr val="404040"/>
              </a:solidFill>
            </a:defRPr>
          </a:pPr>
          <a:endParaRPr sz="900">
            <a:solidFill>
              <a:srgbClr val="404040"/>
            </a:solidFill>
          </a:endParaRPr>
        </a:p>
      </txPr>
    </legend>
    <plotVisOnly val="1"/>
    <dispBlanksAs val="gap"/>
  </chart>
  <spPr>
    <a:solidFill>
      <a:srgbClr val="FFFFFF"/>
    </a:solidFill>
    <a:ln>
      <a:noFill/>
      <a:prstDash val="solid"/>
    </a:ln>
  </spPr>
</chartSpace>
</file>

<file path=xl/charts/chart56.xml><?xml version="1.0" encoding="utf-8"?>
<chartSpace xmlns:a="http://schemas.openxmlformats.org/drawingml/2006/main" xmlns="http://schemas.openxmlformats.org/drawingml/2006/chart">
  <chart>
    <title>
      <tx>
        <rich>
          <a:bodyPr/>
          <a:p>
            <a:pPr>
              <a:defRPr sz="1200" b="1">
                <a:solidFill>
                  <a:srgbClr val="1F3864"/>
                </a:solidFill>
              </a:defRPr>
            </a:pPr>
            <a:r>
              <a:t>Сума наших ТОВ: факт і прогноз</a:t>
            </a:r>
          </a:p>
        </rich>
      </tx>
      <overlay val="0"/>
    </title>
    <plotArea>
      <lineChart>
        <grouping val="standard"/>
        <ser>
          <idx val="0"/>
          <order val="0"/>
          <tx>
            <strRef>
              <f>'Прогнозування'!B89</f>
            </strRef>
          </tx>
          <spPr>
            <a:ln w="22000">
              <a:solidFill>
                <a:srgbClr val="3D7EFF"/>
              </a:solidFill>
              <a:prstDash val="solid"/>
            </a:ln>
          </spPr>
          <marker>
            <symbol val="circle"/>
            <size val="5"/>
            <spPr>
              <a:solidFill>
                <a:srgbClr val="3D7EFF"/>
              </a:solidFill>
              <a:ln>
                <a:prstDash val="solid"/>
              </a:ln>
            </spPr>
          </marker>
          <cat>
            <numRef>
              <f>'Прогнозування'!$A$90:$A$104</f>
            </numRef>
          </cat>
          <val>
            <numRef>
              <f>'Прогнозування'!$B$90:$B$104</f>
            </numRef>
          </val>
          <smooth val="0"/>
        </ser>
        <ser>
          <idx val="1"/>
          <order val="1"/>
          <tx>
            <strRef>
              <f>'Прогнозування'!C89</f>
            </strRef>
          </tx>
          <spPr>
            <a:ln w="22000">
              <a:solidFill>
                <a:srgbClr val="3ECF8E"/>
              </a:solidFill>
              <a:prstDash val="solid"/>
            </a:ln>
          </spPr>
          <marker>
            <symbol val="circle"/>
            <size val="5"/>
            <spPr>
              <a:solidFill>
                <a:srgbClr val="3ECF8E"/>
              </a:solidFill>
              <a:ln>
                <a:prstDash val="solid"/>
              </a:ln>
            </spPr>
          </marker>
          <cat>
            <numRef>
              <f>'Прогнозування'!$A$90:$A$104</f>
            </numRef>
          </cat>
          <val>
            <numRef>
              <f>'Прогнозування'!$C$90:$C$104</f>
            </numRef>
          </val>
          <smooth val="0"/>
        </ser>
        <ser>
          <idx val="2"/>
          <order val="2"/>
          <tx>
            <strRef>
              <f>'Прогнозування'!D89</f>
            </strRef>
          </tx>
          <spPr>
            <a:ln w="22000">
              <a:solidFill>
                <a:srgbClr val="F0B429"/>
              </a:solidFill>
              <a:prstDash val="solid"/>
            </a:ln>
          </spPr>
          <marker>
            <symbol val="circle"/>
            <size val="5"/>
            <spPr>
              <a:solidFill>
                <a:srgbClr val="F0B429"/>
              </a:solidFill>
              <a:ln>
                <a:prstDash val="solid"/>
              </a:ln>
            </spPr>
          </marker>
          <cat>
            <numRef>
              <f>'Прогнозування'!$A$90:$A$104</f>
            </numRef>
          </cat>
          <val>
            <numRef>
              <f>'Прогнозування'!$D$90:$D$104</f>
            </numRef>
          </val>
          <smooth val="0"/>
        </ser>
        <ser>
          <idx val="3"/>
          <order val="3"/>
          <tx>
            <strRef>
              <f>'Прогнозування'!E89</f>
            </strRef>
          </tx>
          <spPr>
            <a:ln w="22000">
              <a:solidFill>
                <a:srgbClr val="A78BFA"/>
              </a:solidFill>
              <a:prstDash val="solid"/>
            </a:ln>
          </spPr>
          <marker>
            <symbol val="circle"/>
            <size val="5"/>
            <spPr>
              <a:solidFill>
                <a:srgbClr val="A78BFA"/>
              </a:solidFill>
              <a:ln>
                <a:prstDash val="solid"/>
              </a:ln>
            </spPr>
          </marker>
          <cat>
            <numRef>
              <f>'Прогнозування'!$A$90:$A$104</f>
            </numRef>
          </cat>
          <val>
            <numRef>
              <f>'Прогнозування'!$E$90:$E$104</f>
            </numRef>
          </val>
          <smooth val="0"/>
        </ser>
        <ser>
          <idx val="4"/>
          <order val="4"/>
          <tx>
            <strRef>
              <f>'Прогнозування'!F89</f>
            </strRef>
          </tx>
          <spPr>
            <a:ln w="22000">
              <a:solidFill>
                <a:srgbClr val="22D3EE"/>
              </a:solidFill>
              <a:prstDash val="solid"/>
            </a:ln>
          </spPr>
          <marker>
            <symbol val="circle"/>
            <size val="5"/>
            <spPr>
              <a:solidFill>
                <a:srgbClr val="22D3EE"/>
              </a:solidFill>
              <a:ln>
                <a:prstDash val="solid"/>
              </a:ln>
            </spPr>
          </marker>
          <cat>
            <numRef>
              <f>'Прогнозування'!$A$90:$A$104</f>
            </numRef>
          </cat>
          <val>
            <numRef>
              <f>'Прогнозування'!$F$90:$F$104</f>
            </numRef>
          </val>
          <smooth val="0"/>
        </ser>
        <axId val="10"/>
        <axId val="100"/>
      </lineChart>
      <catAx>
        <axId val="10"/>
        <scaling>
          <orientation val="minMax"/>
        </scaling>
        <delete val="0"/>
        <axPos val="l"/>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0"/>
        <lblOffset val="100"/>
      </catAx>
      <valAx>
        <axId val="100"/>
        <scaling>
          <orientation val="minMax"/>
        </scaling>
        <delete val="0"/>
        <axPos val="l"/>
        <majorGridlines>
          <spPr>
            <a:ln>
              <a:solidFill>
                <a:srgbClr val="D9D9D9"/>
              </a:solidFill>
              <a:prstDash val="solid"/>
            </a:ln>
          </spPr>
        </majorGridlines>
        <numFmt formatCode="#,##0" sourceLinked="0"/>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
      </valAx>
    </plotArea>
    <legend>
      <legendPos val="b"/>
      <overlay val="0"/>
      <txPr>
        <a:bodyPr vert="horz"/>
        <a:p>
          <a:pPr>
            <a:defRPr sz="900">
              <a:solidFill>
                <a:srgbClr val="404040"/>
              </a:solidFill>
            </a:defRPr>
          </a:pPr>
          <a:endParaRPr sz="900">
            <a:solidFill>
              <a:srgbClr val="404040"/>
            </a:solidFill>
          </a:endParaRPr>
        </a:p>
      </txPr>
    </legend>
    <plotVisOnly val="1"/>
    <dispBlanksAs val="gap"/>
  </chart>
  <spPr>
    <a:solidFill>
      <a:srgbClr val="FFFFFF"/>
    </a:solidFill>
    <a:ln>
      <a:noFill/>
      <a:prstDash val="solid"/>
    </a:ln>
  </spPr>
</chartSpace>
</file>

<file path=xl/charts/chart57.xml><?xml version="1.0" encoding="utf-8"?>
<chartSpace xmlns:a="http://schemas.openxmlformats.org/drawingml/2006/main" xmlns="http://schemas.openxmlformats.org/drawingml/2006/chart">
  <chart>
    <title>
      <tx>
        <rich>
          <a:bodyPr/>
          <a:p>
            <a:pPr>
              <a:defRPr sz="1200" b="1">
                <a:solidFill>
                  <a:srgbClr val="1F3864"/>
                </a:solidFill>
              </a:defRPr>
            </a:pPr>
            <a:r>
              <a:t>Крива розвитку договорів</a:t>
            </a:r>
          </a:p>
        </rich>
      </tx>
      <overlay val="0"/>
    </title>
    <plotArea>
      <lineChart>
        <grouping val="standard"/>
        <ser>
          <idx val="0"/>
          <order val="0"/>
          <tx>
            <strRef>
              <f>'Прогнозування'!B137</f>
            </strRef>
          </tx>
          <spPr>
            <a:ln w="22000">
              <a:solidFill>
                <a:srgbClr val="3D7EFF"/>
              </a:solidFill>
              <a:prstDash val="solid"/>
            </a:ln>
          </spPr>
          <marker>
            <symbol val="circle"/>
            <size val="5"/>
            <spPr>
              <a:solidFill>
                <a:srgbClr val="3D7EFF"/>
              </a:solidFill>
              <a:ln>
                <a:prstDash val="solid"/>
              </a:ln>
            </spPr>
          </marker>
          <cat>
            <numRef>
              <f>'Прогнозування'!$A$138:$A$143</f>
            </numRef>
          </cat>
          <val>
            <numRef>
              <f>'Прогнозування'!$B$138:$B$143</f>
            </numRef>
          </val>
          <smooth val="0"/>
        </ser>
        <axId val="10"/>
        <axId val="100"/>
      </lineChart>
      <catAx>
        <axId val="10"/>
        <scaling>
          <orientation val="minMax"/>
        </scaling>
        <delete val="0"/>
        <axPos val="l"/>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0"/>
        <lblOffset val="100"/>
      </catAx>
      <valAx>
        <axId val="100"/>
        <scaling>
          <orientation val="minMax"/>
        </scaling>
        <delete val="0"/>
        <axPos val="l"/>
        <majorGridlines>
          <spPr>
            <a:ln>
              <a:solidFill>
                <a:srgbClr val="D9D9D9"/>
              </a:solidFill>
              <a:prstDash val="solid"/>
            </a:ln>
          </spPr>
        </majorGridlines>
        <numFmt formatCode="0.0&quot;%&quot;" sourceLinked="0"/>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
      </valAx>
    </plotArea>
    <plotVisOnly val="1"/>
    <dispBlanksAs val="gap"/>
  </chart>
  <spPr>
    <a:solidFill>
      <a:srgbClr val="FFFFFF"/>
    </a:solidFill>
    <a:ln>
      <a:noFill/>
      <a:prstDash val="solid"/>
    </a:ln>
  </spPr>
</chartSpace>
</file>

<file path=xl/charts/chart58.xml><?xml version="1.0" encoding="utf-8"?>
<chartSpace xmlns:a="http://schemas.openxmlformats.org/drawingml/2006/main" xmlns="http://schemas.openxmlformats.org/drawingml/2006/chart">
  <chart>
    <title>
      <tx>
        <rich>
          <a:bodyPr/>
          <a:p>
            <a:pPr>
              <a:defRPr sz="1200" b="1">
                <a:solidFill>
                  <a:srgbClr val="1F3864"/>
                </a:solidFill>
              </a:defRPr>
            </a:pPr>
            <a:r>
              <a:t>Прогноз на 2026-09 по гравцях</a:t>
            </a:r>
          </a:p>
        </rich>
      </tx>
      <overlay val="0"/>
    </title>
    <plotArea>
      <barChart>
        <barDir val="bar"/>
        <grouping val="clustered"/>
        <ser>
          <idx val="0"/>
          <order val="0"/>
          <tx>
            <strRef>
              <f>'Прогнозування'!B255</f>
            </strRef>
          </tx>
          <spPr>
            <a:solidFill>
              <a:srgbClr val="3D7EFF"/>
            </a:solidFill>
            <a:ln>
              <a:noFill/>
              <a:prstDash val="solid"/>
            </a:ln>
          </spPr>
          <dPt>
            <idx val="3"/>
            <spPr>
              <a:solidFill>
                <a:srgbClr val="3ECF8E"/>
              </a:solidFill>
              <a:ln>
                <a:prstDash val="solid"/>
              </a:ln>
            </spPr>
          </dPt>
          <cat>
            <numRef>
              <f>'Прогнозування'!$A$256:$A$261</f>
            </numRef>
          </cat>
          <val>
            <numRef>
              <f>'Прогнозування'!$B$256:$B$261</f>
            </numRef>
          </val>
        </ser>
        <dLbls>
          <numFmt formatCode="#,##0"/>
          <txPr>
            <a:bodyPr vert="horz"/>
            <a:p>
              <a:pPr>
                <a:defRPr sz="900">
                  <a:solidFill>
                    <a:srgbClr val="404040"/>
                  </a:solidFill>
                </a:defRPr>
              </a:pPr>
              <a:endParaRPr sz="900">
                <a:solidFill>
                  <a:srgbClr val="404040"/>
                </a:solidFill>
              </a:endParaRPr>
            </a:p>
          </txPr>
          <dLblPos val="outEnd"/>
          <showLegendKey val="0"/>
          <showVal val="1"/>
          <showCatName val="0"/>
          <showSerName val="0"/>
          <showPercent val="0"/>
          <showBubbleSize val="0"/>
        </dLbls>
        <gapWidth val="60"/>
        <axId val="10"/>
        <axId val="100"/>
      </barChart>
      <catAx>
        <axId val="10"/>
        <scaling>
          <orientation val="maxMin"/>
        </scaling>
        <delete val="0"/>
        <axPos val="l"/>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0"/>
        <lblOffset val="100"/>
      </catAx>
      <valAx>
        <axId val="100"/>
        <scaling>
          <orientation val="minMax"/>
        </scaling>
        <delete val="0"/>
        <axPos val="l"/>
        <majorGridlines>
          <spPr>
            <a:ln>
              <a:solidFill>
                <a:srgbClr val="D9D9D9"/>
              </a:solidFill>
              <a:prstDash val="solid"/>
            </a:ln>
          </spPr>
        </majorGridlines>
        <numFmt formatCode="#,##0" sourceLinked="0"/>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
        <crosses val="max"/>
      </valAx>
    </plotArea>
    <plotVisOnly val="1"/>
    <dispBlanksAs val="gap"/>
  </chart>
  <spPr>
    <a:solidFill>
      <a:srgbClr val="FFFFFF"/>
    </a:solidFill>
    <a:ln>
      <a:noFill/>
      <a:prstDash val="solid"/>
    </a:ln>
  </spPr>
</chartSpace>
</file>

<file path=xl/charts/chart59.xml><?xml version="1.0" encoding="utf-8"?>
<chartSpace xmlns:a="http://schemas.openxmlformats.org/drawingml/2006/main" xmlns="http://schemas.openxmlformats.org/drawingml/2006/chart">
  <chart>
    <title>
      <tx>
        <rich>
          <a:bodyPr/>
          <a:p>
            <a:pPr>
              <a:defRPr sz="1200" b="1">
                <a:solidFill>
                  <a:srgbClr val="1F3864"/>
                </a:solidFill>
              </a:defRPr>
            </a:pPr>
            <a:r>
              <a:t>Причини відмов</a:t>
            </a:r>
          </a:p>
        </rich>
      </tx>
      <overlay val="0"/>
    </title>
    <plotArea>
      <pieChart>
        <varyColors val="1"/>
        <ser>
          <idx val="0"/>
          <order val="0"/>
          <tx>
            <strRef>
              <f>'Відмови'!B28</f>
            </strRef>
          </tx>
          <spPr>
            <a:ln>
              <a:prstDash val="solid"/>
            </a:ln>
          </spPr>
          <dPt>
            <idx val="0"/>
            <spPr>
              <a:solidFill>
                <a:srgbClr val="3D7EFF"/>
              </a:solidFill>
              <a:ln>
                <a:prstDash val="solid"/>
              </a:ln>
            </spPr>
          </dPt>
          <dPt>
            <idx val="1"/>
            <spPr>
              <a:solidFill>
                <a:srgbClr val="3ECF8E"/>
              </a:solidFill>
              <a:ln>
                <a:prstDash val="solid"/>
              </a:ln>
            </spPr>
          </dPt>
          <dPt>
            <idx val="2"/>
            <spPr>
              <a:solidFill>
                <a:srgbClr val="F0B429"/>
              </a:solidFill>
              <a:ln>
                <a:prstDash val="solid"/>
              </a:ln>
            </spPr>
          </dPt>
          <dPt>
            <idx val="3"/>
            <spPr>
              <a:solidFill>
                <a:srgbClr val="A78BFA"/>
              </a:solidFill>
              <a:ln>
                <a:prstDash val="solid"/>
              </a:ln>
            </spPr>
          </dPt>
          <dPt>
            <idx val="4"/>
            <spPr>
              <a:solidFill>
                <a:srgbClr val="22D3EE"/>
              </a:solidFill>
              <a:ln>
                <a:prstDash val="solid"/>
              </a:ln>
            </spPr>
          </dPt>
          <dPt>
            <idx val="5"/>
            <spPr>
              <a:solidFill>
                <a:srgbClr val="FB923C"/>
              </a:solidFill>
              <a:ln>
                <a:prstDash val="solid"/>
              </a:ln>
            </spPr>
          </dPt>
          <dPt>
            <idx val="6"/>
            <spPr>
              <a:solidFill>
                <a:srgbClr val="F472B6"/>
              </a:solidFill>
              <a:ln>
                <a:prstDash val="solid"/>
              </a:ln>
            </spPr>
          </dPt>
          <dPt>
            <idx val="7"/>
            <spPr>
              <a:solidFill>
                <a:srgbClr val="84CC16"/>
              </a:solidFill>
              <a:ln>
                <a:prstDash val="solid"/>
              </a:ln>
            </spPr>
          </dPt>
          <dPt>
            <idx val="8"/>
            <spPr>
              <a:solidFill>
                <a:srgbClr val="E879F9"/>
              </a:solidFill>
              <a:ln>
                <a:prstDash val="solid"/>
              </a:ln>
            </spPr>
          </dPt>
          <cat>
            <numRef>
              <f>'Відмови'!$A$29:$A$37</f>
            </numRef>
          </cat>
          <val>
            <numRef>
              <f>'Відмови'!$B$29:$B$37</f>
            </numRef>
          </val>
        </ser>
        <dLbls>
          <txPr>
            <a:bodyPr vert="horz"/>
            <a:p>
              <a:pPr>
                <a:defRPr sz="900">
                  <a:solidFill>
                    <a:srgbClr val="404040"/>
                  </a:solidFill>
                </a:defRPr>
              </a:pPr>
              <a:endParaRPr sz="900">
                <a:solidFill>
                  <a:srgbClr val="404040"/>
                </a:solidFill>
              </a:endParaRPr>
            </a:p>
          </txPr>
          <dLblPos val="bestFit"/>
          <showLegendKey val="0"/>
          <showVal val="0"/>
          <showCatName val="0"/>
          <showSerName val="0"/>
          <showPercent val="1"/>
          <showBubbleSize val="0"/>
          <showLeaderLines val="1"/>
        </dLbls>
        <firstSliceAng val="0"/>
      </pieChart>
    </plotArea>
    <legend>
      <legendPos val="b"/>
      <overlay val="0"/>
      <txPr>
        <a:bodyPr vert="horz"/>
        <a:p>
          <a:pPr>
            <a:defRPr sz="900">
              <a:solidFill>
                <a:srgbClr val="404040"/>
              </a:solidFill>
            </a:defRPr>
          </a:pPr>
          <a:endParaRPr sz="900">
            <a:solidFill>
              <a:srgbClr val="404040"/>
            </a:solidFill>
          </a:endParaRPr>
        </a:p>
      </txPr>
    </legend>
    <plotVisOnly val="1"/>
    <dispBlanksAs val="gap"/>
  </chart>
  <spPr>
    <a:solidFill>
      <a:srgbClr val="FFFFFF"/>
    </a:solidFill>
    <a:ln>
      <a:noFill/>
      <a:prstDash val="solid"/>
    </a:ln>
  </spPr>
</chartSpace>
</file>

<file path=xl/charts/chart60.xml><?xml version="1.0" encoding="utf-8"?>
<chartSpace xmlns:a="http://schemas.openxmlformats.org/drawingml/2006/main" xmlns="http://schemas.openxmlformats.org/drawingml/2006/chart">
  <chart>
    <title>
      <tx>
        <rich>
          <a:bodyPr/>
          <a:p>
            <a:pPr>
              <a:defRPr sz="1200" b="1">
                <a:solidFill>
                  <a:srgbClr val="1F3864"/>
                </a:solidFill>
              </a:defRPr>
            </a:pPr>
            <a:r>
              <a:t>Сума зірваних перемог за причинами</a:t>
            </a:r>
          </a:p>
        </rich>
      </tx>
      <overlay val="0"/>
    </title>
    <plotArea>
      <barChart>
        <barDir val="bar"/>
        <grouping val="clustered"/>
        <ser>
          <idx val="0"/>
          <order val="0"/>
          <tx>
            <strRef>
              <f>'Відмови'!B48</f>
            </strRef>
          </tx>
          <spPr>
            <a:solidFill>
              <a:srgbClr val="3D7EFF"/>
            </a:solidFill>
            <a:ln>
              <a:noFill/>
              <a:prstDash val="solid"/>
            </a:ln>
          </spPr>
          <cat>
            <numRef>
              <f>'Відмови'!$A$49:$A$57</f>
            </numRef>
          </cat>
          <val>
            <numRef>
              <f>'Відмови'!$B$49:$B$57</f>
            </numRef>
          </val>
        </ser>
        <dLbls>
          <numFmt formatCode="#,##0"/>
          <txPr>
            <a:bodyPr vert="horz"/>
            <a:p>
              <a:pPr>
                <a:defRPr sz="900">
                  <a:solidFill>
                    <a:srgbClr val="404040"/>
                  </a:solidFill>
                </a:defRPr>
              </a:pPr>
              <a:endParaRPr sz="900">
                <a:solidFill>
                  <a:srgbClr val="404040"/>
                </a:solidFill>
              </a:endParaRPr>
            </a:p>
          </txPr>
          <dLblPos val="outEnd"/>
          <showLegendKey val="0"/>
          <showVal val="1"/>
          <showCatName val="0"/>
          <showSerName val="0"/>
          <showPercent val="0"/>
          <showBubbleSize val="0"/>
        </dLbls>
        <gapWidth val="60"/>
        <axId val="10"/>
        <axId val="100"/>
      </barChart>
      <catAx>
        <axId val="10"/>
        <scaling>
          <orientation val="maxMin"/>
        </scaling>
        <delete val="0"/>
        <axPos val="l"/>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0"/>
        <lblOffset val="100"/>
      </catAx>
      <valAx>
        <axId val="100"/>
        <scaling>
          <orientation val="minMax"/>
        </scaling>
        <delete val="0"/>
        <axPos val="l"/>
        <majorGridlines>
          <spPr>
            <a:ln>
              <a:solidFill>
                <a:srgbClr val="D9D9D9"/>
              </a:solidFill>
              <a:prstDash val="solid"/>
            </a:ln>
          </spPr>
        </majorGridlines>
        <numFmt formatCode="#,##0" sourceLinked="0"/>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
        <crosses val="max"/>
      </valAx>
    </plotArea>
    <plotVisOnly val="1"/>
    <dispBlanksAs val="gap"/>
  </chart>
  <spPr>
    <a:solidFill>
      <a:srgbClr val="FFFFFF"/>
    </a:solidFill>
    <a:ln>
      <a:noFill/>
      <a:prstDash val="solid"/>
    </a:ln>
  </spPr>
</chartSpace>
</file>

<file path=xl/charts/chart61.xml><?xml version="1.0" encoding="utf-8"?>
<chartSpace xmlns:a="http://schemas.openxmlformats.org/drawingml/2006/main" xmlns="http://schemas.openxmlformats.org/drawingml/2006/chart">
  <chart>
    <title>
      <tx>
        <rich>
          <a:bodyPr/>
          <a:p>
            <a:pPr>
              <a:defRPr sz="1200" b="1">
                <a:solidFill>
                  <a:srgbClr val="1F3864"/>
                </a:solidFill>
              </a:defRPr>
            </a:pPr>
            <a:r>
              <a:t>Скасовані перемоги по місяцях</a:t>
            </a:r>
          </a:p>
        </rich>
      </tx>
      <overlay val="0"/>
    </title>
    <plotArea>
      <lineChart>
        <grouping val="standard"/>
        <ser>
          <idx val="0"/>
          <order val="0"/>
          <tx>
            <strRef>
              <f>'Відмови'!B64</f>
            </strRef>
          </tx>
          <spPr>
            <a:ln w="22000">
              <a:solidFill>
                <a:srgbClr val="3D7EFF"/>
              </a:solidFill>
              <a:prstDash val="solid"/>
            </a:ln>
          </spPr>
          <marker>
            <symbol val="circle"/>
            <size val="5"/>
            <spPr>
              <a:solidFill>
                <a:srgbClr val="3D7EFF"/>
              </a:solidFill>
              <a:ln>
                <a:prstDash val="solid"/>
              </a:ln>
            </spPr>
          </marker>
          <cat>
            <numRef>
              <f>'Відмови'!$A$65:$A$76</f>
            </numRef>
          </cat>
          <val>
            <numRef>
              <f>'Відмови'!$B$65:$B$76</f>
            </numRef>
          </val>
          <smooth val="0"/>
        </ser>
        <axId val="10"/>
        <axId val="100"/>
      </lineChart>
      <catAx>
        <axId val="10"/>
        <scaling>
          <orientation val="minMax"/>
        </scaling>
        <delete val="0"/>
        <axPos val="l"/>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0"/>
        <lblOffset val="100"/>
      </catAx>
      <valAx>
        <axId val="100"/>
        <scaling>
          <orientation val="minMax"/>
        </scaling>
        <delete val="0"/>
        <axPos val="l"/>
        <majorGridlines>
          <spPr>
            <a:ln>
              <a:solidFill>
                <a:srgbClr val="D9D9D9"/>
              </a:solidFill>
              <a:prstDash val="solid"/>
            </a:ln>
          </spPr>
        </majorGridlines>
        <numFmt formatCode="#,##0" sourceLinked="0"/>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
      </valAx>
    </plotArea>
    <plotVisOnly val="1"/>
    <dispBlanksAs val="gap"/>
  </chart>
  <spPr>
    <a:solidFill>
      <a:srgbClr val="FFFFFF"/>
    </a:solidFill>
    <a:ln>
      <a:noFill/>
      <a:prstDash val="solid"/>
    </a:ln>
  </spPr>
</chartSpace>
</file>

<file path=xl/charts/chart62.xml><?xml version="1.0" encoding="utf-8"?>
<chartSpace xmlns:a="http://schemas.openxmlformats.org/drawingml/2006/main" xmlns="http://schemas.openxmlformats.org/drawingml/2006/chart">
  <chart>
    <title>
      <tx>
        <rich>
          <a:bodyPr/>
          <a:p>
            <a:pPr>
              <a:defRPr sz="1200" b="1">
                <a:solidFill>
                  <a:srgbClr val="1F3864"/>
                </a:solidFill>
              </a:defRPr>
            </a:pPr>
            <a:r>
              <a:t>Підстави відміни</a:t>
            </a:r>
          </a:p>
        </rich>
      </tx>
      <overlay val="0"/>
    </title>
    <plotArea>
      <pieChart>
        <varyColors val="1"/>
        <ser>
          <idx val="0"/>
          <order val="0"/>
          <tx>
            <strRef>
              <f>'Відмови'!B461</f>
            </strRef>
          </tx>
          <spPr>
            <a:ln>
              <a:prstDash val="solid"/>
            </a:ln>
          </spPr>
          <dPt>
            <idx val="0"/>
            <spPr>
              <a:solidFill>
                <a:srgbClr val="3D7EFF"/>
              </a:solidFill>
              <a:ln>
                <a:prstDash val="solid"/>
              </a:ln>
            </spPr>
          </dPt>
          <dPt>
            <idx val="1"/>
            <spPr>
              <a:solidFill>
                <a:srgbClr val="3ECF8E"/>
              </a:solidFill>
              <a:ln>
                <a:prstDash val="solid"/>
              </a:ln>
            </spPr>
          </dPt>
          <dPt>
            <idx val="2"/>
            <spPr>
              <a:solidFill>
                <a:srgbClr val="F0B429"/>
              </a:solidFill>
              <a:ln>
                <a:prstDash val="solid"/>
              </a:ln>
            </spPr>
          </dPt>
          <cat>
            <numRef>
              <f>'Відмови'!$A$462:$A$464</f>
            </numRef>
          </cat>
          <val>
            <numRef>
              <f>'Відмови'!$B$462:$B$464</f>
            </numRef>
          </val>
        </ser>
        <dLbls>
          <txPr>
            <a:bodyPr vert="horz"/>
            <a:p>
              <a:pPr>
                <a:defRPr sz="900">
                  <a:solidFill>
                    <a:srgbClr val="404040"/>
                  </a:solidFill>
                </a:defRPr>
              </a:pPr>
              <a:endParaRPr sz="900">
                <a:solidFill>
                  <a:srgbClr val="404040"/>
                </a:solidFill>
              </a:endParaRPr>
            </a:p>
          </txPr>
          <dLblPos val="bestFit"/>
          <showLegendKey val="0"/>
          <showVal val="0"/>
          <showCatName val="0"/>
          <showSerName val="0"/>
          <showPercent val="1"/>
          <showBubbleSize val="0"/>
          <showLeaderLines val="1"/>
        </dLbls>
        <firstSliceAng val="0"/>
      </pieChart>
    </plotArea>
    <legend>
      <legendPos val="b"/>
      <overlay val="0"/>
      <txPr>
        <a:bodyPr vert="horz"/>
        <a:p>
          <a:pPr>
            <a:defRPr sz="900">
              <a:solidFill>
                <a:srgbClr val="404040"/>
              </a:solidFill>
            </a:defRPr>
          </a:pPr>
          <a:endParaRPr sz="900">
            <a:solidFill>
              <a:srgbClr val="404040"/>
            </a:solidFill>
          </a:endParaRPr>
        </a:p>
      </txPr>
    </legend>
    <plotVisOnly val="1"/>
    <dispBlanksAs val="gap"/>
  </chart>
  <spPr>
    <a:solidFill>
      <a:srgbClr val="FFFFFF"/>
    </a:solidFill>
    <a:ln>
      <a:noFill/>
      <a:prstDash val="solid"/>
    </a:ln>
  </spPr>
</chartSpace>
</file>

<file path=xl/charts/chart63.xml><?xml version="1.0" encoding="utf-8"?>
<chartSpace xmlns:a="http://schemas.openxmlformats.org/drawingml/2006/main" xmlns="http://schemas.openxmlformats.org/drawingml/2006/chart">
  <chart>
    <title>
      <tx>
        <rich>
          <a:bodyPr/>
          <a:p>
            <a:pPr>
              <a:defRPr sz="1200" b="1">
                <a:solidFill>
                  <a:srgbClr val="1F3864"/>
                </a:solidFill>
              </a:defRPr>
            </a:pPr>
            <a:r>
              <a:t>Ми проти лідерів ринку (топ-12)</a:t>
            </a:r>
          </a:p>
        </rich>
      </tx>
      <overlay val="0"/>
    </title>
    <plotArea>
      <barChart>
        <barDir val="bar"/>
        <grouping val="clustered"/>
        <ser>
          <idx val="0"/>
          <order val="0"/>
          <tx>
            <strRef>
              <f>'Наші ТОВ'!B21</f>
            </strRef>
          </tx>
          <spPr>
            <a:solidFill>
              <a:srgbClr val="3D7EFF"/>
            </a:solidFill>
            <a:ln>
              <a:noFill/>
              <a:prstDash val="solid"/>
            </a:ln>
          </spPr>
          <dPt>
            <idx val="2"/>
            <spPr>
              <a:solidFill>
                <a:srgbClr val="3ECF8E"/>
              </a:solidFill>
              <a:ln>
                <a:prstDash val="solid"/>
              </a:ln>
            </spPr>
          </dPt>
          <dPt>
            <idx val="12"/>
            <spPr>
              <a:solidFill>
                <a:srgbClr val="3ECF8E"/>
              </a:solidFill>
              <a:ln>
                <a:prstDash val="solid"/>
              </a:ln>
            </spPr>
          </dPt>
          <cat>
            <numRef>
              <f>'Наші ТОВ'!$A$22:$A$34</f>
            </numRef>
          </cat>
          <val>
            <numRef>
              <f>'Наші ТОВ'!$B$22:$B$34</f>
            </numRef>
          </val>
        </ser>
        <dLbls>
          <numFmt formatCode="#,##0"/>
          <txPr>
            <a:bodyPr vert="horz"/>
            <a:p>
              <a:pPr>
                <a:defRPr sz="900">
                  <a:solidFill>
                    <a:srgbClr val="404040"/>
                  </a:solidFill>
                </a:defRPr>
              </a:pPr>
              <a:endParaRPr sz="900">
                <a:solidFill>
                  <a:srgbClr val="404040"/>
                </a:solidFill>
              </a:endParaRPr>
            </a:p>
          </txPr>
          <dLblPos val="outEnd"/>
          <showLegendKey val="0"/>
          <showVal val="1"/>
          <showCatName val="0"/>
          <showSerName val="0"/>
          <showPercent val="0"/>
          <showBubbleSize val="0"/>
        </dLbls>
        <gapWidth val="60"/>
        <axId val="10"/>
        <axId val="100"/>
      </barChart>
      <catAx>
        <axId val="10"/>
        <scaling>
          <orientation val="maxMin"/>
        </scaling>
        <delete val="0"/>
        <axPos val="l"/>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0"/>
        <lblOffset val="100"/>
      </catAx>
      <valAx>
        <axId val="100"/>
        <scaling>
          <orientation val="minMax"/>
        </scaling>
        <delete val="0"/>
        <axPos val="l"/>
        <majorGridlines>
          <spPr>
            <a:ln>
              <a:solidFill>
                <a:srgbClr val="D9D9D9"/>
              </a:solidFill>
              <a:prstDash val="solid"/>
            </a:ln>
          </spPr>
        </majorGridlines>
        <numFmt formatCode="#,##0" sourceLinked="0"/>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
        <crosses val="max"/>
      </valAx>
    </plotArea>
    <plotVisOnly val="1"/>
    <dispBlanksAs val="gap"/>
  </chart>
  <spPr>
    <a:solidFill>
      <a:srgbClr val="FFFFFF"/>
    </a:solidFill>
    <a:ln>
      <a:noFill/>
      <a:prstDash val="solid"/>
    </a:ln>
  </spPr>
</chartSpace>
</file>

<file path=xl/charts/chart64.xml><?xml version="1.0" encoding="utf-8"?>
<chartSpace xmlns:a="http://schemas.openxmlformats.org/drawingml/2006/main" xmlns="http://schemas.openxmlformats.org/drawingml/2006/chart">
  <chart>
    <title>
      <tx>
        <rich>
          <a:bodyPr/>
          <a:p>
            <a:pPr>
              <a:defRPr sz="1200" b="1">
                <a:solidFill>
                  <a:srgbClr val="1F3864"/>
                </a:solidFill>
              </a:defRPr>
            </a:pPr>
            <a:r>
              <a:t>Де ми не брали участі — за галузями</a:t>
            </a:r>
          </a:p>
        </rich>
      </tx>
      <overlay val="0"/>
    </title>
    <plotArea>
      <barChart>
        <barDir val="bar"/>
        <grouping val="clustered"/>
        <ser>
          <idx val="0"/>
          <order val="0"/>
          <tx>
            <strRef>
              <f>'Наші ТОВ'!B42</f>
            </strRef>
          </tx>
          <spPr>
            <a:solidFill>
              <a:srgbClr val="3D7EFF"/>
            </a:solidFill>
            <a:ln>
              <a:noFill/>
              <a:prstDash val="solid"/>
            </a:ln>
          </spPr>
          <cat>
            <numRef>
              <f>'Наші ТОВ'!$A$43:$A$44</f>
            </numRef>
          </cat>
          <val>
            <numRef>
              <f>'Наші ТОВ'!$B$43:$B$44</f>
            </numRef>
          </val>
        </ser>
        <dLbls>
          <numFmt formatCode="#,##0"/>
          <txPr>
            <a:bodyPr vert="horz"/>
            <a:p>
              <a:pPr>
                <a:defRPr sz="900">
                  <a:solidFill>
                    <a:srgbClr val="404040"/>
                  </a:solidFill>
                </a:defRPr>
              </a:pPr>
              <a:endParaRPr sz="900">
                <a:solidFill>
                  <a:srgbClr val="404040"/>
                </a:solidFill>
              </a:endParaRPr>
            </a:p>
          </txPr>
          <dLblPos val="outEnd"/>
          <showLegendKey val="0"/>
          <showVal val="1"/>
          <showCatName val="0"/>
          <showSerName val="0"/>
          <showPercent val="0"/>
          <showBubbleSize val="0"/>
        </dLbls>
        <gapWidth val="150"/>
        <axId val="10"/>
        <axId val="100"/>
      </barChart>
      <catAx>
        <axId val="10"/>
        <scaling>
          <orientation val="maxMin"/>
        </scaling>
        <delete val="0"/>
        <axPos val="l"/>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0"/>
        <lblOffset val="100"/>
      </catAx>
      <valAx>
        <axId val="100"/>
        <scaling>
          <orientation val="minMax"/>
        </scaling>
        <delete val="0"/>
        <axPos val="l"/>
        <majorGridlines>
          <spPr>
            <a:ln>
              <a:solidFill>
                <a:srgbClr val="D9D9D9"/>
              </a:solidFill>
              <a:prstDash val="solid"/>
            </a:ln>
          </spPr>
        </majorGridlines>
        <numFmt formatCode="#,##0" sourceLinked="0"/>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
        <crosses val="max"/>
      </valAx>
    </plotArea>
    <plotVisOnly val="1"/>
    <dispBlanksAs val="gap"/>
  </chart>
  <spPr>
    <a:solidFill>
      <a:srgbClr val="FFFFFF"/>
    </a:solidFill>
    <a:ln>
      <a:noFill/>
      <a:prstDash val="solid"/>
    </a:ln>
  </spPr>
</chartSpace>
</file>

<file path=xl/charts/chart65.xml><?xml version="1.0" encoding="utf-8"?>
<chartSpace xmlns:a="http://schemas.openxmlformats.org/drawingml/2006/main" xmlns="http://schemas.openxmlformats.org/drawingml/2006/chart">
  <chart>
    <title>
      <tx>
        <rich>
          <a:bodyPr/>
          <a:p>
            <a:pPr>
              <a:defRPr sz="1200" b="1">
                <a:solidFill>
                  <a:srgbClr val="1F3864"/>
                </a:solidFill>
              </a:defRPr>
            </a:pPr>
            <a:r>
              <a:t>З ким ми найчастіше зустрічаємось на торгах</a:t>
            </a:r>
          </a:p>
        </rich>
      </tx>
      <overlay val="0"/>
    </title>
    <plotArea>
      <barChart>
        <barDir val="bar"/>
        <grouping val="clustered"/>
        <ser>
          <idx val="0"/>
          <order val="0"/>
          <tx>
            <strRef>
              <f>'Наші ТОВ'!B58</f>
            </strRef>
          </tx>
          <spPr>
            <a:solidFill>
              <a:srgbClr val="3D7EFF"/>
            </a:solidFill>
            <a:ln>
              <a:noFill/>
              <a:prstDash val="solid"/>
            </a:ln>
          </spPr>
          <cat>
            <numRef>
              <f>'Наші ТОВ'!$A$59:$A$70</f>
            </numRef>
          </cat>
          <val>
            <numRef>
              <f>'Наші ТОВ'!$B$59:$B$70</f>
            </numRef>
          </val>
        </ser>
        <dLbls>
          <numFmt formatCode="#,##0"/>
          <txPr>
            <a:bodyPr vert="horz"/>
            <a:p>
              <a:pPr>
                <a:defRPr sz="900">
                  <a:solidFill>
                    <a:srgbClr val="404040"/>
                  </a:solidFill>
                </a:defRPr>
              </a:pPr>
              <a:endParaRPr sz="900">
                <a:solidFill>
                  <a:srgbClr val="404040"/>
                </a:solidFill>
              </a:endParaRPr>
            </a:p>
          </txPr>
          <dLblPos val="outEnd"/>
          <showLegendKey val="0"/>
          <showVal val="1"/>
          <showCatName val="0"/>
          <showSerName val="0"/>
          <showPercent val="0"/>
          <showBubbleSize val="0"/>
        </dLbls>
        <gapWidth val="60"/>
        <axId val="10"/>
        <axId val="100"/>
      </barChart>
      <catAx>
        <axId val="10"/>
        <scaling>
          <orientation val="maxMin"/>
        </scaling>
        <delete val="0"/>
        <axPos val="l"/>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0"/>
        <lblOffset val="100"/>
      </catAx>
      <valAx>
        <axId val="100"/>
        <scaling>
          <orientation val="minMax"/>
        </scaling>
        <delete val="0"/>
        <axPos val="l"/>
        <majorGridlines>
          <spPr>
            <a:ln>
              <a:solidFill>
                <a:srgbClr val="D9D9D9"/>
              </a:solidFill>
              <a:prstDash val="solid"/>
            </a:ln>
          </spPr>
        </majorGridlines>
        <numFmt formatCode="#,##0" sourceLinked="0"/>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
        <crosses val="max"/>
      </valAx>
    </plotArea>
    <plotVisOnly val="1"/>
    <dispBlanksAs val="gap"/>
  </chart>
  <spPr>
    <a:solidFill>
      <a:srgbClr val="FFFFFF"/>
    </a:solidFill>
    <a:ln>
      <a:noFill/>
      <a:prstDash val="solid"/>
    </a:ln>
  </spPr>
</chartSpace>
</file>

<file path=xl/charts/chart66.xml><?xml version="1.0" encoding="utf-8"?>
<chartSpace xmlns:a="http://schemas.openxmlformats.org/drawingml/2006/main" xmlns="http://schemas.openxmlformats.org/drawingml/2006/chart">
  <chart>
    <title>
      <tx>
        <rich>
          <a:bodyPr/>
          <a:p>
            <a:pPr>
              <a:defRPr sz="1200" b="1">
                <a:solidFill>
                  <a:srgbClr val="1F3864"/>
                </a:solidFill>
              </a:defRPr>
            </a:pPr>
            <a:r>
              <a:t>Найбільші конкуренти (топ-12) і ми</a:t>
            </a:r>
          </a:p>
        </rich>
      </tx>
      <overlay val="0"/>
    </title>
    <plotArea>
      <barChart>
        <barDir val="bar"/>
        <grouping val="clustered"/>
        <ser>
          <idx val="0"/>
          <order val="0"/>
          <tx>
            <strRef>
              <f>'Конкуренти'!B10</f>
            </strRef>
          </tx>
          <spPr>
            <a:solidFill>
              <a:srgbClr val="3D7EFF"/>
            </a:solidFill>
            <a:ln>
              <a:noFill/>
              <a:prstDash val="solid"/>
            </a:ln>
          </spPr>
          <dPt>
            <idx val="12"/>
            <spPr>
              <a:solidFill>
                <a:srgbClr val="3ECF8E"/>
              </a:solidFill>
              <a:ln>
                <a:prstDash val="solid"/>
              </a:ln>
            </spPr>
          </dPt>
          <dPt>
            <idx val="13"/>
            <spPr>
              <a:solidFill>
                <a:srgbClr val="3ECF8E"/>
              </a:solidFill>
              <a:ln>
                <a:prstDash val="solid"/>
              </a:ln>
            </spPr>
          </dPt>
          <cat>
            <numRef>
              <f>'Конкуренти'!$A$11:$A$24</f>
            </numRef>
          </cat>
          <val>
            <numRef>
              <f>'Конкуренти'!$B$11:$B$24</f>
            </numRef>
          </val>
        </ser>
        <dLbls>
          <numFmt formatCode="#,##0"/>
          <txPr>
            <a:bodyPr vert="horz"/>
            <a:p>
              <a:pPr>
                <a:defRPr sz="900">
                  <a:solidFill>
                    <a:srgbClr val="404040"/>
                  </a:solidFill>
                </a:defRPr>
              </a:pPr>
              <a:endParaRPr sz="900">
                <a:solidFill>
                  <a:srgbClr val="404040"/>
                </a:solidFill>
              </a:endParaRPr>
            </a:p>
          </txPr>
          <dLblPos val="outEnd"/>
          <showLegendKey val="0"/>
          <showVal val="1"/>
          <showCatName val="0"/>
          <showSerName val="0"/>
          <showPercent val="0"/>
          <showBubbleSize val="0"/>
        </dLbls>
        <gapWidth val="60"/>
        <axId val="10"/>
        <axId val="100"/>
      </barChart>
      <catAx>
        <axId val="10"/>
        <scaling>
          <orientation val="maxMin"/>
        </scaling>
        <delete val="0"/>
        <axPos val="l"/>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0"/>
        <lblOffset val="100"/>
      </catAx>
      <valAx>
        <axId val="100"/>
        <scaling>
          <orientation val="minMax"/>
        </scaling>
        <delete val="0"/>
        <axPos val="l"/>
        <majorGridlines>
          <spPr>
            <a:ln>
              <a:solidFill>
                <a:srgbClr val="D9D9D9"/>
              </a:solidFill>
              <a:prstDash val="solid"/>
            </a:ln>
          </spPr>
        </majorGridlines>
        <numFmt formatCode="#,##0" sourceLinked="0"/>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
        <crosses val="max"/>
      </valAx>
    </plotArea>
    <plotVisOnly val="1"/>
    <dispBlanksAs val="gap"/>
  </chart>
  <spPr>
    <a:solidFill>
      <a:srgbClr val="FFFFFF"/>
    </a:solidFill>
    <a:ln>
      <a:noFill/>
      <a:prstDash val="solid"/>
    </a:ln>
  </spPr>
</chartSpace>
</file>

<file path=xl/charts/chart67.xml><?xml version="1.0" encoding="utf-8"?>
<chartSpace xmlns:a="http://schemas.openxmlformats.org/drawingml/2006/main" xmlns="http://schemas.openxmlformats.org/drawingml/2006/chart">
  <chart>
    <title>
      <tx>
        <rich>
          <a:bodyPr/>
          <a:p>
            <a:pPr>
              <a:defRPr sz="1200" b="1">
                <a:solidFill>
                  <a:srgbClr val="1F3864"/>
                </a:solidFill>
              </a:defRPr>
            </a:pPr>
            <a:r>
              <a:t>Закупівлі конкурентів: де нас не було, а де програли</a:t>
            </a:r>
          </a:p>
        </rich>
      </tx>
      <overlay val="0"/>
    </title>
    <plotArea>
      <barChart>
        <barDir val="bar"/>
        <grouping val="clustered"/>
        <ser>
          <idx val="0"/>
          <order val="0"/>
          <tx>
            <strRef>
              <f>'Конкуренти'!B33</f>
            </strRef>
          </tx>
          <spPr>
            <a:solidFill>
              <a:srgbClr val="3D7EFF"/>
            </a:solidFill>
            <a:ln>
              <a:noFill/>
              <a:prstDash val="solid"/>
            </a:ln>
          </spPr>
          <cat>
            <numRef>
              <f>'Конкуренти'!$A$34:$A$45</f>
            </numRef>
          </cat>
          <val>
            <numRef>
              <f>'Конкуренти'!$B$34:$B$45</f>
            </numRef>
          </val>
        </ser>
        <ser>
          <idx val="1"/>
          <order val="1"/>
          <tx>
            <strRef>
              <f>'Конкуренти'!C33</f>
            </strRef>
          </tx>
          <spPr>
            <a:solidFill>
              <a:srgbClr val="3ECF8E"/>
            </a:solidFill>
            <a:ln>
              <a:noFill/>
              <a:prstDash val="solid"/>
            </a:ln>
          </spPr>
          <cat>
            <numRef>
              <f>'Конкуренти'!$A$34:$A$45</f>
            </numRef>
          </cat>
          <val>
            <numRef>
              <f>'Конкуренти'!$C$34:$C$45</f>
            </numRef>
          </val>
        </ser>
        <ser>
          <idx val="2"/>
          <order val="2"/>
          <tx>
            <strRef>
              <f>'Конкуренти'!D33</f>
            </strRef>
          </tx>
          <spPr>
            <a:solidFill>
              <a:srgbClr val="F0B429"/>
            </a:solidFill>
            <a:ln>
              <a:noFill/>
              <a:prstDash val="solid"/>
            </a:ln>
          </spPr>
          <cat>
            <numRef>
              <f>'Конкуренти'!$A$34:$A$45</f>
            </numRef>
          </cat>
          <val>
            <numRef>
              <f>'Конкуренти'!$D$34:$D$45</f>
            </numRef>
          </val>
        </ser>
        <gapWidth val="60"/>
        <axId val="10"/>
        <axId val="100"/>
      </barChart>
      <catAx>
        <axId val="10"/>
        <scaling>
          <orientation val="maxMin"/>
        </scaling>
        <delete val="0"/>
        <axPos val="l"/>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0"/>
        <lblOffset val="100"/>
      </catAx>
      <valAx>
        <axId val="100"/>
        <scaling>
          <orientation val="minMax"/>
        </scaling>
        <delete val="0"/>
        <axPos val="l"/>
        <majorGridlines>
          <spPr>
            <a:ln>
              <a:solidFill>
                <a:srgbClr val="D9D9D9"/>
              </a:solidFill>
              <a:prstDash val="solid"/>
            </a:ln>
          </spPr>
        </majorGridlines>
        <numFmt formatCode="#,##0" sourceLinked="0"/>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
        <crosses val="max"/>
      </valAx>
    </plotArea>
    <legend>
      <legendPos val="b"/>
      <overlay val="0"/>
      <txPr>
        <a:bodyPr vert="horz"/>
        <a:p>
          <a:pPr>
            <a:defRPr sz="900">
              <a:solidFill>
                <a:srgbClr val="404040"/>
              </a:solidFill>
            </a:defRPr>
          </a:pPr>
          <a:endParaRPr sz="900">
            <a:solidFill>
              <a:srgbClr val="404040"/>
            </a:solidFill>
          </a:endParaRPr>
        </a:p>
      </txPr>
    </legend>
    <plotVisOnly val="1"/>
    <dispBlanksAs val="gap"/>
  </chart>
  <spPr>
    <a:solidFill>
      <a:srgbClr val="FFFFFF"/>
    </a:solidFill>
    <a:ln>
      <a:noFill/>
      <a:prstDash val="solid"/>
    </a:ln>
  </spPr>
</chartSpace>
</file>

<file path=xl/charts/chart68.xml><?xml version="1.0" encoding="utf-8"?>
<chartSpace xmlns:a="http://schemas.openxmlformats.org/drawingml/2006/main" xmlns="http://schemas.openxmlformats.org/drawingml/2006/chart">
  <chart>
    <title>
      <tx>
        <rich>
          <a:bodyPr/>
          <a:p>
            <a:pPr>
              <a:defRPr sz="1200" b="1">
                <a:solidFill>
                  <a:srgbClr val="1F3864"/>
                </a:solidFill>
              </a:defRPr>
            </a:pPr>
            <a:r>
              <a:t>Торгові марки за сумою угод</a:t>
            </a:r>
          </a:p>
        </rich>
      </tx>
      <overlay val="0"/>
    </title>
    <plotArea>
      <barChart>
        <barDir val="bar"/>
        <grouping val="clustered"/>
        <ser>
          <idx val="0"/>
          <order val="0"/>
          <tx>
            <strRef>
              <f>'Товари і ТМ'!B14</f>
            </strRef>
          </tx>
          <spPr>
            <a:solidFill>
              <a:srgbClr val="3D7EFF"/>
            </a:solidFill>
            <a:ln>
              <a:noFill/>
              <a:prstDash val="solid"/>
            </a:ln>
          </spPr>
          <cat>
            <numRef>
              <f>'Товари і ТМ'!$A$15:$A$26</f>
            </numRef>
          </cat>
          <val>
            <numRef>
              <f>'Товари і ТМ'!$B$15:$B$26</f>
            </numRef>
          </val>
        </ser>
        <dLbls>
          <numFmt formatCode="#,##0"/>
          <txPr>
            <a:bodyPr vert="horz"/>
            <a:p>
              <a:pPr>
                <a:defRPr sz="900">
                  <a:solidFill>
                    <a:srgbClr val="404040"/>
                  </a:solidFill>
                </a:defRPr>
              </a:pPr>
              <a:endParaRPr sz="900">
                <a:solidFill>
                  <a:srgbClr val="404040"/>
                </a:solidFill>
              </a:endParaRPr>
            </a:p>
          </txPr>
          <dLblPos val="outEnd"/>
          <showLegendKey val="0"/>
          <showVal val="1"/>
          <showCatName val="0"/>
          <showSerName val="0"/>
          <showPercent val="0"/>
          <showBubbleSize val="0"/>
        </dLbls>
        <gapWidth val="60"/>
        <axId val="10"/>
        <axId val="100"/>
      </barChart>
      <catAx>
        <axId val="10"/>
        <scaling>
          <orientation val="maxMin"/>
        </scaling>
        <delete val="0"/>
        <axPos val="l"/>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0"/>
        <lblOffset val="100"/>
      </catAx>
      <valAx>
        <axId val="100"/>
        <scaling>
          <orientation val="minMax"/>
        </scaling>
        <delete val="0"/>
        <axPos val="l"/>
        <majorGridlines>
          <spPr>
            <a:ln>
              <a:solidFill>
                <a:srgbClr val="D9D9D9"/>
              </a:solidFill>
              <a:prstDash val="solid"/>
            </a:ln>
          </spPr>
        </majorGridlines>
        <numFmt formatCode="#,##0" sourceLinked="0"/>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
        <crosses val="max"/>
      </valAx>
    </plotArea>
    <plotVisOnly val="1"/>
    <dispBlanksAs val="gap"/>
  </chart>
  <spPr>
    <a:solidFill>
      <a:srgbClr val="FFFFFF"/>
    </a:solidFill>
    <a:ln>
      <a:noFill/>
      <a:prstDash val="solid"/>
    </a:ln>
  </spPr>
</chartSpace>
</file>

<file path=xl/charts/chart69.xml><?xml version="1.0" encoding="utf-8"?>
<chartSpace xmlns:a="http://schemas.openxmlformats.org/drawingml/2006/main" xmlns="http://schemas.openxmlformats.org/drawingml/2006/chart">
  <chart>
    <title>
      <tx>
        <rich>
          <a:bodyPr/>
          <a:p>
            <a:pPr>
              <a:defRPr sz="1200" b="1">
                <a:solidFill>
                  <a:srgbClr val="1F3864"/>
                </a:solidFill>
              </a:defRPr>
            </a:pPr>
            <a:r>
              <a:t>Частки ТМ</a:t>
            </a:r>
          </a:p>
        </rich>
      </tx>
      <overlay val="0"/>
    </title>
    <plotArea>
      <pieChart>
        <varyColors val="1"/>
        <ser>
          <idx val="0"/>
          <order val="0"/>
          <tx>
            <strRef>
              <f>'Товари і ТМ'!B35</f>
            </strRef>
          </tx>
          <spPr>
            <a:ln>
              <a:prstDash val="solid"/>
            </a:ln>
          </spPr>
          <dPt>
            <idx val="0"/>
            <spPr>
              <a:solidFill>
                <a:srgbClr val="3D7EFF"/>
              </a:solidFill>
              <a:ln>
                <a:prstDash val="solid"/>
              </a:ln>
            </spPr>
          </dPt>
          <dPt>
            <idx val="1"/>
            <spPr>
              <a:solidFill>
                <a:srgbClr val="3ECF8E"/>
              </a:solidFill>
              <a:ln>
                <a:prstDash val="solid"/>
              </a:ln>
            </spPr>
          </dPt>
          <dPt>
            <idx val="2"/>
            <spPr>
              <a:solidFill>
                <a:srgbClr val="F0B429"/>
              </a:solidFill>
              <a:ln>
                <a:prstDash val="solid"/>
              </a:ln>
            </spPr>
          </dPt>
          <dPt>
            <idx val="3"/>
            <spPr>
              <a:solidFill>
                <a:srgbClr val="A78BFA"/>
              </a:solidFill>
              <a:ln>
                <a:prstDash val="solid"/>
              </a:ln>
            </spPr>
          </dPt>
          <dPt>
            <idx val="4"/>
            <spPr>
              <a:solidFill>
                <a:srgbClr val="22D3EE"/>
              </a:solidFill>
              <a:ln>
                <a:prstDash val="solid"/>
              </a:ln>
            </spPr>
          </dPt>
          <dPt>
            <idx val="5"/>
            <spPr>
              <a:solidFill>
                <a:srgbClr val="FB923C"/>
              </a:solidFill>
              <a:ln>
                <a:prstDash val="solid"/>
              </a:ln>
            </spPr>
          </dPt>
          <dPt>
            <idx val="6"/>
            <spPr>
              <a:solidFill>
                <a:srgbClr val="F472B6"/>
              </a:solidFill>
              <a:ln>
                <a:prstDash val="solid"/>
              </a:ln>
            </spPr>
          </dPt>
          <dPt>
            <idx val="7"/>
            <spPr>
              <a:solidFill>
                <a:srgbClr val="84CC16"/>
              </a:solidFill>
              <a:ln>
                <a:prstDash val="solid"/>
              </a:ln>
            </spPr>
          </dPt>
          <dPt>
            <idx val="8"/>
            <spPr>
              <a:solidFill>
                <a:srgbClr val="E879F9"/>
              </a:solidFill>
              <a:ln>
                <a:prstDash val="solid"/>
              </a:ln>
            </spPr>
          </dPt>
          <cat>
            <numRef>
              <f>'Товари і ТМ'!$A$36:$A$44</f>
            </numRef>
          </cat>
          <val>
            <numRef>
              <f>'Товари і ТМ'!$B$36:$B$44</f>
            </numRef>
          </val>
        </ser>
        <dLbls>
          <txPr>
            <a:bodyPr vert="horz"/>
            <a:p>
              <a:pPr>
                <a:defRPr sz="900">
                  <a:solidFill>
                    <a:srgbClr val="404040"/>
                  </a:solidFill>
                </a:defRPr>
              </a:pPr>
              <a:endParaRPr sz="900">
                <a:solidFill>
                  <a:srgbClr val="404040"/>
                </a:solidFill>
              </a:endParaRPr>
            </a:p>
          </txPr>
          <dLblPos val="bestFit"/>
          <showLegendKey val="0"/>
          <showVal val="0"/>
          <showCatName val="0"/>
          <showSerName val="0"/>
          <showPercent val="1"/>
          <showBubbleSize val="0"/>
          <showLeaderLines val="1"/>
        </dLbls>
        <firstSliceAng val="0"/>
      </pieChart>
    </plotArea>
    <legend>
      <legendPos val="b"/>
      <overlay val="0"/>
      <txPr>
        <a:bodyPr vert="horz"/>
        <a:p>
          <a:pPr>
            <a:defRPr sz="900">
              <a:solidFill>
                <a:srgbClr val="404040"/>
              </a:solidFill>
            </a:defRPr>
          </a:pPr>
          <a:endParaRPr sz="900">
            <a:solidFill>
              <a:srgbClr val="404040"/>
            </a:solidFill>
          </a:endParaRPr>
        </a:p>
      </txPr>
    </legend>
    <plotVisOnly val="1"/>
    <dispBlanksAs val="gap"/>
  </chart>
  <spPr>
    <a:solidFill>
      <a:srgbClr val="FFFFFF"/>
    </a:solidFill>
    <a:ln>
      <a:noFill/>
      <a:prstDash val="solid"/>
    </a:ln>
  </spPr>
</chartSpace>
</file>

<file path=xl/charts/chart70.xml><?xml version="1.0" encoding="utf-8"?>
<chartSpace xmlns:a="http://schemas.openxmlformats.org/drawingml/2006/main" xmlns="http://schemas.openxmlformats.org/drawingml/2006/chart">
  <chart>
    <title>
      <tx>
        <rich>
          <a:bodyPr/>
          <a:p>
            <a:pPr>
              <a:defRPr sz="1200" b="1">
                <a:solidFill>
                  <a:srgbClr val="1F3864"/>
                </a:solidFill>
              </a:defRPr>
            </a:pPr>
            <a:r>
              <a:t>Найпоширеніші товари</a:t>
            </a:r>
          </a:p>
        </rich>
      </tx>
      <overlay val="0"/>
    </title>
    <plotArea>
      <barChart>
        <barDir val="bar"/>
        <grouping val="clustered"/>
        <ser>
          <idx val="0"/>
          <order val="0"/>
          <tx>
            <strRef>
              <f>'Товари і ТМ'!B56</f>
            </strRef>
          </tx>
          <spPr>
            <a:solidFill>
              <a:srgbClr val="3D7EFF"/>
            </a:solidFill>
            <a:ln>
              <a:noFill/>
              <a:prstDash val="solid"/>
            </a:ln>
          </spPr>
          <cat>
            <numRef>
              <f>'Товари і ТМ'!$A$57:$A$68</f>
            </numRef>
          </cat>
          <val>
            <numRef>
              <f>'Товари і ТМ'!$B$57:$B$68</f>
            </numRef>
          </val>
        </ser>
        <dLbls>
          <numFmt formatCode="#,##0"/>
          <txPr>
            <a:bodyPr vert="horz"/>
            <a:p>
              <a:pPr>
                <a:defRPr sz="900">
                  <a:solidFill>
                    <a:srgbClr val="404040"/>
                  </a:solidFill>
                </a:defRPr>
              </a:pPr>
              <a:endParaRPr sz="900">
                <a:solidFill>
                  <a:srgbClr val="404040"/>
                </a:solidFill>
              </a:endParaRPr>
            </a:p>
          </txPr>
          <dLblPos val="outEnd"/>
          <showLegendKey val="0"/>
          <showVal val="1"/>
          <showCatName val="0"/>
          <showSerName val="0"/>
          <showPercent val="0"/>
          <showBubbleSize val="0"/>
        </dLbls>
        <gapWidth val="60"/>
        <axId val="10"/>
        <axId val="100"/>
      </barChart>
      <catAx>
        <axId val="10"/>
        <scaling>
          <orientation val="maxMin"/>
        </scaling>
        <delete val="0"/>
        <axPos val="l"/>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0"/>
        <lblOffset val="100"/>
      </catAx>
      <valAx>
        <axId val="100"/>
        <scaling>
          <orientation val="minMax"/>
        </scaling>
        <delete val="0"/>
        <axPos val="l"/>
        <majorGridlines>
          <spPr>
            <a:ln>
              <a:solidFill>
                <a:srgbClr val="D9D9D9"/>
              </a:solidFill>
              <a:prstDash val="solid"/>
            </a:ln>
          </spPr>
        </majorGridlines>
        <numFmt formatCode="#,##0" sourceLinked="0"/>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
        <crosses val="max"/>
      </valAx>
    </plotArea>
    <plotVisOnly val="1"/>
    <dispBlanksAs val="gap"/>
  </chart>
  <spPr>
    <a:solidFill>
      <a:srgbClr val="FFFFFF"/>
    </a:solidFill>
    <a:ln>
      <a:noFill/>
      <a:prstDash val="solid"/>
    </a:ln>
  </spPr>
</chartSpace>
</file>

<file path=xl/charts/chart71.xml><?xml version="1.0" encoding="utf-8"?>
<chartSpace xmlns:a="http://schemas.openxmlformats.org/drawingml/2006/main" xmlns="http://schemas.openxmlformats.org/drawingml/2006/chart">
  <chart>
    <title>
      <tx>
        <rich>
          <a:bodyPr/>
          <a:p>
            <a:pPr>
              <a:defRPr sz="1200" b="1">
                <a:solidFill>
                  <a:srgbClr val="1F3864"/>
                </a:solidFill>
              </a:defRPr>
            </a:pPr>
            <a:r>
              <a:t>Бренди в е-каталозі: карток</a:t>
            </a:r>
          </a:p>
        </rich>
      </tx>
      <overlay val="0"/>
    </title>
    <plotArea>
      <barChart>
        <barDir val="bar"/>
        <grouping val="clustered"/>
        <ser>
          <idx val="0"/>
          <order val="0"/>
          <tx>
            <strRef>
              <f>'Товари і ТМ'!B76</f>
            </strRef>
          </tx>
          <spPr>
            <a:solidFill>
              <a:srgbClr val="3D7EFF"/>
            </a:solidFill>
            <a:ln>
              <a:noFill/>
              <a:prstDash val="solid"/>
            </a:ln>
          </spPr>
          <cat>
            <numRef>
              <f>'Товари і ТМ'!$A$77:$A$88</f>
            </numRef>
          </cat>
          <val>
            <numRef>
              <f>'Товари і ТМ'!$B$77:$B$88</f>
            </numRef>
          </val>
        </ser>
        <dLbls>
          <numFmt formatCode="#,##0"/>
          <txPr>
            <a:bodyPr vert="horz"/>
            <a:p>
              <a:pPr>
                <a:defRPr sz="900">
                  <a:solidFill>
                    <a:srgbClr val="404040"/>
                  </a:solidFill>
                </a:defRPr>
              </a:pPr>
              <a:endParaRPr sz="900">
                <a:solidFill>
                  <a:srgbClr val="404040"/>
                </a:solidFill>
              </a:endParaRPr>
            </a:p>
          </txPr>
          <dLblPos val="outEnd"/>
          <showLegendKey val="0"/>
          <showVal val="1"/>
          <showCatName val="0"/>
          <showSerName val="0"/>
          <showPercent val="0"/>
          <showBubbleSize val="0"/>
        </dLbls>
        <gapWidth val="60"/>
        <axId val="10"/>
        <axId val="100"/>
      </barChart>
      <catAx>
        <axId val="10"/>
        <scaling>
          <orientation val="maxMin"/>
        </scaling>
        <delete val="0"/>
        <axPos val="l"/>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0"/>
        <lblOffset val="100"/>
      </catAx>
      <valAx>
        <axId val="100"/>
        <scaling>
          <orientation val="minMax"/>
        </scaling>
        <delete val="0"/>
        <axPos val="l"/>
        <majorGridlines>
          <spPr>
            <a:ln>
              <a:solidFill>
                <a:srgbClr val="D9D9D9"/>
              </a:solidFill>
              <a:prstDash val="solid"/>
            </a:ln>
          </spPr>
        </majorGridlines>
        <numFmt formatCode="#,##0" sourceLinked="0"/>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
        <crosses val="max"/>
      </valAx>
    </plotArea>
    <plotVisOnly val="1"/>
    <dispBlanksAs val="gap"/>
  </chart>
  <spPr>
    <a:solidFill>
      <a:srgbClr val="FFFFFF"/>
    </a:solidFill>
    <a:ln>
      <a:noFill/>
      <a:prstDash val="solid"/>
    </a:ln>
  </spPr>
</chartSpace>
</file>

<file path=xl/charts/chart72.xml><?xml version="1.0" encoding="utf-8"?>
<chartSpace xmlns:a="http://schemas.openxmlformats.org/drawingml/2006/main" xmlns="http://schemas.openxmlformats.org/drawingml/2006/chart">
  <chart>
    <title>
      <tx>
        <rich>
          <a:bodyPr/>
          <a:p>
            <a:pPr>
              <a:defRPr sz="1200" b="1">
                <a:solidFill>
                  <a:srgbClr val="1F3864"/>
                </a:solidFill>
              </a:defRPr>
            </a:pPr>
            <a:r>
              <a:t>Цінове позиціонування брендів у каталозі</a:t>
            </a:r>
          </a:p>
        </rich>
      </tx>
      <overlay val="0"/>
    </title>
    <plotArea>
      <barChart>
        <barDir val="bar"/>
        <grouping val="clustered"/>
        <ser>
          <idx val="0"/>
          <order val="0"/>
          <tx>
            <strRef>
              <f>'Товари і ТМ'!B97</f>
            </strRef>
          </tx>
          <spPr>
            <a:solidFill>
              <a:srgbClr val="3D7EFF"/>
            </a:solidFill>
            <a:ln>
              <a:noFill/>
              <a:prstDash val="solid"/>
            </a:ln>
          </spPr>
          <cat>
            <numRef>
              <f>'Товари і ТМ'!$A$98:$A$109</f>
            </numRef>
          </cat>
          <val>
            <numRef>
              <f>'Товари і ТМ'!$B$98:$B$109</f>
            </numRef>
          </val>
        </ser>
        <ser>
          <idx val="1"/>
          <order val="1"/>
          <tx>
            <strRef>
              <f>'Товари і ТМ'!C97</f>
            </strRef>
          </tx>
          <spPr>
            <a:solidFill>
              <a:srgbClr val="3ECF8E"/>
            </a:solidFill>
            <a:ln>
              <a:noFill/>
              <a:prstDash val="solid"/>
            </a:ln>
          </spPr>
          <cat>
            <numRef>
              <f>'Товари і ТМ'!$A$98:$A$109</f>
            </numRef>
          </cat>
          <val>
            <numRef>
              <f>'Товари і ТМ'!$C$98:$C$109</f>
            </numRef>
          </val>
        </ser>
        <gapWidth val="60"/>
        <axId val="10"/>
        <axId val="100"/>
      </barChart>
      <catAx>
        <axId val="10"/>
        <scaling>
          <orientation val="maxMin"/>
        </scaling>
        <delete val="0"/>
        <axPos val="l"/>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0"/>
        <lblOffset val="100"/>
      </catAx>
      <valAx>
        <axId val="100"/>
        <scaling>
          <orientation val="minMax"/>
        </scaling>
        <delete val="0"/>
        <axPos val="l"/>
        <majorGridlines>
          <spPr>
            <a:ln>
              <a:solidFill>
                <a:srgbClr val="D9D9D9"/>
              </a:solidFill>
              <a:prstDash val="solid"/>
            </a:ln>
          </spPr>
        </majorGridlines>
        <numFmt formatCode="#,##0" sourceLinked="0"/>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
        <crosses val="max"/>
      </valAx>
    </plotArea>
    <legend>
      <legendPos val="b"/>
      <overlay val="0"/>
      <txPr>
        <a:bodyPr vert="horz"/>
        <a:p>
          <a:pPr>
            <a:defRPr sz="900">
              <a:solidFill>
                <a:srgbClr val="404040"/>
              </a:solidFill>
            </a:defRPr>
          </a:pPr>
          <a:endParaRPr sz="900">
            <a:solidFill>
              <a:srgbClr val="404040"/>
            </a:solidFill>
          </a:endParaRPr>
        </a:p>
      </txPr>
    </legend>
    <plotVisOnly val="1"/>
    <dispBlanksAs val="gap"/>
  </chart>
  <spPr>
    <a:solidFill>
      <a:srgbClr val="FFFFFF"/>
    </a:solidFill>
    <a:ln>
      <a:noFill/>
      <a:prstDash val="solid"/>
    </a:ln>
  </spPr>
</chartSpace>
</file>

<file path=xl/charts/chart73.xml><?xml version="1.0" encoding="utf-8"?>
<chartSpace xmlns:a="http://schemas.openxmlformats.org/drawingml/2006/main" xmlns="http://schemas.openxmlformats.org/drawingml/2006/chart">
  <chart>
    <title>
      <tx>
        <rich>
          <a:bodyPr/>
          <a:p>
            <a:pPr>
              <a:defRPr sz="1200" b="1">
                <a:solidFill>
                  <a:srgbClr val="1F3864"/>
                </a:solidFill>
              </a:defRPr>
            </a:pPr>
            <a:r>
              <a:t>Що учасники кладуть у пропозиції</a:t>
            </a:r>
          </a:p>
        </rich>
      </tx>
      <overlay val="0"/>
    </title>
    <plotArea>
      <barChart>
        <barDir val="bar"/>
        <grouping val="clustered"/>
        <ser>
          <idx val="0"/>
          <order val="0"/>
          <tx>
            <strRef>
              <f>'Постачання'!B13</f>
            </strRef>
          </tx>
          <spPr>
            <a:solidFill>
              <a:srgbClr val="3D7EFF"/>
            </a:solidFill>
            <a:ln>
              <a:noFill/>
              <a:prstDash val="solid"/>
            </a:ln>
          </spPr>
          <cat>
            <numRef>
              <f>'Постачання'!$A$14:$A$25</f>
            </numRef>
          </cat>
          <val>
            <numRef>
              <f>'Постачання'!$B$14:$B$25</f>
            </numRef>
          </val>
        </ser>
        <dLbls>
          <numFmt formatCode="#,##0"/>
          <txPr>
            <a:bodyPr vert="horz"/>
            <a:p>
              <a:pPr>
                <a:defRPr sz="900">
                  <a:solidFill>
                    <a:srgbClr val="404040"/>
                  </a:solidFill>
                </a:defRPr>
              </a:pPr>
              <a:endParaRPr sz="900">
                <a:solidFill>
                  <a:srgbClr val="404040"/>
                </a:solidFill>
              </a:endParaRPr>
            </a:p>
          </txPr>
          <dLblPos val="outEnd"/>
          <showLegendKey val="0"/>
          <showVal val="1"/>
          <showCatName val="0"/>
          <showSerName val="0"/>
          <showPercent val="0"/>
          <showBubbleSize val="0"/>
        </dLbls>
        <gapWidth val="60"/>
        <axId val="10"/>
        <axId val="100"/>
      </barChart>
      <catAx>
        <axId val="10"/>
        <scaling>
          <orientation val="maxMin"/>
        </scaling>
        <delete val="0"/>
        <axPos val="l"/>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0"/>
        <lblOffset val="100"/>
      </catAx>
      <valAx>
        <axId val="100"/>
        <scaling>
          <orientation val="minMax"/>
        </scaling>
        <delete val="0"/>
        <axPos val="l"/>
        <majorGridlines>
          <spPr>
            <a:ln>
              <a:solidFill>
                <a:srgbClr val="D9D9D9"/>
              </a:solidFill>
              <a:prstDash val="solid"/>
            </a:ln>
          </spPr>
        </majorGridlines>
        <numFmt formatCode="#,##0" sourceLinked="0"/>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
        <crosses val="max"/>
      </valAx>
    </plotArea>
    <plotVisOnly val="1"/>
    <dispBlanksAs val="gap"/>
  </chart>
  <spPr>
    <a:solidFill>
      <a:srgbClr val="FFFFFF"/>
    </a:solidFill>
    <a:ln>
      <a:noFill/>
      <a:prstDash val="solid"/>
    </a:ln>
  </spPr>
</chartSpace>
</file>

<file path=xl/charts/chart74.xml><?xml version="1.0" encoding="utf-8"?>
<chartSpace xmlns:a="http://schemas.openxmlformats.org/drawingml/2006/main" xmlns="http://schemas.openxmlformats.org/drawingml/2006/chart">
  <chart>
    <title>
      <tx>
        <rich>
          <a:bodyPr/>
          <a:p>
            <a:pPr>
              <a:defRPr sz="1200" b="1">
                <a:solidFill>
                  <a:srgbClr val="1F3864"/>
                </a:solidFill>
              </a:defRPr>
            </a:pPr>
            <a:r>
              <a:t>Кількість різних товарних марок, проданих компанією з 02.09.2025 до 02.09.2026</a:t>
            </a:r>
          </a:p>
        </rich>
      </tx>
      <overlay val="0"/>
    </title>
    <plotArea>
      <barChart>
        <barDir val="bar"/>
        <grouping val="clustered"/>
        <ser>
          <idx val="0"/>
          <order val="0"/>
          <tx>
            <strRef>
              <f>'Порівняння'!B13</f>
            </strRef>
          </tx>
          <spPr>
            <a:solidFill>
              <a:srgbClr val="3D7EFF"/>
            </a:solidFill>
            <a:ln>
              <a:noFill/>
              <a:prstDash val="solid"/>
            </a:ln>
          </spPr>
          <dPt>
            <idx val="0"/>
            <spPr>
              <a:solidFill>
                <a:srgbClr val="3ECF8E"/>
              </a:solidFill>
              <a:ln>
                <a:prstDash val="solid"/>
              </a:ln>
            </spPr>
          </dPt>
          <dPt>
            <idx val="1"/>
            <spPr>
              <a:solidFill>
                <a:srgbClr val="3ECF8E"/>
              </a:solidFill>
              <a:ln>
                <a:prstDash val="solid"/>
              </a:ln>
            </spPr>
          </dPt>
          <cat>
            <numRef>
              <f>'Порівняння'!$A$14:$A$27</f>
            </numRef>
          </cat>
          <val>
            <numRef>
              <f>'Порівняння'!$B$14:$B$27</f>
            </numRef>
          </val>
        </ser>
        <dLbls>
          <numFmt formatCode="#,##0"/>
          <txPr>
            <a:bodyPr vert="horz"/>
            <a:p>
              <a:pPr>
                <a:defRPr sz="900">
                  <a:solidFill>
                    <a:srgbClr val="404040"/>
                  </a:solidFill>
                </a:defRPr>
              </a:pPr>
              <a:endParaRPr sz="900">
                <a:solidFill>
                  <a:srgbClr val="404040"/>
                </a:solidFill>
              </a:endParaRPr>
            </a:p>
          </txPr>
          <dLblPos val="outEnd"/>
          <showLegendKey val="0"/>
          <showVal val="1"/>
          <showCatName val="0"/>
          <showSerName val="0"/>
          <showPercent val="0"/>
          <showBubbleSize val="0"/>
        </dLbls>
        <gapWidth val="60"/>
        <axId val="10"/>
        <axId val="100"/>
      </barChart>
      <catAx>
        <axId val="10"/>
        <scaling>
          <orientation val="maxMin"/>
        </scaling>
        <delete val="0"/>
        <axPos val="l"/>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0"/>
        <lblOffset val="100"/>
      </catAx>
      <valAx>
        <axId val="100"/>
        <scaling>
          <orientation val="minMax"/>
        </scaling>
        <delete val="0"/>
        <axPos val="l"/>
        <majorGridlines>
          <spPr>
            <a:ln>
              <a:solidFill>
                <a:srgbClr val="D9D9D9"/>
              </a:solidFill>
              <a:prstDash val="solid"/>
            </a:ln>
          </spPr>
        </majorGridlines>
        <numFmt formatCode="#,##0" sourceLinked="0"/>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
        <crosses val="max"/>
      </valAx>
    </plotArea>
    <plotVisOnly val="1"/>
    <dispBlanksAs val="gap"/>
  </chart>
  <spPr>
    <a:solidFill>
      <a:srgbClr val="FFFFFF"/>
    </a:solidFill>
    <a:ln>
      <a:noFill/>
      <a:prstDash val="solid"/>
    </a:ln>
  </spPr>
</chartSpace>
</file>

<file path=xl/charts/chart75.xml><?xml version="1.0" encoding="utf-8"?>
<chartSpace xmlns:a="http://schemas.openxmlformats.org/drawingml/2006/main" xmlns="http://schemas.openxmlformats.org/drawingml/2006/chart">
  <chart>
    <title>
      <tx>
        <rich>
          <a:bodyPr/>
          <a:p>
            <a:pPr>
              <a:defRPr sz="1200" b="1">
                <a:solidFill>
                  <a:srgbClr val="1F3864"/>
                </a:solidFill>
              </a:defRPr>
            </a:pPr>
            <a:r>
              <a:t>Цінова поведінка: медіанний дисконт</a:t>
            </a:r>
          </a:p>
        </rich>
      </tx>
      <overlay val="0"/>
    </title>
    <plotArea>
      <barChart>
        <barDir val="bar"/>
        <grouping val="clustered"/>
        <ser>
          <idx val="0"/>
          <order val="0"/>
          <tx>
            <strRef>
              <f>'Порівняння'!B36</f>
            </strRef>
          </tx>
          <spPr>
            <a:solidFill>
              <a:srgbClr val="3D7EFF"/>
            </a:solidFill>
            <a:ln>
              <a:noFill/>
              <a:prstDash val="solid"/>
            </a:ln>
          </spPr>
          <dPt>
            <idx val="0"/>
            <spPr>
              <a:solidFill>
                <a:srgbClr val="3ECF8E"/>
              </a:solidFill>
              <a:ln>
                <a:prstDash val="solid"/>
              </a:ln>
            </spPr>
          </dPt>
          <dPt>
            <idx val="1"/>
            <spPr>
              <a:solidFill>
                <a:srgbClr val="3ECF8E"/>
              </a:solidFill>
              <a:ln>
                <a:prstDash val="solid"/>
              </a:ln>
            </spPr>
          </dPt>
          <cat>
            <numRef>
              <f>'Порівняння'!$A$37:$A$50</f>
            </numRef>
          </cat>
          <val>
            <numRef>
              <f>'Порівняння'!$B$37:$B$50</f>
            </numRef>
          </val>
        </ser>
        <dLbls>
          <numFmt formatCode="0.0&quot;%&quot;"/>
          <txPr>
            <a:bodyPr vert="horz"/>
            <a:p>
              <a:pPr>
                <a:defRPr sz="900">
                  <a:solidFill>
                    <a:srgbClr val="404040"/>
                  </a:solidFill>
                </a:defRPr>
              </a:pPr>
              <a:endParaRPr sz="900">
                <a:solidFill>
                  <a:srgbClr val="404040"/>
                </a:solidFill>
              </a:endParaRPr>
            </a:p>
          </txPr>
          <dLblPos val="outEnd"/>
          <showLegendKey val="0"/>
          <showVal val="1"/>
          <showCatName val="0"/>
          <showSerName val="0"/>
          <showPercent val="0"/>
          <showBubbleSize val="0"/>
        </dLbls>
        <gapWidth val="60"/>
        <axId val="10"/>
        <axId val="100"/>
      </barChart>
      <catAx>
        <axId val="10"/>
        <scaling>
          <orientation val="maxMin"/>
        </scaling>
        <delete val="0"/>
        <axPos val="l"/>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0"/>
        <lblOffset val="100"/>
      </catAx>
      <valAx>
        <axId val="100"/>
        <scaling>
          <orientation val="minMax"/>
        </scaling>
        <delete val="0"/>
        <axPos val="l"/>
        <majorGridlines>
          <spPr>
            <a:ln>
              <a:solidFill>
                <a:srgbClr val="D9D9D9"/>
              </a:solidFill>
              <a:prstDash val="solid"/>
            </a:ln>
          </spPr>
        </majorGridlines>
        <numFmt formatCode="0.0&quot;%&quot;" sourceLinked="0"/>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
        <crosses val="max"/>
      </valAx>
    </plotArea>
    <plotVisOnly val="1"/>
    <dispBlanksAs val="gap"/>
  </chart>
  <spPr>
    <a:solidFill>
      <a:srgbClr val="FFFFFF"/>
    </a:solidFill>
    <a:ln>
      <a:noFill/>
      <a:prstDash val="solid"/>
    </a:ln>
  </spPr>
</chartSpace>
</file>

<file path=xl/charts/chart76.xml><?xml version="1.0" encoding="utf-8"?>
<chartSpace xmlns:a="http://schemas.openxmlformats.org/drawingml/2006/main" xmlns="http://schemas.openxmlformats.org/drawingml/2006/chart">
  <chart>
    <title>
      <tx>
        <rich>
          <a:bodyPr/>
          <a:p>
            <a:pPr>
              <a:defRPr sz="1200" b="1">
                <a:solidFill>
                  <a:srgbClr val="1F3864"/>
                </a:solidFill>
              </a:defRPr>
            </a:pPr>
            <a:r>
              <a:t>Підтверджувальні документи у пропозиціях</a:t>
            </a:r>
          </a:p>
        </rich>
      </tx>
      <overlay val="0"/>
    </title>
    <plotArea>
      <barChart>
        <barDir val="bar"/>
        <grouping val="clustered"/>
        <ser>
          <idx val="0"/>
          <order val="0"/>
          <tx>
            <strRef>
              <f>'Порівняння'!B58</f>
            </strRef>
          </tx>
          <spPr>
            <a:solidFill>
              <a:srgbClr val="3D7EFF"/>
            </a:solidFill>
            <a:ln>
              <a:noFill/>
              <a:prstDash val="solid"/>
            </a:ln>
          </spPr>
          <dPt>
            <idx val="0"/>
            <spPr>
              <a:solidFill>
                <a:srgbClr val="3ECF8E"/>
              </a:solidFill>
              <a:ln>
                <a:prstDash val="solid"/>
              </a:ln>
            </spPr>
          </dPt>
          <dPt>
            <idx val="1"/>
            <spPr>
              <a:solidFill>
                <a:srgbClr val="3ECF8E"/>
              </a:solidFill>
              <a:ln>
                <a:prstDash val="solid"/>
              </a:ln>
            </spPr>
          </dPt>
          <cat>
            <numRef>
              <f>'Порівняння'!$A$59:$A$72</f>
            </numRef>
          </cat>
          <val>
            <numRef>
              <f>'Порівняння'!$B$59:$B$72</f>
            </numRef>
          </val>
        </ser>
        <ser>
          <idx val="1"/>
          <order val="1"/>
          <tx>
            <strRef>
              <f>'Порівняння'!C58</f>
            </strRef>
          </tx>
          <spPr>
            <a:solidFill>
              <a:srgbClr val="3ECF8E"/>
            </a:solidFill>
            <a:ln>
              <a:noFill/>
              <a:prstDash val="solid"/>
            </a:ln>
          </spPr>
          <dPt>
            <idx val="0"/>
            <spPr>
              <a:solidFill>
                <a:srgbClr val="3ECF8E"/>
              </a:solidFill>
              <a:ln>
                <a:prstDash val="solid"/>
              </a:ln>
            </spPr>
          </dPt>
          <dPt>
            <idx val="1"/>
            <spPr>
              <a:solidFill>
                <a:srgbClr val="3ECF8E"/>
              </a:solidFill>
              <a:ln>
                <a:prstDash val="solid"/>
              </a:ln>
            </spPr>
          </dPt>
          <cat>
            <numRef>
              <f>'Порівняння'!$A$59:$A$72</f>
            </numRef>
          </cat>
          <val>
            <numRef>
              <f>'Порівняння'!$C$59:$C$72</f>
            </numRef>
          </val>
        </ser>
        <gapWidth val="60"/>
        <axId val="10"/>
        <axId val="100"/>
      </barChart>
      <catAx>
        <axId val="10"/>
        <scaling>
          <orientation val="maxMin"/>
        </scaling>
        <delete val="0"/>
        <axPos val="l"/>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0"/>
        <lblOffset val="100"/>
      </catAx>
      <valAx>
        <axId val="100"/>
        <scaling>
          <orientation val="minMax"/>
        </scaling>
        <delete val="0"/>
        <axPos val="l"/>
        <majorGridlines>
          <spPr>
            <a:ln>
              <a:solidFill>
                <a:srgbClr val="D9D9D9"/>
              </a:solidFill>
              <a:prstDash val="solid"/>
            </a:ln>
          </spPr>
        </majorGridlines>
        <numFmt formatCode="#,##0" sourceLinked="0"/>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
        <crosses val="max"/>
      </valAx>
    </plotArea>
    <legend>
      <legendPos val="b"/>
      <overlay val="0"/>
      <txPr>
        <a:bodyPr vert="horz"/>
        <a:p>
          <a:pPr>
            <a:defRPr sz="900">
              <a:solidFill>
                <a:srgbClr val="404040"/>
              </a:solidFill>
            </a:defRPr>
          </a:pPr>
          <a:endParaRPr sz="900">
            <a:solidFill>
              <a:srgbClr val="404040"/>
            </a:solidFill>
          </a:endParaRPr>
        </a:p>
      </txPr>
    </legend>
    <plotVisOnly val="1"/>
    <dispBlanksAs val="gap"/>
  </chart>
  <spPr>
    <a:solidFill>
      <a:srgbClr val="FFFFFF"/>
    </a:solidFill>
    <a:ln>
      <a:noFill/>
      <a:prstDash val="solid"/>
    </a:ln>
  </spPr>
</chartSpace>
</file>

<file path=xl/charts/chart77.xml><?xml version="1.0" encoding="utf-8"?>
<chartSpace xmlns:a="http://schemas.openxmlformats.org/drawingml/2006/main" xmlns="http://schemas.openxmlformats.org/drawingml/2006/chart">
  <chart>
    <title>
      <tx>
        <rich>
          <a:bodyPr/>
          <a:p>
            <a:pPr>
              <a:defRPr sz="1200" b="1">
                <a:solidFill>
                  <a:srgbClr val="1F3864"/>
                </a:solidFill>
              </a:defRPr>
            </a:pPr>
            <a:r>
              <a:t>Динаміка по місяцях</a:t>
            </a:r>
          </a:p>
        </rich>
      </tx>
      <overlay val="0"/>
    </title>
    <plotArea>
      <lineChart>
        <grouping val="standard"/>
        <ser>
          <idx val="0"/>
          <order val="0"/>
          <tx>
            <strRef>
              <f>'Ми1 ТОВ "ТОРГОВИЙ ДІМ "ПАРТНЕР'!B43</f>
            </strRef>
          </tx>
          <spPr>
            <a:ln w="22000">
              <a:solidFill>
                <a:srgbClr val="3D7EFF"/>
              </a:solidFill>
              <a:prstDash val="solid"/>
            </a:ln>
          </spPr>
          <marker>
            <symbol val="circle"/>
            <size val="5"/>
            <spPr>
              <a:solidFill>
                <a:srgbClr val="3D7EFF"/>
              </a:solidFill>
              <a:ln>
                <a:prstDash val="solid"/>
              </a:ln>
            </spPr>
          </marker>
          <cat>
            <numRef>
              <f>'Ми1 ТОВ "ТОРГОВИЙ ДІМ "ПАРТНЕР'!$A$44:$A$50</f>
            </numRef>
          </cat>
          <val>
            <numRef>
              <f>'Ми1 ТОВ "ТОРГОВИЙ ДІМ "ПАРТНЕР'!$B$44:$B$50</f>
            </numRef>
          </val>
          <smooth val="0"/>
        </ser>
        <axId val="10"/>
        <axId val="100"/>
      </lineChart>
      <catAx>
        <axId val="10"/>
        <scaling>
          <orientation val="minMax"/>
        </scaling>
        <delete val="0"/>
        <axPos val="l"/>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0"/>
        <lblOffset val="100"/>
      </catAx>
      <valAx>
        <axId val="100"/>
        <scaling>
          <orientation val="minMax"/>
        </scaling>
        <delete val="0"/>
        <axPos val="l"/>
        <majorGridlines>
          <spPr>
            <a:ln>
              <a:solidFill>
                <a:srgbClr val="D9D9D9"/>
              </a:solidFill>
              <a:prstDash val="solid"/>
            </a:ln>
          </spPr>
        </majorGridlines>
        <numFmt formatCode="#,##0" sourceLinked="0"/>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
      </valAx>
    </plotArea>
    <plotVisOnly val="1"/>
    <dispBlanksAs val="gap"/>
  </chart>
  <spPr>
    <a:solidFill>
      <a:srgbClr val="FFFFFF"/>
    </a:solidFill>
    <a:ln>
      <a:noFill/>
      <a:prstDash val="solid"/>
    </a:ln>
  </spPr>
</chartSpace>
</file>

<file path=xl/charts/chart78.xml><?xml version="1.0" encoding="utf-8"?>
<chartSpace xmlns:a="http://schemas.openxmlformats.org/drawingml/2006/main" xmlns="http://schemas.openxmlformats.org/drawingml/2006/chart">
  <chart>
    <title>
      <tx>
        <rich>
          <a:bodyPr/>
          <a:p>
            <a:pPr>
              <a:defRPr sz="1200" b="1">
                <a:solidFill>
                  <a:srgbClr val="1F3864"/>
                </a:solidFill>
              </a:defRPr>
            </a:pPr>
            <a:r>
              <a:t>Торгові марки у позиціях</a:t>
            </a:r>
          </a:p>
        </rich>
      </tx>
      <overlay val="0"/>
    </title>
    <plotArea>
      <pieChart>
        <varyColors val="1"/>
        <ser>
          <idx val="0"/>
          <order val="0"/>
          <tx>
            <strRef>
              <f>'Ми1 ТОВ "ТОРГОВИЙ ДІМ "ПАРТНЕР'!B63</f>
            </strRef>
          </tx>
          <spPr>
            <a:ln>
              <a:prstDash val="solid"/>
            </a:ln>
          </spPr>
          <dPt>
            <idx val="0"/>
            <spPr>
              <a:solidFill>
                <a:srgbClr val="3D7EFF"/>
              </a:solidFill>
              <a:ln>
                <a:prstDash val="solid"/>
              </a:ln>
            </spPr>
          </dPt>
          <dPt>
            <idx val="1"/>
            <spPr>
              <a:solidFill>
                <a:srgbClr val="3ECF8E"/>
              </a:solidFill>
              <a:ln>
                <a:prstDash val="solid"/>
              </a:ln>
            </spPr>
          </dPt>
          <dPt>
            <idx val="2"/>
            <spPr>
              <a:solidFill>
                <a:srgbClr val="F0B429"/>
              </a:solidFill>
              <a:ln>
                <a:prstDash val="solid"/>
              </a:ln>
            </spPr>
          </dPt>
          <dPt>
            <idx val="3"/>
            <spPr>
              <a:solidFill>
                <a:srgbClr val="A78BFA"/>
              </a:solidFill>
              <a:ln>
                <a:prstDash val="solid"/>
              </a:ln>
            </spPr>
          </dPt>
          <dPt>
            <idx val="4"/>
            <spPr>
              <a:solidFill>
                <a:srgbClr val="22D3EE"/>
              </a:solidFill>
              <a:ln>
                <a:prstDash val="solid"/>
              </a:ln>
            </spPr>
          </dPt>
          <dPt>
            <idx val="5"/>
            <spPr>
              <a:solidFill>
                <a:srgbClr val="FB923C"/>
              </a:solidFill>
              <a:ln>
                <a:prstDash val="solid"/>
              </a:ln>
            </spPr>
          </dPt>
          <dPt>
            <idx val="6"/>
            <spPr>
              <a:solidFill>
                <a:srgbClr val="F472B6"/>
              </a:solidFill>
              <a:ln>
                <a:prstDash val="solid"/>
              </a:ln>
            </spPr>
          </dPt>
          <dPt>
            <idx val="7"/>
            <spPr>
              <a:solidFill>
                <a:srgbClr val="84CC16"/>
              </a:solidFill>
              <a:ln>
                <a:prstDash val="solid"/>
              </a:ln>
            </spPr>
          </dPt>
          <cat>
            <numRef>
              <f>'Ми1 ТОВ "ТОРГОВИЙ ДІМ "ПАРТНЕР'!$A$64:$A$71</f>
            </numRef>
          </cat>
          <val>
            <numRef>
              <f>'Ми1 ТОВ "ТОРГОВИЙ ДІМ "ПАРТНЕР'!$B$64:$B$71</f>
            </numRef>
          </val>
        </ser>
        <dLbls>
          <txPr>
            <a:bodyPr vert="horz"/>
            <a:p>
              <a:pPr>
                <a:defRPr sz="900">
                  <a:solidFill>
                    <a:srgbClr val="404040"/>
                  </a:solidFill>
                </a:defRPr>
              </a:pPr>
              <a:endParaRPr sz="900">
                <a:solidFill>
                  <a:srgbClr val="404040"/>
                </a:solidFill>
              </a:endParaRPr>
            </a:p>
          </txPr>
          <dLblPos val="bestFit"/>
          <showLegendKey val="0"/>
          <showVal val="0"/>
          <showCatName val="0"/>
          <showSerName val="0"/>
          <showPercent val="1"/>
          <showBubbleSize val="0"/>
          <showLeaderLines val="1"/>
        </dLbls>
        <firstSliceAng val="0"/>
      </pieChart>
    </plotArea>
    <legend>
      <legendPos val="b"/>
      <overlay val="0"/>
      <txPr>
        <a:bodyPr vert="horz"/>
        <a:p>
          <a:pPr>
            <a:defRPr sz="900">
              <a:solidFill>
                <a:srgbClr val="404040"/>
              </a:solidFill>
            </a:defRPr>
          </a:pPr>
          <a:endParaRPr sz="900">
            <a:solidFill>
              <a:srgbClr val="404040"/>
            </a:solidFill>
          </a:endParaRPr>
        </a:p>
      </txPr>
    </legend>
    <plotVisOnly val="1"/>
    <dispBlanksAs val="gap"/>
  </chart>
  <spPr>
    <a:solidFill>
      <a:srgbClr val="FFFFFF"/>
    </a:solidFill>
    <a:ln>
      <a:noFill/>
      <a:prstDash val="solid"/>
    </a:ln>
  </spPr>
</chartSpace>
</file>

<file path=xl/charts/chart79.xml><?xml version="1.0" encoding="utf-8"?>
<chartSpace xmlns:a="http://schemas.openxmlformats.org/drawingml/2006/main" xmlns="http://schemas.openxmlformats.org/drawingml/2006/chart">
  <chart>
    <title>
      <tx>
        <rich>
          <a:bodyPr/>
          <a:p>
            <a:pPr>
              <a:defRPr sz="1200" b="1">
                <a:solidFill>
                  <a:srgbClr val="1F3864"/>
                </a:solidFill>
              </a:defRPr>
            </a:pPr>
            <a:r>
              <a:t>Що саме продає</a:t>
            </a:r>
          </a:p>
        </rich>
      </tx>
      <overlay val="0"/>
    </title>
    <plotArea>
      <barChart>
        <barDir val="bar"/>
        <grouping val="clustered"/>
        <ser>
          <idx val="0"/>
          <order val="0"/>
          <tx>
            <strRef>
              <f>'Ми1 ТОВ "ТОРГОВИЙ ДІМ "ПАРТНЕР'!B83</f>
            </strRef>
          </tx>
          <spPr>
            <a:solidFill>
              <a:srgbClr val="3D7EFF"/>
            </a:solidFill>
            <a:ln>
              <a:noFill/>
              <a:prstDash val="solid"/>
            </a:ln>
          </spPr>
          <cat>
            <numRef>
              <f>'Ми1 ТОВ "ТОРГОВИЙ ДІМ "ПАРТНЕР'!$A$84:$A$93</f>
            </numRef>
          </cat>
          <val>
            <numRef>
              <f>'Ми1 ТОВ "ТОРГОВИЙ ДІМ "ПАРТНЕР'!$B$84:$B$93</f>
            </numRef>
          </val>
        </ser>
        <dLbls>
          <numFmt formatCode="#,##0"/>
          <txPr>
            <a:bodyPr vert="horz"/>
            <a:p>
              <a:pPr>
                <a:defRPr sz="900">
                  <a:solidFill>
                    <a:srgbClr val="404040"/>
                  </a:solidFill>
                </a:defRPr>
              </a:pPr>
              <a:endParaRPr sz="900">
                <a:solidFill>
                  <a:srgbClr val="404040"/>
                </a:solidFill>
              </a:endParaRPr>
            </a:p>
          </txPr>
          <dLblPos val="outEnd"/>
          <showLegendKey val="0"/>
          <showVal val="1"/>
          <showCatName val="0"/>
          <showSerName val="0"/>
          <showPercent val="0"/>
          <showBubbleSize val="0"/>
        </dLbls>
        <gapWidth val="60"/>
        <axId val="10"/>
        <axId val="100"/>
      </barChart>
      <catAx>
        <axId val="10"/>
        <scaling>
          <orientation val="maxMin"/>
        </scaling>
        <delete val="0"/>
        <axPos val="l"/>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0"/>
        <lblOffset val="100"/>
      </catAx>
      <valAx>
        <axId val="100"/>
        <scaling>
          <orientation val="minMax"/>
        </scaling>
        <delete val="0"/>
        <axPos val="l"/>
        <majorGridlines>
          <spPr>
            <a:ln>
              <a:solidFill>
                <a:srgbClr val="D9D9D9"/>
              </a:solidFill>
              <a:prstDash val="solid"/>
            </a:ln>
          </spPr>
        </majorGridlines>
        <numFmt formatCode="#,##0" sourceLinked="0"/>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
        <crosses val="max"/>
      </valAx>
    </plotArea>
    <plotVisOnly val="1"/>
    <dispBlanksAs val="gap"/>
  </chart>
  <spPr>
    <a:solidFill>
      <a:srgbClr val="FFFFFF"/>
    </a:solidFill>
    <a:ln>
      <a:noFill/>
      <a:prstDash val="solid"/>
    </a:ln>
  </spPr>
</chartSpace>
</file>

<file path=xl/charts/chart80.xml><?xml version="1.0" encoding="utf-8"?>
<chartSpace xmlns:a="http://schemas.openxmlformats.org/drawingml/2006/main" xmlns="http://schemas.openxmlformats.org/drawingml/2006/chart">
  <chart>
    <title>
      <tx>
        <rich>
          <a:bodyPr/>
          <a:p>
            <a:pPr>
              <a:defRPr sz="1200" b="1">
                <a:solidFill>
                  <a:srgbClr val="1F3864"/>
                </a:solidFill>
              </a:defRPr>
            </a:pPr>
            <a:r>
              <a:t>Ключові замовники</a:t>
            </a:r>
          </a:p>
        </rich>
      </tx>
      <overlay val="0"/>
    </title>
    <plotArea>
      <barChart>
        <barDir val="bar"/>
        <grouping val="clustered"/>
        <ser>
          <idx val="0"/>
          <order val="0"/>
          <tx>
            <strRef>
              <f>'Ми1 ТОВ "ТОРГОВИЙ ДІМ "ПАРТНЕР'!B101</f>
            </strRef>
          </tx>
          <spPr>
            <a:solidFill>
              <a:srgbClr val="3D7EFF"/>
            </a:solidFill>
            <a:ln>
              <a:noFill/>
              <a:prstDash val="solid"/>
            </a:ln>
          </spPr>
          <cat>
            <numRef>
              <f>'Ми1 ТОВ "ТОРГОВИЙ ДІМ "ПАРТНЕР'!$A$102:$A$111</f>
            </numRef>
          </cat>
          <val>
            <numRef>
              <f>'Ми1 ТОВ "ТОРГОВИЙ ДІМ "ПАРТНЕР'!$B$102:$B$111</f>
            </numRef>
          </val>
        </ser>
        <dLbls>
          <numFmt formatCode="#,##0"/>
          <txPr>
            <a:bodyPr vert="horz"/>
            <a:p>
              <a:pPr>
                <a:defRPr sz="900">
                  <a:solidFill>
                    <a:srgbClr val="404040"/>
                  </a:solidFill>
                </a:defRPr>
              </a:pPr>
              <a:endParaRPr sz="900">
                <a:solidFill>
                  <a:srgbClr val="404040"/>
                </a:solidFill>
              </a:endParaRPr>
            </a:p>
          </txPr>
          <dLblPos val="outEnd"/>
          <showLegendKey val="0"/>
          <showVal val="1"/>
          <showCatName val="0"/>
          <showSerName val="0"/>
          <showPercent val="0"/>
          <showBubbleSize val="0"/>
        </dLbls>
        <gapWidth val="60"/>
        <axId val="10"/>
        <axId val="100"/>
      </barChart>
      <catAx>
        <axId val="10"/>
        <scaling>
          <orientation val="maxMin"/>
        </scaling>
        <delete val="0"/>
        <axPos val="l"/>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0"/>
        <lblOffset val="100"/>
      </catAx>
      <valAx>
        <axId val="100"/>
        <scaling>
          <orientation val="minMax"/>
        </scaling>
        <delete val="0"/>
        <axPos val="l"/>
        <majorGridlines>
          <spPr>
            <a:ln>
              <a:solidFill>
                <a:srgbClr val="D9D9D9"/>
              </a:solidFill>
              <a:prstDash val="solid"/>
            </a:ln>
          </spPr>
        </majorGridlines>
        <numFmt formatCode="#,##0" sourceLinked="0"/>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
        <crosses val="max"/>
      </valAx>
    </plotArea>
    <plotVisOnly val="1"/>
    <dispBlanksAs val="gap"/>
  </chart>
  <spPr>
    <a:solidFill>
      <a:srgbClr val="FFFFFF"/>
    </a:solidFill>
    <a:ln>
      <a:noFill/>
      <a:prstDash val="solid"/>
    </a:ln>
  </spPr>
</chartSpace>
</file>

<file path=xl/charts/chart81.xml><?xml version="1.0" encoding="utf-8"?>
<chartSpace xmlns:a="http://schemas.openxmlformats.org/drawingml/2006/main" xmlns="http://schemas.openxmlformats.org/drawingml/2006/chart">
  <chart>
    <title>
      <tx>
        <rich>
          <a:bodyPr/>
          <a:p>
            <a:pPr>
              <a:defRPr sz="1200" b="1">
                <a:solidFill>
                  <a:srgbClr val="1F3864"/>
                </a:solidFill>
              </a:defRPr>
            </a:pPr>
            <a:r>
              <a:t>Процедури</a:t>
            </a:r>
          </a:p>
        </rich>
      </tx>
      <overlay val="0"/>
    </title>
    <plotArea>
      <pieChart>
        <varyColors val="1"/>
        <ser>
          <idx val="0"/>
          <order val="0"/>
          <tx>
            <strRef>
              <f>'Ми1 ТОВ "ТОРГОВИЙ ДІМ "ПАРТНЕР'!B119</f>
            </strRef>
          </tx>
          <spPr>
            <a:ln>
              <a:prstDash val="solid"/>
            </a:ln>
          </spPr>
          <dPt>
            <idx val="0"/>
            <spPr>
              <a:solidFill>
                <a:srgbClr val="3D7EFF"/>
              </a:solidFill>
              <a:ln>
                <a:prstDash val="solid"/>
              </a:ln>
            </spPr>
          </dPt>
          <dPt>
            <idx val="1"/>
            <spPr>
              <a:solidFill>
                <a:srgbClr val="3ECF8E"/>
              </a:solidFill>
              <a:ln>
                <a:prstDash val="solid"/>
              </a:ln>
            </spPr>
          </dPt>
          <cat>
            <numRef>
              <f>'Ми1 ТОВ "ТОРГОВИЙ ДІМ "ПАРТНЕР'!$A$120:$A$121</f>
            </numRef>
          </cat>
          <val>
            <numRef>
              <f>'Ми1 ТОВ "ТОРГОВИЙ ДІМ "ПАРТНЕР'!$B$120:$B$121</f>
            </numRef>
          </val>
        </ser>
        <dLbls>
          <txPr>
            <a:bodyPr vert="horz"/>
            <a:p>
              <a:pPr>
                <a:defRPr sz="900">
                  <a:solidFill>
                    <a:srgbClr val="404040"/>
                  </a:solidFill>
                </a:defRPr>
              </a:pPr>
              <a:endParaRPr sz="900">
                <a:solidFill>
                  <a:srgbClr val="404040"/>
                </a:solidFill>
              </a:endParaRPr>
            </a:p>
          </txPr>
          <dLblPos val="bestFit"/>
          <showLegendKey val="0"/>
          <showVal val="0"/>
          <showCatName val="0"/>
          <showSerName val="0"/>
          <showPercent val="1"/>
          <showBubbleSize val="0"/>
          <showLeaderLines val="1"/>
        </dLbls>
        <firstSliceAng val="0"/>
      </pieChart>
    </plotArea>
    <legend>
      <legendPos val="b"/>
      <overlay val="0"/>
      <txPr>
        <a:bodyPr vert="horz"/>
        <a:p>
          <a:pPr>
            <a:defRPr sz="900">
              <a:solidFill>
                <a:srgbClr val="404040"/>
              </a:solidFill>
            </a:defRPr>
          </a:pPr>
          <a:endParaRPr sz="900">
            <a:solidFill>
              <a:srgbClr val="404040"/>
            </a:solidFill>
          </a:endParaRPr>
        </a:p>
      </txPr>
    </legend>
    <plotVisOnly val="1"/>
    <dispBlanksAs val="gap"/>
  </chart>
  <spPr>
    <a:solidFill>
      <a:srgbClr val="FFFFFF"/>
    </a:solidFill>
    <a:ln>
      <a:noFill/>
      <a:prstDash val="solid"/>
    </a:ln>
  </spPr>
</chartSpace>
</file>

<file path=xl/charts/chart82.xml><?xml version="1.0" encoding="utf-8"?>
<chartSpace xmlns:a="http://schemas.openxmlformats.org/drawingml/2006/main" xmlns="http://schemas.openxmlformats.org/drawingml/2006/chart">
  <chart>
    <title>
      <tx>
        <rich>
          <a:bodyPr/>
          <a:p>
            <a:pPr>
              <a:defRPr sz="1200" b="1">
                <a:solidFill>
                  <a:srgbClr val="1F3864"/>
                </a:solidFill>
              </a:defRPr>
            </a:pPr>
            <a:r>
              <a:t>Динаміка по місяцях</a:t>
            </a:r>
          </a:p>
        </rich>
      </tx>
      <overlay val="0"/>
    </title>
    <plotArea>
      <lineChart>
        <grouping val="standard"/>
        <ser>
          <idx val="0"/>
          <order val="0"/>
          <tx>
            <strRef>
              <f>'Ми2 ТОВ "РЕФОРМА СИСТЕМЗ"'!B37</f>
            </strRef>
          </tx>
          <spPr>
            <a:ln w="22000">
              <a:solidFill>
                <a:srgbClr val="3D7EFF"/>
              </a:solidFill>
              <a:prstDash val="solid"/>
            </a:ln>
          </spPr>
          <marker>
            <symbol val="circle"/>
            <size val="5"/>
            <spPr>
              <a:solidFill>
                <a:srgbClr val="3D7EFF"/>
              </a:solidFill>
              <a:ln>
                <a:prstDash val="solid"/>
              </a:ln>
            </spPr>
          </marker>
          <cat>
            <numRef>
              <f>'Ми2 ТОВ "РЕФОРМА СИСТЕМЗ"'!$A$38:$A$39</f>
            </numRef>
          </cat>
          <val>
            <numRef>
              <f>'Ми2 ТОВ "РЕФОРМА СИСТЕМЗ"'!$B$38:$B$39</f>
            </numRef>
          </val>
          <smooth val="0"/>
        </ser>
        <axId val="10"/>
        <axId val="100"/>
      </lineChart>
      <catAx>
        <axId val="10"/>
        <scaling>
          <orientation val="minMax"/>
        </scaling>
        <delete val="0"/>
        <axPos val="l"/>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0"/>
        <lblOffset val="100"/>
      </catAx>
      <valAx>
        <axId val="100"/>
        <scaling>
          <orientation val="minMax"/>
        </scaling>
        <delete val="0"/>
        <axPos val="l"/>
        <majorGridlines>
          <spPr>
            <a:ln>
              <a:solidFill>
                <a:srgbClr val="D9D9D9"/>
              </a:solidFill>
              <a:prstDash val="solid"/>
            </a:ln>
          </spPr>
        </majorGridlines>
        <numFmt formatCode="#,##0" sourceLinked="0"/>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
      </valAx>
    </plotArea>
    <plotVisOnly val="1"/>
    <dispBlanksAs val="gap"/>
  </chart>
  <spPr>
    <a:solidFill>
      <a:srgbClr val="FFFFFF"/>
    </a:solidFill>
    <a:ln>
      <a:noFill/>
      <a:prstDash val="solid"/>
    </a:ln>
  </spPr>
</chartSpace>
</file>

<file path=xl/charts/chart83.xml><?xml version="1.0" encoding="utf-8"?>
<chartSpace xmlns:a="http://schemas.openxmlformats.org/drawingml/2006/main" xmlns="http://schemas.openxmlformats.org/drawingml/2006/chart">
  <chart>
    <title>
      <tx>
        <rich>
          <a:bodyPr/>
          <a:p>
            <a:pPr>
              <a:defRPr sz="1200" b="1">
                <a:solidFill>
                  <a:srgbClr val="1F3864"/>
                </a:solidFill>
              </a:defRPr>
            </a:pPr>
            <a:r>
              <a:t>Що саме продає</a:t>
            </a:r>
          </a:p>
        </rich>
      </tx>
      <overlay val="0"/>
    </title>
    <plotArea>
      <barChart>
        <barDir val="bar"/>
        <grouping val="clustered"/>
        <ser>
          <idx val="0"/>
          <order val="0"/>
          <tx>
            <strRef>
              <f>'Ми2 ТОВ "РЕФОРМА СИСТЕМЗ"'!B57</f>
            </strRef>
          </tx>
          <spPr>
            <a:solidFill>
              <a:srgbClr val="3D7EFF"/>
            </a:solidFill>
            <a:ln>
              <a:noFill/>
              <a:prstDash val="solid"/>
            </a:ln>
          </spPr>
          <cat>
            <numRef>
              <f>'Ми2 ТОВ "РЕФОРМА СИСТЕМЗ"'!$A$58:$A$59</f>
            </numRef>
          </cat>
          <val>
            <numRef>
              <f>'Ми2 ТОВ "РЕФОРМА СИСТЕМЗ"'!$B$58:$B$59</f>
            </numRef>
          </val>
        </ser>
        <dLbls>
          <numFmt formatCode="#,##0"/>
          <txPr>
            <a:bodyPr vert="horz"/>
            <a:p>
              <a:pPr>
                <a:defRPr sz="900">
                  <a:solidFill>
                    <a:srgbClr val="404040"/>
                  </a:solidFill>
                </a:defRPr>
              </a:pPr>
              <a:endParaRPr sz="900">
                <a:solidFill>
                  <a:srgbClr val="404040"/>
                </a:solidFill>
              </a:endParaRPr>
            </a:p>
          </txPr>
          <dLblPos val="outEnd"/>
          <showLegendKey val="0"/>
          <showVal val="1"/>
          <showCatName val="0"/>
          <showSerName val="0"/>
          <showPercent val="0"/>
          <showBubbleSize val="0"/>
        </dLbls>
        <gapWidth val="150"/>
        <axId val="10"/>
        <axId val="100"/>
      </barChart>
      <catAx>
        <axId val="10"/>
        <scaling>
          <orientation val="maxMin"/>
        </scaling>
        <delete val="0"/>
        <axPos val="l"/>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0"/>
        <lblOffset val="100"/>
      </catAx>
      <valAx>
        <axId val="100"/>
        <scaling>
          <orientation val="minMax"/>
        </scaling>
        <delete val="0"/>
        <axPos val="l"/>
        <majorGridlines>
          <spPr>
            <a:ln>
              <a:solidFill>
                <a:srgbClr val="D9D9D9"/>
              </a:solidFill>
              <a:prstDash val="solid"/>
            </a:ln>
          </spPr>
        </majorGridlines>
        <numFmt formatCode="#,##0" sourceLinked="0"/>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
        <crosses val="max"/>
      </valAx>
    </plotArea>
    <plotVisOnly val="1"/>
    <dispBlanksAs val="gap"/>
  </chart>
  <spPr>
    <a:solidFill>
      <a:srgbClr val="FFFFFF"/>
    </a:solidFill>
    <a:ln>
      <a:noFill/>
      <a:prstDash val="solid"/>
    </a:ln>
  </spPr>
</chartSpace>
</file>

<file path=xl/charts/chart84.xml><?xml version="1.0" encoding="utf-8"?>
<chartSpace xmlns:a="http://schemas.openxmlformats.org/drawingml/2006/main" xmlns="http://schemas.openxmlformats.org/drawingml/2006/chart">
  <chart>
    <title>
      <tx>
        <rich>
          <a:bodyPr/>
          <a:p>
            <a:pPr>
              <a:defRPr sz="1200" b="1">
                <a:solidFill>
                  <a:srgbClr val="1F3864"/>
                </a:solidFill>
              </a:defRPr>
            </a:pPr>
            <a:r>
              <a:t>Ключові замовники</a:t>
            </a:r>
          </a:p>
        </rich>
      </tx>
      <overlay val="0"/>
    </title>
    <plotArea>
      <barChart>
        <barDir val="bar"/>
        <grouping val="clustered"/>
        <ser>
          <idx val="0"/>
          <order val="0"/>
          <tx>
            <strRef>
              <f>'Ми2 ТОВ "РЕФОРМА СИСТЕМЗ"'!B73</f>
            </strRef>
          </tx>
          <spPr>
            <a:solidFill>
              <a:srgbClr val="3D7EFF"/>
            </a:solidFill>
            <a:ln>
              <a:noFill/>
              <a:prstDash val="solid"/>
            </a:ln>
          </spPr>
          <cat>
            <numRef>
              <f>'Ми2 ТОВ "РЕФОРМА СИСТЕМЗ"'!$A$74</f>
            </numRef>
          </cat>
          <val>
            <numRef>
              <f>'Ми2 ТОВ "РЕФОРМА СИСТЕМЗ"'!$B$74</f>
            </numRef>
          </val>
        </ser>
        <dLbls>
          <numFmt formatCode="#,##0"/>
          <txPr>
            <a:bodyPr vert="horz"/>
            <a:p>
              <a:pPr>
                <a:defRPr sz="900">
                  <a:solidFill>
                    <a:srgbClr val="404040"/>
                  </a:solidFill>
                </a:defRPr>
              </a:pPr>
              <a:endParaRPr sz="900">
                <a:solidFill>
                  <a:srgbClr val="404040"/>
                </a:solidFill>
              </a:endParaRPr>
            </a:p>
          </txPr>
          <dLblPos val="outEnd"/>
          <showLegendKey val="0"/>
          <showVal val="1"/>
          <showCatName val="0"/>
          <showSerName val="0"/>
          <showPercent val="0"/>
          <showBubbleSize val="0"/>
        </dLbls>
        <gapWidth val="150"/>
        <axId val="10"/>
        <axId val="100"/>
      </barChart>
      <catAx>
        <axId val="10"/>
        <scaling>
          <orientation val="maxMin"/>
        </scaling>
        <delete val="0"/>
        <axPos val="l"/>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0"/>
        <lblOffset val="100"/>
      </catAx>
      <valAx>
        <axId val="100"/>
        <scaling>
          <orientation val="minMax"/>
        </scaling>
        <delete val="0"/>
        <axPos val="l"/>
        <majorGridlines>
          <spPr>
            <a:ln>
              <a:solidFill>
                <a:srgbClr val="D9D9D9"/>
              </a:solidFill>
              <a:prstDash val="solid"/>
            </a:ln>
          </spPr>
        </majorGridlines>
        <numFmt formatCode="#,##0" sourceLinked="0"/>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
        <crosses val="max"/>
      </valAx>
    </plotArea>
    <plotVisOnly val="1"/>
    <dispBlanksAs val="gap"/>
  </chart>
  <spPr>
    <a:solidFill>
      <a:srgbClr val="FFFFFF"/>
    </a:solidFill>
    <a:ln>
      <a:noFill/>
      <a:prstDash val="solid"/>
    </a:ln>
  </spPr>
</chartSpace>
</file>

<file path=xl/charts/chart85.xml><?xml version="1.0" encoding="utf-8"?>
<chartSpace xmlns:a="http://schemas.openxmlformats.org/drawingml/2006/main" xmlns="http://schemas.openxmlformats.org/drawingml/2006/chart">
  <chart>
    <title>
      <tx>
        <rich>
          <a:bodyPr/>
          <a:p>
            <a:pPr>
              <a:defRPr sz="1200" b="1">
                <a:solidFill>
                  <a:srgbClr val="1F3864"/>
                </a:solidFill>
              </a:defRPr>
            </a:pPr>
            <a:r>
              <a:t>Що саме продає</a:t>
            </a:r>
          </a:p>
        </rich>
      </tx>
      <overlay val="0"/>
    </title>
    <plotArea>
      <barChart>
        <barDir val="bar"/>
        <grouping val="clustered"/>
        <ser>
          <idx val="0"/>
          <order val="0"/>
          <tx>
            <strRef>
              <f>'К1 ТОВ "Технології для бізнесу"'!B35</f>
            </strRef>
          </tx>
          <spPr>
            <a:solidFill>
              <a:srgbClr val="3D7EFF"/>
            </a:solidFill>
            <a:ln>
              <a:noFill/>
              <a:prstDash val="solid"/>
            </a:ln>
          </spPr>
          <cat>
            <numRef>
              <f>'К1 ТОВ "Технології для бізнесу"'!$A$36:$A$37</f>
            </numRef>
          </cat>
          <val>
            <numRef>
              <f>'К1 ТОВ "Технології для бізнесу"'!$B$36:$B$37</f>
            </numRef>
          </val>
        </ser>
        <dLbls>
          <numFmt formatCode="#,##0"/>
          <txPr>
            <a:bodyPr vert="horz"/>
            <a:p>
              <a:pPr>
                <a:defRPr sz="900">
                  <a:solidFill>
                    <a:srgbClr val="404040"/>
                  </a:solidFill>
                </a:defRPr>
              </a:pPr>
              <a:endParaRPr sz="900">
                <a:solidFill>
                  <a:srgbClr val="404040"/>
                </a:solidFill>
              </a:endParaRPr>
            </a:p>
          </txPr>
          <dLblPos val="outEnd"/>
          <showLegendKey val="0"/>
          <showVal val="1"/>
          <showCatName val="0"/>
          <showSerName val="0"/>
          <showPercent val="0"/>
          <showBubbleSize val="0"/>
        </dLbls>
        <gapWidth val="150"/>
        <axId val="10"/>
        <axId val="100"/>
      </barChart>
      <catAx>
        <axId val="10"/>
        <scaling>
          <orientation val="maxMin"/>
        </scaling>
        <delete val="0"/>
        <axPos val="l"/>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0"/>
        <lblOffset val="100"/>
      </catAx>
      <valAx>
        <axId val="100"/>
        <scaling>
          <orientation val="minMax"/>
        </scaling>
        <delete val="0"/>
        <axPos val="l"/>
        <majorGridlines>
          <spPr>
            <a:ln>
              <a:solidFill>
                <a:srgbClr val="D9D9D9"/>
              </a:solidFill>
              <a:prstDash val="solid"/>
            </a:ln>
          </spPr>
        </majorGridlines>
        <numFmt formatCode="#,##0" sourceLinked="0"/>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
        <crosses val="max"/>
      </valAx>
    </plotArea>
    <plotVisOnly val="1"/>
    <dispBlanksAs val="gap"/>
  </chart>
  <spPr>
    <a:solidFill>
      <a:srgbClr val="FFFFFF"/>
    </a:solidFill>
    <a:ln>
      <a:noFill/>
      <a:prstDash val="solid"/>
    </a:ln>
  </spPr>
</chartSpace>
</file>

<file path=xl/charts/chart86.xml><?xml version="1.0" encoding="utf-8"?>
<chartSpace xmlns:a="http://schemas.openxmlformats.org/drawingml/2006/main" xmlns="http://schemas.openxmlformats.org/drawingml/2006/chart">
  <chart>
    <title>
      <tx>
        <rich>
          <a:bodyPr/>
          <a:p>
            <a:pPr>
              <a:defRPr sz="1200" b="1">
                <a:solidFill>
                  <a:srgbClr val="1F3864"/>
                </a:solidFill>
              </a:defRPr>
            </a:pPr>
            <a:r>
              <a:t>Ключові замовники</a:t>
            </a:r>
          </a:p>
        </rich>
      </tx>
      <overlay val="0"/>
    </title>
    <plotArea>
      <barChart>
        <barDir val="bar"/>
        <grouping val="clustered"/>
        <ser>
          <idx val="0"/>
          <order val="0"/>
          <tx>
            <strRef>
              <f>'К1 ТОВ "Технології для бізнесу"'!B51</f>
            </strRef>
          </tx>
          <spPr>
            <a:solidFill>
              <a:srgbClr val="3D7EFF"/>
            </a:solidFill>
            <a:ln>
              <a:noFill/>
              <a:prstDash val="solid"/>
            </a:ln>
          </spPr>
          <cat>
            <numRef>
              <f>'К1 ТОВ "Технології для бізнесу"'!$A$52:$A$53</f>
            </numRef>
          </cat>
          <val>
            <numRef>
              <f>'К1 ТОВ "Технології для бізнесу"'!$B$52:$B$53</f>
            </numRef>
          </val>
        </ser>
        <dLbls>
          <numFmt formatCode="#,##0"/>
          <txPr>
            <a:bodyPr vert="horz"/>
            <a:p>
              <a:pPr>
                <a:defRPr sz="900">
                  <a:solidFill>
                    <a:srgbClr val="404040"/>
                  </a:solidFill>
                </a:defRPr>
              </a:pPr>
              <a:endParaRPr sz="900">
                <a:solidFill>
                  <a:srgbClr val="404040"/>
                </a:solidFill>
              </a:endParaRPr>
            </a:p>
          </txPr>
          <dLblPos val="outEnd"/>
          <showLegendKey val="0"/>
          <showVal val="1"/>
          <showCatName val="0"/>
          <showSerName val="0"/>
          <showPercent val="0"/>
          <showBubbleSize val="0"/>
        </dLbls>
        <gapWidth val="150"/>
        <axId val="10"/>
        <axId val="100"/>
      </barChart>
      <catAx>
        <axId val="10"/>
        <scaling>
          <orientation val="maxMin"/>
        </scaling>
        <delete val="0"/>
        <axPos val="l"/>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0"/>
        <lblOffset val="100"/>
      </catAx>
      <valAx>
        <axId val="100"/>
        <scaling>
          <orientation val="minMax"/>
        </scaling>
        <delete val="0"/>
        <axPos val="l"/>
        <majorGridlines>
          <spPr>
            <a:ln>
              <a:solidFill>
                <a:srgbClr val="D9D9D9"/>
              </a:solidFill>
              <a:prstDash val="solid"/>
            </a:ln>
          </spPr>
        </majorGridlines>
        <numFmt formatCode="#,##0" sourceLinked="0"/>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
        <crosses val="max"/>
      </valAx>
    </plotArea>
    <plotVisOnly val="1"/>
    <dispBlanksAs val="gap"/>
  </chart>
  <spPr>
    <a:solidFill>
      <a:srgbClr val="FFFFFF"/>
    </a:solidFill>
    <a:ln>
      <a:noFill/>
      <a:prstDash val="solid"/>
    </a:ln>
  </spPr>
</chartSpace>
</file>

<file path=xl/charts/chart87.xml><?xml version="1.0" encoding="utf-8"?>
<chartSpace xmlns:a="http://schemas.openxmlformats.org/drawingml/2006/main" xmlns="http://schemas.openxmlformats.org/drawingml/2006/chart">
  <chart>
    <title>
      <tx>
        <rich>
          <a:bodyPr/>
          <a:p>
            <a:pPr>
              <a:defRPr sz="1200" b="1">
                <a:solidFill>
                  <a:srgbClr val="1F3864"/>
                </a:solidFill>
              </a:defRPr>
            </a:pPr>
            <a:r>
              <a:t>Торгові марки у позиціях</a:t>
            </a:r>
          </a:p>
        </rich>
      </tx>
      <overlay val="0"/>
    </title>
    <plotArea>
      <pieChart>
        <varyColors val="1"/>
        <ser>
          <idx val="0"/>
          <order val="0"/>
          <tx>
            <strRef>
              <f>'К2 ТОВ "ЕМЕНС"'!B36</f>
            </strRef>
          </tx>
          <spPr>
            <a:ln>
              <a:prstDash val="solid"/>
            </a:ln>
          </spPr>
          <dPt>
            <idx val="0"/>
            <spPr>
              <a:solidFill>
                <a:srgbClr val="3D7EFF"/>
              </a:solidFill>
              <a:ln>
                <a:prstDash val="solid"/>
              </a:ln>
            </spPr>
          </dPt>
          <dPt>
            <idx val="1"/>
            <spPr>
              <a:solidFill>
                <a:srgbClr val="3ECF8E"/>
              </a:solidFill>
              <a:ln>
                <a:prstDash val="solid"/>
              </a:ln>
            </spPr>
          </dPt>
          <dPt>
            <idx val="2"/>
            <spPr>
              <a:solidFill>
                <a:srgbClr val="F0B429"/>
              </a:solidFill>
              <a:ln>
                <a:prstDash val="solid"/>
              </a:ln>
            </spPr>
          </dPt>
          <cat>
            <numRef>
              <f>'К2 ТОВ "ЕМЕНС"'!$A$37:$A$39</f>
            </numRef>
          </cat>
          <val>
            <numRef>
              <f>'К2 ТОВ "ЕМЕНС"'!$B$37:$B$39</f>
            </numRef>
          </val>
        </ser>
        <dLbls>
          <txPr>
            <a:bodyPr vert="horz"/>
            <a:p>
              <a:pPr>
                <a:defRPr sz="900">
                  <a:solidFill>
                    <a:srgbClr val="404040"/>
                  </a:solidFill>
                </a:defRPr>
              </a:pPr>
              <a:endParaRPr sz="900">
                <a:solidFill>
                  <a:srgbClr val="404040"/>
                </a:solidFill>
              </a:endParaRPr>
            </a:p>
          </txPr>
          <dLblPos val="bestFit"/>
          <showLegendKey val="0"/>
          <showVal val="0"/>
          <showCatName val="0"/>
          <showSerName val="0"/>
          <showPercent val="1"/>
          <showBubbleSize val="0"/>
          <showLeaderLines val="1"/>
        </dLbls>
        <firstSliceAng val="0"/>
      </pieChart>
    </plotArea>
    <legend>
      <legendPos val="b"/>
      <overlay val="0"/>
      <txPr>
        <a:bodyPr vert="horz"/>
        <a:p>
          <a:pPr>
            <a:defRPr sz="900">
              <a:solidFill>
                <a:srgbClr val="404040"/>
              </a:solidFill>
            </a:defRPr>
          </a:pPr>
          <a:endParaRPr sz="900">
            <a:solidFill>
              <a:srgbClr val="404040"/>
            </a:solidFill>
          </a:endParaRPr>
        </a:p>
      </txPr>
    </legend>
    <plotVisOnly val="1"/>
    <dispBlanksAs val="gap"/>
  </chart>
  <spPr>
    <a:solidFill>
      <a:srgbClr val="FFFFFF"/>
    </a:solidFill>
    <a:ln>
      <a:noFill/>
      <a:prstDash val="solid"/>
    </a:ln>
  </spPr>
</chartSpace>
</file>

<file path=xl/charts/chart88.xml><?xml version="1.0" encoding="utf-8"?>
<chartSpace xmlns:a="http://schemas.openxmlformats.org/drawingml/2006/main" xmlns="http://schemas.openxmlformats.org/drawingml/2006/chart">
  <chart>
    <title>
      <tx>
        <rich>
          <a:bodyPr/>
          <a:p>
            <a:pPr>
              <a:defRPr sz="1200" b="1">
                <a:solidFill>
                  <a:srgbClr val="1F3864"/>
                </a:solidFill>
              </a:defRPr>
            </a:pPr>
            <a:r>
              <a:t>Що саме продає</a:t>
            </a:r>
          </a:p>
        </rich>
      </tx>
      <overlay val="0"/>
    </title>
    <plotArea>
      <barChart>
        <barDir val="bar"/>
        <grouping val="clustered"/>
        <ser>
          <idx val="0"/>
          <order val="0"/>
          <tx>
            <strRef>
              <f>'К2 ТОВ "ЕМЕНС"'!B56</f>
            </strRef>
          </tx>
          <spPr>
            <a:solidFill>
              <a:srgbClr val="3D7EFF"/>
            </a:solidFill>
            <a:ln>
              <a:noFill/>
              <a:prstDash val="solid"/>
            </a:ln>
          </spPr>
          <cat>
            <numRef>
              <f>'К2 ТОВ "ЕМЕНС"'!$A$57:$A$58</f>
            </numRef>
          </cat>
          <val>
            <numRef>
              <f>'К2 ТОВ "ЕМЕНС"'!$B$57:$B$58</f>
            </numRef>
          </val>
        </ser>
        <dLbls>
          <numFmt formatCode="#,##0"/>
          <txPr>
            <a:bodyPr vert="horz"/>
            <a:p>
              <a:pPr>
                <a:defRPr sz="900">
                  <a:solidFill>
                    <a:srgbClr val="404040"/>
                  </a:solidFill>
                </a:defRPr>
              </a:pPr>
              <a:endParaRPr sz="900">
                <a:solidFill>
                  <a:srgbClr val="404040"/>
                </a:solidFill>
              </a:endParaRPr>
            </a:p>
          </txPr>
          <dLblPos val="outEnd"/>
          <showLegendKey val="0"/>
          <showVal val="1"/>
          <showCatName val="0"/>
          <showSerName val="0"/>
          <showPercent val="0"/>
          <showBubbleSize val="0"/>
        </dLbls>
        <gapWidth val="150"/>
        <axId val="10"/>
        <axId val="100"/>
      </barChart>
      <catAx>
        <axId val="10"/>
        <scaling>
          <orientation val="maxMin"/>
        </scaling>
        <delete val="0"/>
        <axPos val="l"/>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0"/>
        <lblOffset val="100"/>
      </catAx>
      <valAx>
        <axId val="100"/>
        <scaling>
          <orientation val="minMax"/>
        </scaling>
        <delete val="0"/>
        <axPos val="l"/>
        <majorGridlines>
          <spPr>
            <a:ln>
              <a:solidFill>
                <a:srgbClr val="D9D9D9"/>
              </a:solidFill>
              <a:prstDash val="solid"/>
            </a:ln>
          </spPr>
        </majorGridlines>
        <numFmt formatCode="#,##0" sourceLinked="0"/>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
        <crosses val="max"/>
      </valAx>
    </plotArea>
    <plotVisOnly val="1"/>
    <dispBlanksAs val="gap"/>
  </chart>
  <spPr>
    <a:solidFill>
      <a:srgbClr val="FFFFFF"/>
    </a:solidFill>
    <a:ln>
      <a:noFill/>
      <a:prstDash val="solid"/>
    </a:ln>
  </spPr>
</chartSpace>
</file>

<file path=xl/charts/chart89.xml><?xml version="1.0" encoding="utf-8"?>
<chartSpace xmlns:a="http://schemas.openxmlformats.org/drawingml/2006/main" xmlns="http://schemas.openxmlformats.org/drawingml/2006/chart">
  <chart>
    <title>
      <tx>
        <rich>
          <a:bodyPr/>
          <a:p>
            <a:pPr>
              <a:defRPr sz="1200" b="1">
                <a:solidFill>
                  <a:srgbClr val="1F3864"/>
                </a:solidFill>
              </a:defRPr>
            </a:pPr>
            <a:r>
              <a:t>Ключові замовники</a:t>
            </a:r>
          </a:p>
        </rich>
      </tx>
      <overlay val="0"/>
    </title>
    <plotArea>
      <barChart>
        <barDir val="bar"/>
        <grouping val="clustered"/>
        <ser>
          <idx val="0"/>
          <order val="0"/>
          <tx>
            <strRef>
              <f>'К2 ТОВ "ЕМЕНС"'!B72</f>
            </strRef>
          </tx>
          <spPr>
            <a:solidFill>
              <a:srgbClr val="3D7EFF"/>
            </a:solidFill>
            <a:ln>
              <a:noFill/>
              <a:prstDash val="solid"/>
            </a:ln>
          </spPr>
          <cat>
            <numRef>
              <f>'К2 ТОВ "ЕМЕНС"'!$A$73</f>
            </numRef>
          </cat>
          <val>
            <numRef>
              <f>'К2 ТОВ "ЕМЕНС"'!$B$73</f>
            </numRef>
          </val>
        </ser>
        <dLbls>
          <numFmt formatCode="#,##0"/>
          <txPr>
            <a:bodyPr vert="horz"/>
            <a:p>
              <a:pPr>
                <a:defRPr sz="900">
                  <a:solidFill>
                    <a:srgbClr val="404040"/>
                  </a:solidFill>
                </a:defRPr>
              </a:pPr>
              <a:endParaRPr sz="900">
                <a:solidFill>
                  <a:srgbClr val="404040"/>
                </a:solidFill>
              </a:endParaRPr>
            </a:p>
          </txPr>
          <dLblPos val="outEnd"/>
          <showLegendKey val="0"/>
          <showVal val="1"/>
          <showCatName val="0"/>
          <showSerName val="0"/>
          <showPercent val="0"/>
          <showBubbleSize val="0"/>
        </dLbls>
        <gapWidth val="150"/>
        <axId val="10"/>
        <axId val="100"/>
      </barChart>
      <catAx>
        <axId val="10"/>
        <scaling>
          <orientation val="maxMin"/>
        </scaling>
        <delete val="0"/>
        <axPos val="l"/>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0"/>
        <lblOffset val="100"/>
      </catAx>
      <valAx>
        <axId val="100"/>
        <scaling>
          <orientation val="minMax"/>
        </scaling>
        <delete val="0"/>
        <axPos val="l"/>
        <majorGridlines>
          <spPr>
            <a:ln>
              <a:solidFill>
                <a:srgbClr val="D9D9D9"/>
              </a:solidFill>
              <a:prstDash val="solid"/>
            </a:ln>
          </spPr>
        </majorGridlines>
        <numFmt formatCode="#,##0" sourceLinked="0"/>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
        <crosses val="max"/>
      </valAx>
    </plotArea>
    <plotVisOnly val="1"/>
    <dispBlanksAs val="gap"/>
  </chart>
  <spPr>
    <a:solidFill>
      <a:srgbClr val="FFFFFF"/>
    </a:solidFill>
    <a:ln>
      <a:noFill/>
      <a:prstDash val="solid"/>
    </a:ln>
  </spPr>
</chartSpace>
</file>

<file path=xl/charts/chart90.xml><?xml version="1.0" encoding="utf-8"?>
<chartSpace xmlns:a="http://schemas.openxmlformats.org/drawingml/2006/main" xmlns="http://schemas.openxmlformats.org/drawingml/2006/chart">
  <chart>
    <title>
      <tx>
        <rich>
          <a:bodyPr/>
          <a:p>
            <a:pPr>
              <a:defRPr sz="1200" b="1">
                <a:solidFill>
                  <a:srgbClr val="1F3864"/>
                </a:solidFill>
              </a:defRPr>
            </a:pPr>
            <a:r>
              <a:t>Динаміка по місяцях</a:t>
            </a:r>
          </a:p>
        </rich>
      </tx>
      <overlay val="0"/>
    </title>
    <plotArea>
      <lineChart>
        <grouping val="standard"/>
        <ser>
          <idx val="0"/>
          <order val="0"/>
          <tx>
            <strRef>
              <f>'К3 ТОВ «ПОРТАЛ АРЕНА»'!B41</f>
            </strRef>
          </tx>
          <spPr>
            <a:ln w="22000">
              <a:solidFill>
                <a:srgbClr val="3D7EFF"/>
              </a:solidFill>
              <a:prstDash val="solid"/>
            </a:ln>
          </spPr>
          <marker>
            <symbol val="circle"/>
            <size val="5"/>
            <spPr>
              <a:solidFill>
                <a:srgbClr val="3D7EFF"/>
              </a:solidFill>
              <a:ln>
                <a:prstDash val="solid"/>
              </a:ln>
            </spPr>
          </marker>
          <cat>
            <numRef>
              <f>'К3 ТОВ «ПОРТАЛ АРЕНА»'!$A$42:$A$45</f>
            </numRef>
          </cat>
          <val>
            <numRef>
              <f>'К3 ТОВ «ПОРТАЛ АРЕНА»'!$B$42:$B$45</f>
            </numRef>
          </val>
          <smooth val="0"/>
        </ser>
        <axId val="10"/>
        <axId val="100"/>
      </lineChart>
      <catAx>
        <axId val="10"/>
        <scaling>
          <orientation val="minMax"/>
        </scaling>
        <delete val="0"/>
        <axPos val="l"/>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0"/>
        <lblOffset val="100"/>
      </catAx>
      <valAx>
        <axId val="100"/>
        <scaling>
          <orientation val="minMax"/>
        </scaling>
        <delete val="0"/>
        <axPos val="l"/>
        <majorGridlines>
          <spPr>
            <a:ln>
              <a:solidFill>
                <a:srgbClr val="D9D9D9"/>
              </a:solidFill>
              <a:prstDash val="solid"/>
            </a:ln>
          </spPr>
        </majorGridlines>
        <numFmt formatCode="#,##0" sourceLinked="0"/>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
      </valAx>
    </plotArea>
    <plotVisOnly val="1"/>
    <dispBlanksAs val="gap"/>
  </chart>
  <spPr>
    <a:solidFill>
      <a:srgbClr val="FFFFFF"/>
    </a:solidFill>
    <a:ln>
      <a:noFill/>
      <a:prstDash val="solid"/>
    </a:ln>
  </spPr>
</chartSpace>
</file>

<file path=xl/charts/chart91.xml><?xml version="1.0" encoding="utf-8"?>
<chartSpace xmlns:a="http://schemas.openxmlformats.org/drawingml/2006/main" xmlns="http://schemas.openxmlformats.org/drawingml/2006/chart">
  <chart>
    <title>
      <tx>
        <rich>
          <a:bodyPr/>
          <a:p>
            <a:pPr>
              <a:defRPr sz="1200" b="1">
                <a:solidFill>
                  <a:srgbClr val="1F3864"/>
                </a:solidFill>
              </a:defRPr>
            </a:pPr>
            <a:r>
              <a:t>Торгові марки у позиціях</a:t>
            </a:r>
          </a:p>
        </rich>
      </tx>
      <overlay val="0"/>
    </title>
    <plotArea>
      <pieChart>
        <varyColors val="1"/>
        <ser>
          <idx val="0"/>
          <order val="0"/>
          <tx>
            <strRef>
              <f>'К3 ТОВ «ПОРТАЛ АРЕНА»'!B61</f>
            </strRef>
          </tx>
          <spPr>
            <a:ln>
              <a:prstDash val="solid"/>
            </a:ln>
          </spPr>
          <dPt>
            <idx val="0"/>
            <spPr>
              <a:solidFill>
                <a:srgbClr val="3D7EFF"/>
              </a:solidFill>
              <a:ln>
                <a:prstDash val="solid"/>
              </a:ln>
            </spPr>
          </dPt>
          <dPt>
            <idx val="1"/>
            <spPr>
              <a:solidFill>
                <a:srgbClr val="3ECF8E"/>
              </a:solidFill>
              <a:ln>
                <a:prstDash val="solid"/>
              </a:ln>
            </spPr>
          </dPt>
          <dPt>
            <idx val="2"/>
            <spPr>
              <a:solidFill>
                <a:srgbClr val="F0B429"/>
              </a:solidFill>
              <a:ln>
                <a:prstDash val="solid"/>
              </a:ln>
            </spPr>
          </dPt>
          <dPt>
            <idx val="3"/>
            <spPr>
              <a:solidFill>
                <a:srgbClr val="A78BFA"/>
              </a:solidFill>
              <a:ln>
                <a:prstDash val="solid"/>
              </a:ln>
            </spPr>
          </dPt>
          <cat>
            <numRef>
              <f>'К3 ТОВ «ПОРТАЛ АРЕНА»'!$A$62:$A$65</f>
            </numRef>
          </cat>
          <val>
            <numRef>
              <f>'К3 ТОВ «ПОРТАЛ АРЕНА»'!$B$62:$B$65</f>
            </numRef>
          </val>
        </ser>
        <dLbls>
          <txPr>
            <a:bodyPr vert="horz"/>
            <a:p>
              <a:pPr>
                <a:defRPr sz="900">
                  <a:solidFill>
                    <a:srgbClr val="404040"/>
                  </a:solidFill>
                </a:defRPr>
              </a:pPr>
              <a:endParaRPr sz="900">
                <a:solidFill>
                  <a:srgbClr val="404040"/>
                </a:solidFill>
              </a:endParaRPr>
            </a:p>
          </txPr>
          <dLblPos val="bestFit"/>
          <showLegendKey val="0"/>
          <showVal val="0"/>
          <showCatName val="0"/>
          <showSerName val="0"/>
          <showPercent val="1"/>
          <showBubbleSize val="0"/>
          <showLeaderLines val="1"/>
        </dLbls>
        <firstSliceAng val="0"/>
      </pieChart>
    </plotArea>
    <legend>
      <legendPos val="b"/>
      <overlay val="0"/>
      <txPr>
        <a:bodyPr vert="horz"/>
        <a:p>
          <a:pPr>
            <a:defRPr sz="900">
              <a:solidFill>
                <a:srgbClr val="404040"/>
              </a:solidFill>
            </a:defRPr>
          </a:pPr>
          <a:endParaRPr sz="900">
            <a:solidFill>
              <a:srgbClr val="404040"/>
            </a:solidFill>
          </a:endParaRPr>
        </a:p>
      </txPr>
    </legend>
    <plotVisOnly val="1"/>
    <dispBlanksAs val="gap"/>
  </chart>
  <spPr>
    <a:solidFill>
      <a:srgbClr val="FFFFFF"/>
    </a:solidFill>
    <a:ln>
      <a:noFill/>
      <a:prstDash val="solid"/>
    </a:ln>
  </spPr>
</chartSpace>
</file>

<file path=xl/charts/chart92.xml><?xml version="1.0" encoding="utf-8"?>
<chartSpace xmlns:a="http://schemas.openxmlformats.org/drawingml/2006/main" xmlns="http://schemas.openxmlformats.org/drawingml/2006/chart">
  <chart>
    <title>
      <tx>
        <rich>
          <a:bodyPr/>
          <a:p>
            <a:pPr>
              <a:defRPr sz="1200" b="1">
                <a:solidFill>
                  <a:srgbClr val="1F3864"/>
                </a:solidFill>
              </a:defRPr>
            </a:pPr>
            <a:r>
              <a:t>Що саме продає</a:t>
            </a:r>
          </a:p>
        </rich>
      </tx>
      <overlay val="0"/>
    </title>
    <plotArea>
      <barChart>
        <barDir val="bar"/>
        <grouping val="clustered"/>
        <ser>
          <idx val="0"/>
          <order val="0"/>
          <tx>
            <strRef>
              <f>'К3 ТОВ «ПОРТАЛ АРЕНА»'!B81</f>
            </strRef>
          </tx>
          <spPr>
            <a:solidFill>
              <a:srgbClr val="3D7EFF"/>
            </a:solidFill>
            <a:ln>
              <a:noFill/>
              <a:prstDash val="solid"/>
            </a:ln>
          </spPr>
          <cat>
            <numRef>
              <f>'К3 ТОВ «ПОРТАЛ АРЕНА»'!$A$82:$A$85</f>
            </numRef>
          </cat>
          <val>
            <numRef>
              <f>'К3 ТОВ «ПОРТАЛ АРЕНА»'!$B$82:$B$85</f>
            </numRef>
          </val>
        </ser>
        <dLbls>
          <numFmt formatCode="#,##0"/>
          <txPr>
            <a:bodyPr vert="horz"/>
            <a:p>
              <a:pPr>
                <a:defRPr sz="900">
                  <a:solidFill>
                    <a:srgbClr val="404040"/>
                  </a:solidFill>
                </a:defRPr>
              </a:pPr>
              <a:endParaRPr sz="900">
                <a:solidFill>
                  <a:srgbClr val="404040"/>
                </a:solidFill>
              </a:endParaRPr>
            </a:p>
          </txPr>
          <dLblPos val="outEnd"/>
          <showLegendKey val="0"/>
          <showVal val="1"/>
          <showCatName val="0"/>
          <showSerName val="0"/>
          <showPercent val="0"/>
          <showBubbleSize val="0"/>
        </dLbls>
        <gapWidth val="150"/>
        <axId val="10"/>
        <axId val="100"/>
      </barChart>
      <catAx>
        <axId val="10"/>
        <scaling>
          <orientation val="maxMin"/>
        </scaling>
        <delete val="0"/>
        <axPos val="l"/>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0"/>
        <lblOffset val="100"/>
      </catAx>
      <valAx>
        <axId val="100"/>
        <scaling>
          <orientation val="minMax"/>
        </scaling>
        <delete val="0"/>
        <axPos val="l"/>
        <majorGridlines>
          <spPr>
            <a:ln>
              <a:solidFill>
                <a:srgbClr val="D9D9D9"/>
              </a:solidFill>
              <a:prstDash val="solid"/>
            </a:ln>
          </spPr>
        </majorGridlines>
        <numFmt formatCode="#,##0" sourceLinked="0"/>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
        <crosses val="max"/>
      </valAx>
    </plotArea>
    <plotVisOnly val="1"/>
    <dispBlanksAs val="gap"/>
  </chart>
  <spPr>
    <a:solidFill>
      <a:srgbClr val="FFFFFF"/>
    </a:solidFill>
    <a:ln>
      <a:noFill/>
      <a:prstDash val="solid"/>
    </a:ln>
  </spPr>
</chartSpace>
</file>

<file path=xl/charts/chart93.xml><?xml version="1.0" encoding="utf-8"?>
<chartSpace xmlns:a="http://schemas.openxmlformats.org/drawingml/2006/main" xmlns="http://schemas.openxmlformats.org/drawingml/2006/chart">
  <chart>
    <title>
      <tx>
        <rich>
          <a:bodyPr/>
          <a:p>
            <a:pPr>
              <a:defRPr sz="1200" b="1">
                <a:solidFill>
                  <a:srgbClr val="1F3864"/>
                </a:solidFill>
              </a:defRPr>
            </a:pPr>
            <a:r>
              <a:t>Ключові замовники</a:t>
            </a:r>
          </a:p>
        </rich>
      </tx>
      <overlay val="0"/>
    </title>
    <plotArea>
      <barChart>
        <barDir val="bar"/>
        <grouping val="clustered"/>
        <ser>
          <idx val="0"/>
          <order val="0"/>
          <tx>
            <strRef>
              <f>'К3 ТОВ «ПОРТАЛ АРЕНА»'!B97</f>
            </strRef>
          </tx>
          <spPr>
            <a:solidFill>
              <a:srgbClr val="3D7EFF"/>
            </a:solidFill>
            <a:ln>
              <a:noFill/>
              <a:prstDash val="solid"/>
            </a:ln>
          </spPr>
          <cat>
            <numRef>
              <f>'К3 ТОВ «ПОРТАЛ АРЕНА»'!$A$98:$A$105</f>
            </numRef>
          </cat>
          <val>
            <numRef>
              <f>'К3 ТОВ «ПОРТАЛ АРЕНА»'!$B$98:$B$105</f>
            </numRef>
          </val>
        </ser>
        <dLbls>
          <numFmt formatCode="#,##0"/>
          <txPr>
            <a:bodyPr vert="horz"/>
            <a:p>
              <a:pPr>
                <a:defRPr sz="900">
                  <a:solidFill>
                    <a:srgbClr val="404040"/>
                  </a:solidFill>
                </a:defRPr>
              </a:pPr>
              <a:endParaRPr sz="900">
                <a:solidFill>
                  <a:srgbClr val="404040"/>
                </a:solidFill>
              </a:endParaRPr>
            </a:p>
          </txPr>
          <dLblPos val="outEnd"/>
          <showLegendKey val="0"/>
          <showVal val="1"/>
          <showCatName val="0"/>
          <showSerName val="0"/>
          <showPercent val="0"/>
          <showBubbleSize val="0"/>
        </dLbls>
        <gapWidth val="60"/>
        <axId val="10"/>
        <axId val="100"/>
      </barChart>
      <catAx>
        <axId val="10"/>
        <scaling>
          <orientation val="maxMin"/>
        </scaling>
        <delete val="0"/>
        <axPos val="l"/>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0"/>
        <lblOffset val="100"/>
      </catAx>
      <valAx>
        <axId val="100"/>
        <scaling>
          <orientation val="minMax"/>
        </scaling>
        <delete val="0"/>
        <axPos val="l"/>
        <majorGridlines>
          <spPr>
            <a:ln>
              <a:solidFill>
                <a:srgbClr val="D9D9D9"/>
              </a:solidFill>
              <a:prstDash val="solid"/>
            </a:ln>
          </spPr>
        </majorGridlines>
        <numFmt formatCode="#,##0" sourceLinked="0"/>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
        <crosses val="max"/>
      </valAx>
    </plotArea>
    <plotVisOnly val="1"/>
    <dispBlanksAs val="gap"/>
  </chart>
  <spPr>
    <a:solidFill>
      <a:srgbClr val="FFFFFF"/>
    </a:solidFill>
    <a:ln>
      <a:noFill/>
      <a:prstDash val="solid"/>
    </a:ln>
  </spPr>
</chartSpace>
</file>

<file path=xl/charts/chart94.xml><?xml version="1.0" encoding="utf-8"?>
<chartSpace xmlns:a="http://schemas.openxmlformats.org/drawingml/2006/main" xmlns="http://schemas.openxmlformats.org/drawingml/2006/chart">
  <chart>
    <title>
      <tx>
        <rich>
          <a:bodyPr/>
          <a:p>
            <a:pPr>
              <a:defRPr sz="1200" b="1">
                <a:solidFill>
                  <a:srgbClr val="1F3864"/>
                </a:solidFill>
              </a:defRPr>
            </a:pPr>
            <a:r>
              <a:t>Процедури</a:t>
            </a:r>
          </a:p>
        </rich>
      </tx>
      <overlay val="0"/>
    </title>
    <plotArea>
      <pieChart>
        <varyColors val="1"/>
        <ser>
          <idx val="0"/>
          <order val="0"/>
          <tx>
            <strRef>
              <f>'К3 ТОВ «ПОРТАЛ АРЕНА»'!B113</f>
            </strRef>
          </tx>
          <spPr>
            <a:ln>
              <a:prstDash val="solid"/>
            </a:ln>
          </spPr>
          <dPt>
            <idx val="0"/>
            <spPr>
              <a:solidFill>
                <a:srgbClr val="3D7EFF"/>
              </a:solidFill>
              <a:ln>
                <a:prstDash val="solid"/>
              </a:ln>
            </spPr>
          </dPt>
          <dPt>
            <idx val="1"/>
            <spPr>
              <a:solidFill>
                <a:srgbClr val="3ECF8E"/>
              </a:solidFill>
              <a:ln>
                <a:prstDash val="solid"/>
              </a:ln>
            </spPr>
          </dPt>
          <dPt>
            <idx val="2"/>
            <spPr>
              <a:solidFill>
                <a:srgbClr val="F0B429"/>
              </a:solidFill>
              <a:ln>
                <a:prstDash val="solid"/>
              </a:ln>
            </spPr>
          </dPt>
          <cat>
            <numRef>
              <f>'К3 ТОВ «ПОРТАЛ АРЕНА»'!$A$114:$A$116</f>
            </numRef>
          </cat>
          <val>
            <numRef>
              <f>'К3 ТОВ «ПОРТАЛ АРЕНА»'!$B$114:$B$116</f>
            </numRef>
          </val>
        </ser>
        <dLbls>
          <txPr>
            <a:bodyPr vert="horz"/>
            <a:p>
              <a:pPr>
                <a:defRPr sz="900">
                  <a:solidFill>
                    <a:srgbClr val="404040"/>
                  </a:solidFill>
                </a:defRPr>
              </a:pPr>
              <a:endParaRPr sz="900">
                <a:solidFill>
                  <a:srgbClr val="404040"/>
                </a:solidFill>
              </a:endParaRPr>
            </a:p>
          </txPr>
          <dLblPos val="bestFit"/>
          <showLegendKey val="0"/>
          <showVal val="0"/>
          <showCatName val="0"/>
          <showSerName val="0"/>
          <showPercent val="1"/>
          <showBubbleSize val="0"/>
          <showLeaderLines val="1"/>
        </dLbls>
        <firstSliceAng val="0"/>
      </pieChart>
    </plotArea>
    <legend>
      <legendPos val="b"/>
      <overlay val="0"/>
      <txPr>
        <a:bodyPr vert="horz"/>
        <a:p>
          <a:pPr>
            <a:defRPr sz="900">
              <a:solidFill>
                <a:srgbClr val="404040"/>
              </a:solidFill>
            </a:defRPr>
          </a:pPr>
          <a:endParaRPr sz="900">
            <a:solidFill>
              <a:srgbClr val="404040"/>
            </a:solidFill>
          </a:endParaRPr>
        </a:p>
      </txPr>
    </legend>
    <plotVisOnly val="1"/>
    <dispBlanksAs val="gap"/>
  </chart>
  <spPr>
    <a:solidFill>
      <a:srgbClr val="FFFFFF"/>
    </a:solidFill>
    <a:ln>
      <a:noFill/>
      <a:prstDash val="solid"/>
    </a:ln>
  </spPr>
</chartSpace>
</file>

<file path=xl/charts/chart95.xml><?xml version="1.0" encoding="utf-8"?>
<chartSpace xmlns:a="http://schemas.openxmlformats.org/drawingml/2006/main" xmlns="http://schemas.openxmlformats.org/drawingml/2006/chart">
  <chart>
    <title>
      <tx>
        <rich>
          <a:bodyPr/>
          <a:p>
            <a:pPr>
              <a:defRPr sz="1200" b="1">
                <a:solidFill>
                  <a:srgbClr val="1F3864"/>
                </a:solidFill>
              </a:defRPr>
            </a:pPr>
            <a:r>
              <a:t>Динаміка по місяцях</a:t>
            </a:r>
          </a:p>
        </rich>
      </tx>
      <overlay val="0"/>
    </title>
    <plotArea>
      <lineChart>
        <grouping val="standard"/>
        <ser>
          <idx val="0"/>
          <order val="0"/>
          <tx>
            <strRef>
              <f>'К4 ТОВ «ПБГ19»'!B43</f>
            </strRef>
          </tx>
          <spPr>
            <a:ln w="22000">
              <a:solidFill>
                <a:srgbClr val="3D7EFF"/>
              </a:solidFill>
              <a:prstDash val="solid"/>
            </a:ln>
          </spPr>
          <marker>
            <symbol val="circle"/>
            <size val="5"/>
            <spPr>
              <a:solidFill>
                <a:srgbClr val="3D7EFF"/>
              </a:solidFill>
              <a:ln>
                <a:prstDash val="solid"/>
              </a:ln>
            </spPr>
          </marker>
          <cat>
            <numRef>
              <f>'К4 ТОВ «ПБГ19»'!$A$44:$A$47</f>
            </numRef>
          </cat>
          <val>
            <numRef>
              <f>'К4 ТОВ «ПБГ19»'!$B$44:$B$47</f>
            </numRef>
          </val>
          <smooth val="0"/>
        </ser>
        <axId val="10"/>
        <axId val="100"/>
      </lineChart>
      <catAx>
        <axId val="10"/>
        <scaling>
          <orientation val="minMax"/>
        </scaling>
        <delete val="0"/>
        <axPos val="l"/>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0"/>
        <lblOffset val="100"/>
      </catAx>
      <valAx>
        <axId val="100"/>
        <scaling>
          <orientation val="minMax"/>
        </scaling>
        <delete val="0"/>
        <axPos val="l"/>
        <majorGridlines>
          <spPr>
            <a:ln>
              <a:solidFill>
                <a:srgbClr val="D9D9D9"/>
              </a:solidFill>
              <a:prstDash val="solid"/>
            </a:ln>
          </spPr>
        </majorGridlines>
        <numFmt formatCode="#,##0" sourceLinked="0"/>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
      </valAx>
    </plotArea>
    <plotVisOnly val="1"/>
    <dispBlanksAs val="gap"/>
  </chart>
  <spPr>
    <a:solidFill>
      <a:srgbClr val="FFFFFF"/>
    </a:solidFill>
    <a:ln>
      <a:noFill/>
      <a:prstDash val="solid"/>
    </a:ln>
  </spPr>
</chartSpace>
</file>

<file path=xl/charts/chart96.xml><?xml version="1.0" encoding="utf-8"?>
<chartSpace xmlns:a="http://schemas.openxmlformats.org/drawingml/2006/main" xmlns="http://schemas.openxmlformats.org/drawingml/2006/chart">
  <chart>
    <title>
      <tx>
        <rich>
          <a:bodyPr/>
          <a:p>
            <a:pPr>
              <a:defRPr sz="1200" b="1">
                <a:solidFill>
                  <a:srgbClr val="1F3864"/>
                </a:solidFill>
              </a:defRPr>
            </a:pPr>
            <a:r>
              <a:t>Торгові марки у позиціях</a:t>
            </a:r>
          </a:p>
        </rich>
      </tx>
      <overlay val="0"/>
    </title>
    <plotArea>
      <pieChart>
        <varyColors val="1"/>
        <ser>
          <idx val="0"/>
          <order val="0"/>
          <tx>
            <strRef>
              <f>'К4 ТОВ «ПБГ19»'!B63</f>
            </strRef>
          </tx>
          <spPr>
            <a:ln>
              <a:prstDash val="solid"/>
            </a:ln>
          </spPr>
          <dPt>
            <idx val="0"/>
            <spPr>
              <a:solidFill>
                <a:srgbClr val="3D7EFF"/>
              </a:solidFill>
              <a:ln>
                <a:prstDash val="solid"/>
              </a:ln>
            </spPr>
          </dPt>
          <dPt>
            <idx val="1"/>
            <spPr>
              <a:solidFill>
                <a:srgbClr val="3ECF8E"/>
              </a:solidFill>
              <a:ln>
                <a:prstDash val="solid"/>
              </a:ln>
            </spPr>
          </dPt>
          <dPt>
            <idx val="2"/>
            <spPr>
              <a:solidFill>
                <a:srgbClr val="F0B429"/>
              </a:solidFill>
              <a:ln>
                <a:prstDash val="solid"/>
              </a:ln>
            </spPr>
          </dPt>
          <dPt>
            <idx val="3"/>
            <spPr>
              <a:solidFill>
                <a:srgbClr val="A78BFA"/>
              </a:solidFill>
              <a:ln>
                <a:prstDash val="solid"/>
              </a:ln>
            </spPr>
          </dPt>
          <dPt>
            <idx val="4"/>
            <spPr>
              <a:solidFill>
                <a:srgbClr val="22D3EE"/>
              </a:solidFill>
              <a:ln>
                <a:prstDash val="solid"/>
              </a:ln>
            </spPr>
          </dPt>
          <dPt>
            <idx val="5"/>
            <spPr>
              <a:solidFill>
                <a:srgbClr val="FB923C"/>
              </a:solidFill>
              <a:ln>
                <a:prstDash val="solid"/>
              </a:ln>
            </spPr>
          </dPt>
          <dPt>
            <idx val="6"/>
            <spPr>
              <a:solidFill>
                <a:srgbClr val="F472B6"/>
              </a:solidFill>
              <a:ln>
                <a:prstDash val="solid"/>
              </a:ln>
            </spPr>
          </dPt>
          <cat>
            <numRef>
              <f>'К4 ТОВ «ПБГ19»'!$A$64:$A$70</f>
            </numRef>
          </cat>
          <val>
            <numRef>
              <f>'К4 ТОВ «ПБГ19»'!$B$64:$B$70</f>
            </numRef>
          </val>
        </ser>
        <dLbls>
          <txPr>
            <a:bodyPr vert="horz"/>
            <a:p>
              <a:pPr>
                <a:defRPr sz="900">
                  <a:solidFill>
                    <a:srgbClr val="404040"/>
                  </a:solidFill>
                </a:defRPr>
              </a:pPr>
              <a:endParaRPr sz="900">
                <a:solidFill>
                  <a:srgbClr val="404040"/>
                </a:solidFill>
              </a:endParaRPr>
            </a:p>
          </txPr>
          <dLblPos val="bestFit"/>
          <showLegendKey val="0"/>
          <showVal val="0"/>
          <showCatName val="0"/>
          <showSerName val="0"/>
          <showPercent val="1"/>
          <showBubbleSize val="0"/>
          <showLeaderLines val="1"/>
        </dLbls>
        <firstSliceAng val="0"/>
      </pieChart>
    </plotArea>
    <legend>
      <legendPos val="b"/>
      <overlay val="0"/>
      <txPr>
        <a:bodyPr vert="horz"/>
        <a:p>
          <a:pPr>
            <a:defRPr sz="900">
              <a:solidFill>
                <a:srgbClr val="404040"/>
              </a:solidFill>
            </a:defRPr>
          </a:pPr>
          <a:endParaRPr sz="900">
            <a:solidFill>
              <a:srgbClr val="404040"/>
            </a:solidFill>
          </a:endParaRPr>
        </a:p>
      </txPr>
    </legend>
    <plotVisOnly val="1"/>
    <dispBlanksAs val="gap"/>
  </chart>
  <spPr>
    <a:solidFill>
      <a:srgbClr val="FFFFFF"/>
    </a:solidFill>
    <a:ln>
      <a:noFill/>
      <a:prstDash val="solid"/>
    </a:ln>
  </spPr>
</chartSpace>
</file>

<file path=xl/charts/chart97.xml><?xml version="1.0" encoding="utf-8"?>
<chartSpace xmlns:a="http://schemas.openxmlformats.org/drawingml/2006/main" xmlns="http://schemas.openxmlformats.org/drawingml/2006/chart">
  <chart>
    <title>
      <tx>
        <rich>
          <a:bodyPr/>
          <a:p>
            <a:pPr>
              <a:defRPr sz="1200" b="1">
                <a:solidFill>
                  <a:srgbClr val="1F3864"/>
                </a:solidFill>
              </a:defRPr>
            </a:pPr>
            <a:r>
              <a:t>Що саме продає</a:t>
            </a:r>
          </a:p>
        </rich>
      </tx>
      <overlay val="0"/>
    </title>
    <plotArea>
      <barChart>
        <barDir val="bar"/>
        <grouping val="clustered"/>
        <ser>
          <idx val="0"/>
          <order val="0"/>
          <tx>
            <strRef>
              <f>'К4 ТОВ «ПБГ19»'!B83</f>
            </strRef>
          </tx>
          <spPr>
            <a:solidFill>
              <a:srgbClr val="3D7EFF"/>
            </a:solidFill>
            <a:ln>
              <a:noFill/>
              <a:prstDash val="solid"/>
            </a:ln>
          </spPr>
          <cat>
            <numRef>
              <f>'К4 ТОВ «ПБГ19»'!$A$84:$A$89</f>
            </numRef>
          </cat>
          <val>
            <numRef>
              <f>'К4 ТОВ «ПБГ19»'!$B$84:$B$89</f>
            </numRef>
          </val>
        </ser>
        <dLbls>
          <numFmt formatCode="#,##0"/>
          <txPr>
            <a:bodyPr vert="horz"/>
            <a:p>
              <a:pPr>
                <a:defRPr sz="900">
                  <a:solidFill>
                    <a:srgbClr val="404040"/>
                  </a:solidFill>
                </a:defRPr>
              </a:pPr>
              <a:endParaRPr sz="900">
                <a:solidFill>
                  <a:srgbClr val="404040"/>
                </a:solidFill>
              </a:endParaRPr>
            </a:p>
          </txPr>
          <dLblPos val="outEnd"/>
          <showLegendKey val="0"/>
          <showVal val="1"/>
          <showCatName val="0"/>
          <showSerName val="0"/>
          <showPercent val="0"/>
          <showBubbleSize val="0"/>
        </dLbls>
        <gapWidth val="60"/>
        <axId val="10"/>
        <axId val="100"/>
      </barChart>
      <catAx>
        <axId val="10"/>
        <scaling>
          <orientation val="maxMin"/>
        </scaling>
        <delete val="0"/>
        <axPos val="l"/>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0"/>
        <lblOffset val="100"/>
      </catAx>
      <valAx>
        <axId val="100"/>
        <scaling>
          <orientation val="minMax"/>
        </scaling>
        <delete val="0"/>
        <axPos val="l"/>
        <majorGridlines>
          <spPr>
            <a:ln>
              <a:solidFill>
                <a:srgbClr val="D9D9D9"/>
              </a:solidFill>
              <a:prstDash val="solid"/>
            </a:ln>
          </spPr>
        </majorGridlines>
        <numFmt formatCode="#,##0" sourceLinked="0"/>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
        <crosses val="max"/>
      </valAx>
    </plotArea>
    <plotVisOnly val="1"/>
    <dispBlanksAs val="gap"/>
  </chart>
  <spPr>
    <a:solidFill>
      <a:srgbClr val="FFFFFF"/>
    </a:solidFill>
    <a:ln>
      <a:noFill/>
      <a:prstDash val="solid"/>
    </a:ln>
  </spPr>
</chartSpace>
</file>

<file path=xl/charts/chart98.xml><?xml version="1.0" encoding="utf-8"?>
<chartSpace xmlns:a="http://schemas.openxmlformats.org/drawingml/2006/main" xmlns="http://schemas.openxmlformats.org/drawingml/2006/chart">
  <chart>
    <title>
      <tx>
        <rich>
          <a:bodyPr/>
          <a:p>
            <a:pPr>
              <a:defRPr sz="1200" b="1">
                <a:solidFill>
                  <a:srgbClr val="1F3864"/>
                </a:solidFill>
              </a:defRPr>
            </a:pPr>
            <a:r>
              <a:t>Ключові замовники</a:t>
            </a:r>
          </a:p>
        </rich>
      </tx>
      <overlay val="0"/>
    </title>
    <plotArea>
      <barChart>
        <barDir val="bar"/>
        <grouping val="clustered"/>
        <ser>
          <idx val="0"/>
          <order val="0"/>
          <tx>
            <strRef>
              <f>'К4 ТОВ «ПБГ19»'!B99</f>
            </strRef>
          </tx>
          <spPr>
            <a:solidFill>
              <a:srgbClr val="3D7EFF"/>
            </a:solidFill>
            <a:ln>
              <a:noFill/>
              <a:prstDash val="solid"/>
            </a:ln>
          </spPr>
          <cat>
            <numRef>
              <f>'К4 ТОВ «ПБГ19»'!$A$100:$A$104</f>
            </numRef>
          </cat>
          <val>
            <numRef>
              <f>'К4 ТОВ «ПБГ19»'!$B$100:$B$104</f>
            </numRef>
          </val>
        </ser>
        <dLbls>
          <numFmt formatCode="#,##0"/>
          <txPr>
            <a:bodyPr vert="horz"/>
            <a:p>
              <a:pPr>
                <a:defRPr sz="900">
                  <a:solidFill>
                    <a:srgbClr val="404040"/>
                  </a:solidFill>
                </a:defRPr>
              </a:pPr>
              <a:endParaRPr sz="900">
                <a:solidFill>
                  <a:srgbClr val="404040"/>
                </a:solidFill>
              </a:endParaRPr>
            </a:p>
          </txPr>
          <dLblPos val="outEnd"/>
          <showLegendKey val="0"/>
          <showVal val="1"/>
          <showCatName val="0"/>
          <showSerName val="0"/>
          <showPercent val="0"/>
          <showBubbleSize val="0"/>
        </dLbls>
        <gapWidth val="60"/>
        <axId val="10"/>
        <axId val="100"/>
      </barChart>
      <catAx>
        <axId val="10"/>
        <scaling>
          <orientation val="maxMin"/>
        </scaling>
        <delete val="0"/>
        <axPos val="l"/>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0"/>
        <lblOffset val="100"/>
      </catAx>
      <valAx>
        <axId val="100"/>
        <scaling>
          <orientation val="minMax"/>
        </scaling>
        <delete val="0"/>
        <axPos val="l"/>
        <majorGridlines>
          <spPr>
            <a:ln>
              <a:solidFill>
                <a:srgbClr val="D9D9D9"/>
              </a:solidFill>
              <a:prstDash val="solid"/>
            </a:ln>
          </spPr>
        </majorGridlines>
        <numFmt formatCode="#,##0" sourceLinked="0"/>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
        <crosses val="max"/>
      </valAx>
    </plotArea>
    <plotVisOnly val="1"/>
    <dispBlanksAs val="gap"/>
  </chart>
  <spPr>
    <a:solidFill>
      <a:srgbClr val="FFFFFF"/>
    </a:solidFill>
    <a:ln>
      <a:noFill/>
      <a:prstDash val="solid"/>
    </a:ln>
  </spPr>
</chartSpace>
</file>

<file path=xl/charts/chart99.xml><?xml version="1.0" encoding="utf-8"?>
<chartSpace xmlns:a="http://schemas.openxmlformats.org/drawingml/2006/main" xmlns="http://schemas.openxmlformats.org/drawingml/2006/chart">
  <chart>
    <title>
      <tx>
        <rich>
          <a:bodyPr/>
          <a:p>
            <a:pPr>
              <a:defRPr sz="1200" b="1">
                <a:solidFill>
                  <a:srgbClr val="1F3864"/>
                </a:solidFill>
              </a:defRPr>
            </a:pPr>
            <a:r>
              <a:t>Процедури</a:t>
            </a:r>
          </a:p>
        </rich>
      </tx>
      <overlay val="0"/>
    </title>
    <plotArea>
      <pieChart>
        <varyColors val="1"/>
        <ser>
          <idx val="0"/>
          <order val="0"/>
          <tx>
            <strRef>
              <f>'К4 ТОВ «ПБГ19»'!B115</f>
            </strRef>
          </tx>
          <spPr>
            <a:ln>
              <a:prstDash val="solid"/>
            </a:ln>
          </spPr>
          <dPt>
            <idx val="0"/>
            <spPr>
              <a:solidFill>
                <a:srgbClr val="3D7EFF"/>
              </a:solidFill>
              <a:ln>
                <a:prstDash val="solid"/>
              </a:ln>
            </spPr>
          </dPt>
          <dPt>
            <idx val="1"/>
            <spPr>
              <a:solidFill>
                <a:srgbClr val="3ECF8E"/>
              </a:solidFill>
              <a:ln>
                <a:prstDash val="solid"/>
              </a:ln>
            </spPr>
          </dPt>
          <dPt>
            <idx val="2"/>
            <spPr>
              <a:solidFill>
                <a:srgbClr val="F0B429"/>
              </a:solidFill>
              <a:ln>
                <a:prstDash val="solid"/>
              </a:ln>
            </spPr>
          </dPt>
          <dPt>
            <idx val="3"/>
            <spPr>
              <a:solidFill>
                <a:srgbClr val="A78BFA"/>
              </a:solidFill>
              <a:ln>
                <a:prstDash val="solid"/>
              </a:ln>
            </spPr>
          </dPt>
          <cat>
            <numRef>
              <f>'К4 ТОВ «ПБГ19»'!$A$116:$A$119</f>
            </numRef>
          </cat>
          <val>
            <numRef>
              <f>'К4 ТОВ «ПБГ19»'!$B$116:$B$119</f>
            </numRef>
          </val>
        </ser>
        <dLbls>
          <txPr>
            <a:bodyPr vert="horz"/>
            <a:p>
              <a:pPr>
                <a:defRPr sz="900">
                  <a:solidFill>
                    <a:srgbClr val="404040"/>
                  </a:solidFill>
                </a:defRPr>
              </a:pPr>
              <a:endParaRPr sz="900">
                <a:solidFill>
                  <a:srgbClr val="404040"/>
                </a:solidFill>
              </a:endParaRPr>
            </a:p>
          </txPr>
          <dLblPos val="bestFit"/>
          <showLegendKey val="0"/>
          <showVal val="0"/>
          <showCatName val="0"/>
          <showSerName val="0"/>
          <showPercent val="1"/>
          <showBubbleSize val="0"/>
          <showLeaderLines val="1"/>
        </dLbls>
        <firstSliceAng val="0"/>
      </pieChart>
    </plotArea>
    <legend>
      <legendPos val="b"/>
      <overlay val="0"/>
      <txPr>
        <a:bodyPr vert="horz"/>
        <a:p>
          <a:pPr>
            <a:defRPr sz="900">
              <a:solidFill>
                <a:srgbClr val="404040"/>
              </a:solidFill>
            </a:defRPr>
          </a:pPr>
          <a:endParaRPr sz="900">
            <a:solidFill>
              <a:srgbClr val="404040"/>
            </a:solidFill>
          </a:endParaRPr>
        </a:p>
      </txPr>
    </legend>
    <plotVisOnly val="1"/>
    <dispBlanksAs val="gap"/>
  </chart>
  <spPr>
    <a:solidFill>
      <a:srgbClr val="FFFFFF"/>
    </a:solidFill>
    <a:ln>
      <a:noFill/>
      <a:prstDash val="solid"/>
    </a:ln>
  </spPr>
</chartSpace>
</file>

<file path=xl/charts/chart100.xml><?xml version="1.0" encoding="utf-8"?>
<chartSpace xmlns:a="http://schemas.openxmlformats.org/drawingml/2006/main" xmlns="http://schemas.openxmlformats.org/drawingml/2006/chart">
  <chart>
    <title>
      <tx>
        <rich>
          <a:bodyPr/>
          <a:p>
            <a:pPr>
              <a:defRPr sz="1200" b="1">
                <a:solidFill>
                  <a:srgbClr val="1F3864"/>
                </a:solidFill>
              </a:defRPr>
            </a:pPr>
            <a:r>
              <a:t>Що саме продає</a:t>
            </a:r>
          </a:p>
        </rich>
      </tx>
      <overlay val="0"/>
    </title>
    <plotArea>
      <barChart>
        <barDir val="bar"/>
        <grouping val="clustered"/>
        <ser>
          <idx val="0"/>
          <order val="0"/>
          <tx>
            <strRef>
              <f>'К5 ФОП ДАВИДЕНКО ПАВЛО АНДРІЙОВ'!B36</f>
            </strRef>
          </tx>
          <spPr>
            <a:solidFill>
              <a:srgbClr val="3D7EFF"/>
            </a:solidFill>
            <a:ln>
              <a:noFill/>
              <a:prstDash val="solid"/>
            </a:ln>
          </spPr>
          <cat>
            <numRef>
              <f>'К5 ФОП ДАВИДЕНКО ПАВЛО АНДРІЙОВ'!$A$37:$A$38</f>
            </numRef>
          </cat>
          <val>
            <numRef>
              <f>'К5 ФОП ДАВИДЕНКО ПАВЛО АНДРІЙОВ'!$B$37:$B$38</f>
            </numRef>
          </val>
        </ser>
        <dLbls>
          <numFmt formatCode="#,##0"/>
          <txPr>
            <a:bodyPr vert="horz"/>
            <a:p>
              <a:pPr>
                <a:defRPr sz="900">
                  <a:solidFill>
                    <a:srgbClr val="404040"/>
                  </a:solidFill>
                </a:defRPr>
              </a:pPr>
              <a:endParaRPr sz="900">
                <a:solidFill>
                  <a:srgbClr val="404040"/>
                </a:solidFill>
              </a:endParaRPr>
            </a:p>
          </txPr>
          <dLblPos val="outEnd"/>
          <showLegendKey val="0"/>
          <showVal val="1"/>
          <showCatName val="0"/>
          <showSerName val="0"/>
          <showPercent val="0"/>
          <showBubbleSize val="0"/>
        </dLbls>
        <gapWidth val="150"/>
        <axId val="10"/>
        <axId val="100"/>
      </barChart>
      <catAx>
        <axId val="10"/>
        <scaling>
          <orientation val="maxMin"/>
        </scaling>
        <delete val="0"/>
        <axPos val="l"/>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0"/>
        <lblOffset val="100"/>
      </catAx>
      <valAx>
        <axId val="100"/>
        <scaling>
          <orientation val="minMax"/>
        </scaling>
        <delete val="0"/>
        <axPos val="l"/>
        <majorGridlines>
          <spPr>
            <a:ln>
              <a:solidFill>
                <a:srgbClr val="D9D9D9"/>
              </a:solidFill>
              <a:prstDash val="solid"/>
            </a:ln>
          </spPr>
        </majorGridlines>
        <numFmt formatCode="#,##0" sourceLinked="0"/>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
        <crosses val="max"/>
      </valAx>
    </plotArea>
    <plotVisOnly val="1"/>
    <dispBlanksAs val="gap"/>
  </chart>
  <spPr>
    <a:solidFill>
      <a:srgbClr val="FFFFFF"/>
    </a:solidFill>
    <a:ln>
      <a:noFill/>
      <a:prstDash val="solid"/>
    </a:ln>
  </spPr>
</chartSpace>
</file>

<file path=xl/charts/chart101.xml><?xml version="1.0" encoding="utf-8"?>
<chartSpace xmlns:a="http://schemas.openxmlformats.org/drawingml/2006/main" xmlns="http://schemas.openxmlformats.org/drawingml/2006/chart">
  <chart>
    <title>
      <tx>
        <rich>
          <a:bodyPr/>
          <a:p>
            <a:pPr>
              <a:defRPr sz="1200" b="1">
                <a:solidFill>
                  <a:srgbClr val="1F3864"/>
                </a:solidFill>
              </a:defRPr>
            </a:pPr>
            <a:r>
              <a:t>Ключові замовники</a:t>
            </a:r>
          </a:p>
        </rich>
      </tx>
      <overlay val="0"/>
    </title>
    <plotArea>
      <barChart>
        <barDir val="bar"/>
        <grouping val="clustered"/>
        <ser>
          <idx val="0"/>
          <order val="0"/>
          <tx>
            <strRef>
              <f>'К5 ФОП ДАВИДЕНКО ПАВЛО АНДРІЙОВ'!B52</f>
            </strRef>
          </tx>
          <spPr>
            <a:solidFill>
              <a:srgbClr val="3D7EFF"/>
            </a:solidFill>
            <a:ln>
              <a:noFill/>
              <a:prstDash val="solid"/>
            </a:ln>
          </spPr>
          <cat>
            <numRef>
              <f>'К5 ФОП ДАВИДЕНКО ПАВЛО АНДРІЙОВ'!$A$53</f>
            </numRef>
          </cat>
          <val>
            <numRef>
              <f>'К5 ФОП ДАВИДЕНКО ПАВЛО АНДРІЙОВ'!$B$53</f>
            </numRef>
          </val>
        </ser>
        <dLbls>
          <numFmt formatCode="#,##0"/>
          <txPr>
            <a:bodyPr vert="horz"/>
            <a:p>
              <a:pPr>
                <a:defRPr sz="900">
                  <a:solidFill>
                    <a:srgbClr val="404040"/>
                  </a:solidFill>
                </a:defRPr>
              </a:pPr>
              <a:endParaRPr sz="900">
                <a:solidFill>
                  <a:srgbClr val="404040"/>
                </a:solidFill>
              </a:endParaRPr>
            </a:p>
          </txPr>
          <dLblPos val="outEnd"/>
          <showLegendKey val="0"/>
          <showVal val="1"/>
          <showCatName val="0"/>
          <showSerName val="0"/>
          <showPercent val="0"/>
          <showBubbleSize val="0"/>
        </dLbls>
        <gapWidth val="150"/>
        <axId val="10"/>
        <axId val="100"/>
      </barChart>
      <catAx>
        <axId val="10"/>
        <scaling>
          <orientation val="maxMin"/>
        </scaling>
        <delete val="0"/>
        <axPos val="l"/>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0"/>
        <lblOffset val="100"/>
      </catAx>
      <valAx>
        <axId val="100"/>
        <scaling>
          <orientation val="minMax"/>
        </scaling>
        <delete val="0"/>
        <axPos val="l"/>
        <majorGridlines>
          <spPr>
            <a:ln>
              <a:solidFill>
                <a:srgbClr val="D9D9D9"/>
              </a:solidFill>
              <a:prstDash val="solid"/>
            </a:ln>
          </spPr>
        </majorGridlines>
        <numFmt formatCode="#,##0" sourceLinked="0"/>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
        <crosses val="max"/>
      </valAx>
    </plotArea>
    <plotVisOnly val="1"/>
    <dispBlanksAs val="gap"/>
  </chart>
  <spPr>
    <a:solidFill>
      <a:srgbClr val="FFFFFF"/>
    </a:solidFill>
    <a:ln>
      <a:noFill/>
      <a:prstDash val="solid"/>
    </a:ln>
  </spPr>
</chartSpace>
</file>

<file path=xl/charts/chart102.xml><?xml version="1.0" encoding="utf-8"?>
<chartSpace xmlns:a="http://schemas.openxmlformats.org/drawingml/2006/main" xmlns="http://schemas.openxmlformats.org/drawingml/2006/chart">
  <chart>
    <title>
      <tx>
        <rich>
          <a:bodyPr/>
          <a:p>
            <a:pPr>
              <a:defRPr sz="1200" b="1">
                <a:solidFill>
                  <a:srgbClr val="1F3864"/>
                </a:solidFill>
              </a:defRPr>
            </a:pPr>
            <a:r>
              <a:t>Динаміка по місяцях</a:t>
            </a:r>
          </a:p>
        </rich>
      </tx>
      <overlay val="0"/>
    </title>
    <plotArea>
      <lineChart>
        <grouping val="standard"/>
        <ser>
          <idx val="0"/>
          <order val="0"/>
          <tx>
            <strRef>
              <f>'К6 ТОВ «ЮДІТРЕЙД»'!B42</f>
            </strRef>
          </tx>
          <spPr>
            <a:ln w="22000">
              <a:solidFill>
                <a:srgbClr val="3D7EFF"/>
              </a:solidFill>
              <a:prstDash val="solid"/>
            </a:ln>
          </spPr>
          <marker>
            <symbol val="circle"/>
            <size val="5"/>
            <spPr>
              <a:solidFill>
                <a:srgbClr val="3D7EFF"/>
              </a:solidFill>
              <a:ln>
                <a:prstDash val="solid"/>
              </a:ln>
            </spPr>
          </marker>
          <cat>
            <numRef>
              <f>'К6 ТОВ «ЮДІТРЕЙД»'!$A$43:$A$49</f>
            </numRef>
          </cat>
          <val>
            <numRef>
              <f>'К6 ТОВ «ЮДІТРЕЙД»'!$B$43:$B$49</f>
            </numRef>
          </val>
          <smooth val="0"/>
        </ser>
        <axId val="10"/>
        <axId val="100"/>
      </lineChart>
      <catAx>
        <axId val="10"/>
        <scaling>
          <orientation val="minMax"/>
        </scaling>
        <delete val="0"/>
        <axPos val="l"/>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0"/>
        <lblOffset val="100"/>
      </catAx>
      <valAx>
        <axId val="100"/>
        <scaling>
          <orientation val="minMax"/>
        </scaling>
        <delete val="0"/>
        <axPos val="l"/>
        <majorGridlines>
          <spPr>
            <a:ln>
              <a:solidFill>
                <a:srgbClr val="D9D9D9"/>
              </a:solidFill>
              <a:prstDash val="solid"/>
            </a:ln>
          </spPr>
        </majorGridlines>
        <numFmt formatCode="#,##0" sourceLinked="0"/>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
      </valAx>
    </plotArea>
    <plotVisOnly val="1"/>
    <dispBlanksAs val="gap"/>
  </chart>
  <spPr>
    <a:solidFill>
      <a:srgbClr val="FFFFFF"/>
    </a:solidFill>
    <a:ln>
      <a:noFill/>
      <a:prstDash val="solid"/>
    </a:ln>
  </spPr>
</chartSpace>
</file>

<file path=xl/charts/chart103.xml><?xml version="1.0" encoding="utf-8"?>
<chartSpace xmlns:a="http://schemas.openxmlformats.org/drawingml/2006/main" xmlns="http://schemas.openxmlformats.org/drawingml/2006/chart">
  <chart>
    <title>
      <tx>
        <rich>
          <a:bodyPr/>
          <a:p>
            <a:pPr>
              <a:defRPr sz="1200" b="1">
                <a:solidFill>
                  <a:srgbClr val="1F3864"/>
                </a:solidFill>
              </a:defRPr>
            </a:pPr>
            <a:r>
              <a:t>Торгові марки у позиціях</a:t>
            </a:r>
          </a:p>
        </rich>
      </tx>
      <overlay val="0"/>
    </title>
    <plotArea>
      <pieChart>
        <varyColors val="1"/>
        <ser>
          <idx val="0"/>
          <order val="0"/>
          <tx>
            <strRef>
              <f>'К6 ТОВ «ЮДІТРЕЙД»'!B62</f>
            </strRef>
          </tx>
          <spPr>
            <a:ln>
              <a:prstDash val="solid"/>
            </a:ln>
          </spPr>
          <dPt>
            <idx val="0"/>
            <spPr>
              <a:solidFill>
                <a:srgbClr val="3D7EFF"/>
              </a:solidFill>
              <a:ln>
                <a:prstDash val="solid"/>
              </a:ln>
            </spPr>
          </dPt>
          <dPt>
            <idx val="1"/>
            <spPr>
              <a:solidFill>
                <a:srgbClr val="3ECF8E"/>
              </a:solidFill>
              <a:ln>
                <a:prstDash val="solid"/>
              </a:ln>
            </spPr>
          </dPt>
          <dPt>
            <idx val="2"/>
            <spPr>
              <a:solidFill>
                <a:srgbClr val="F0B429"/>
              </a:solidFill>
              <a:ln>
                <a:prstDash val="solid"/>
              </a:ln>
            </spPr>
          </dPt>
          <dPt>
            <idx val="3"/>
            <spPr>
              <a:solidFill>
                <a:srgbClr val="A78BFA"/>
              </a:solidFill>
              <a:ln>
                <a:prstDash val="solid"/>
              </a:ln>
            </spPr>
          </dPt>
          <dPt>
            <idx val="4"/>
            <spPr>
              <a:solidFill>
                <a:srgbClr val="22D3EE"/>
              </a:solidFill>
              <a:ln>
                <a:prstDash val="solid"/>
              </a:ln>
            </spPr>
          </dPt>
          <dPt>
            <idx val="5"/>
            <spPr>
              <a:solidFill>
                <a:srgbClr val="FB923C"/>
              </a:solidFill>
              <a:ln>
                <a:prstDash val="solid"/>
              </a:ln>
            </spPr>
          </dPt>
          <dPt>
            <idx val="6"/>
            <spPr>
              <a:solidFill>
                <a:srgbClr val="F472B6"/>
              </a:solidFill>
              <a:ln>
                <a:prstDash val="solid"/>
              </a:ln>
            </spPr>
          </dPt>
          <dPt>
            <idx val="7"/>
            <spPr>
              <a:solidFill>
                <a:srgbClr val="84CC16"/>
              </a:solidFill>
              <a:ln>
                <a:prstDash val="solid"/>
              </a:ln>
            </spPr>
          </dPt>
          <cat>
            <numRef>
              <f>'К6 ТОВ «ЮДІТРЕЙД»'!$A$63:$A$70</f>
            </numRef>
          </cat>
          <val>
            <numRef>
              <f>'К6 ТОВ «ЮДІТРЕЙД»'!$B$63:$B$70</f>
            </numRef>
          </val>
        </ser>
        <dLbls>
          <txPr>
            <a:bodyPr vert="horz"/>
            <a:p>
              <a:pPr>
                <a:defRPr sz="900">
                  <a:solidFill>
                    <a:srgbClr val="404040"/>
                  </a:solidFill>
                </a:defRPr>
              </a:pPr>
              <a:endParaRPr sz="900">
                <a:solidFill>
                  <a:srgbClr val="404040"/>
                </a:solidFill>
              </a:endParaRPr>
            </a:p>
          </txPr>
          <dLblPos val="bestFit"/>
          <showLegendKey val="0"/>
          <showVal val="0"/>
          <showCatName val="0"/>
          <showSerName val="0"/>
          <showPercent val="1"/>
          <showBubbleSize val="0"/>
          <showLeaderLines val="1"/>
        </dLbls>
        <firstSliceAng val="0"/>
      </pieChart>
    </plotArea>
    <legend>
      <legendPos val="b"/>
      <overlay val="0"/>
      <txPr>
        <a:bodyPr vert="horz"/>
        <a:p>
          <a:pPr>
            <a:defRPr sz="900">
              <a:solidFill>
                <a:srgbClr val="404040"/>
              </a:solidFill>
            </a:defRPr>
          </a:pPr>
          <a:endParaRPr sz="900">
            <a:solidFill>
              <a:srgbClr val="404040"/>
            </a:solidFill>
          </a:endParaRPr>
        </a:p>
      </txPr>
    </legend>
    <plotVisOnly val="1"/>
    <dispBlanksAs val="gap"/>
  </chart>
  <spPr>
    <a:solidFill>
      <a:srgbClr val="FFFFFF"/>
    </a:solidFill>
    <a:ln>
      <a:noFill/>
      <a:prstDash val="solid"/>
    </a:ln>
  </spPr>
</chartSpace>
</file>

<file path=xl/charts/chart104.xml><?xml version="1.0" encoding="utf-8"?>
<chartSpace xmlns:a="http://schemas.openxmlformats.org/drawingml/2006/main" xmlns="http://schemas.openxmlformats.org/drawingml/2006/chart">
  <chart>
    <title>
      <tx>
        <rich>
          <a:bodyPr/>
          <a:p>
            <a:pPr>
              <a:defRPr sz="1200" b="1">
                <a:solidFill>
                  <a:srgbClr val="1F3864"/>
                </a:solidFill>
              </a:defRPr>
            </a:pPr>
            <a:r>
              <a:t>Що саме продає</a:t>
            </a:r>
          </a:p>
        </rich>
      </tx>
      <overlay val="0"/>
    </title>
    <plotArea>
      <barChart>
        <barDir val="bar"/>
        <grouping val="clustered"/>
        <ser>
          <idx val="0"/>
          <order val="0"/>
          <tx>
            <strRef>
              <f>'К6 ТОВ «ЮДІТРЕЙД»'!B82</f>
            </strRef>
          </tx>
          <spPr>
            <a:solidFill>
              <a:srgbClr val="3D7EFF"/>
            </a:solidFill>
            <a:ln>
              <a:noFill/>
              <a:prstDash val="solid"/>
            </a:ln>
          </spPr>
          <cat>
            <numRef>
              <f>'К6 ТОВ «ЮДІТРЕЙД»'!$A$83:$A$92</f>
            </numRef>
          </cat>
          <val>
            <numRef>
              <f>'К6 ТОВ «ЮДІТРЕЙД»'!$B$83:$B$92</f>
            </numRef>
          </val>
        </ser>
        <dLbls>
          <numFmt formatCode="#,##0"/>
          <txPr>
            <a:bodyPr vert="horz"/>
            <a:p>
              <a:pPr>
                <a:defRPr sz="900">
                  <a:solidFill>
                    <a:srgbClr val="404040"/>
                  </a:solidFill>
                </a:defRPr>
              </a:pPr>
              <a:endParaRPr sz="900">
                <a:solidFill>
                  <a:srgbClr val="404040"/>
                </a:solidFill>
              </a:endParaRPr>
            </a:p>
          </txPr>
          <dLblPos val="outEnd"/>
          <showLegendKey val="0"/>
          <showVal val="1"/>
          <showCatName val="0"/>
          <showSerName val="0"/>
          <showPercent val="0"/>
          <showBubbleSize val="0"/>
        </dLbls>
        <gapWidth val="60"/>
        <axId val="10"/>
        <axId val="100"/>
      </barChart>
      <catAx>
        <axId val="10"/>
        <scaling>
          <orientation val="maxMin"/>
        </scaling>
        <delete val="0"/>
        <axPos val="l"/>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0"/>
        <lblOffset val="100"/>
      </catAx>
      <valAx>
        <axId val="100"/>
        <scaling>
          <orientation val="minMax"/>
        </scaling>
        <delete val="0"/>
        <axPos val="l"/>
        <majorGridlines>
          <spPr>
            <a:ln>
              <a:solidFill>
                <a:srgbClr val="D9D9D9"/>
              </a:solidFill>
              <a:prstDash val="solid"/>
            </a:ln>
          </spPr>
        </majorGridlines>
        <numFmt formatCode="#,##0" sourceLinked="0"/>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
        <crosses val="max"/>
      </valAx>
    </plotArea>
    <plotVisOnly val="1"/>
    <dispBlanksAs val="gap"/>
  </chart>
  <spPr>
    <a:solidFill>
      <a:srgbClr val="FFFFFF"/>
    </a:solidFill>
    <a:ln>
      <a:noFill/>
      <a:prstDash val="solid"/>
    </a:ln>
  </spPr>
</chartSpace>
</file>

<file path=xl/charts/chart105.xml><?xml version="1.0" encoding="utf-8"?>
<chartSpace xmlns:a="http://schemas.openxmlformats.org/drawingml/2006/main" xmlns="http://schemas.openxmlformats.org/drawingml/2006/chart">
  <chart>
    <title>
      <tx>
        <rich>
          <a:bodyPr/>
          <a:p>
            <a:pPr>
              <a:defRPr sz="1200" b="1">
                <a:solidFill>
                  <a:srgbClr val="1F3864"/>
                </a:solidFill>
              </a:defRPr>
            </a:pPr>
            <a:r>
              <a:t>Ключові замовники</a:t>
            </a:r>
          </a:p>
        </rich>
      </tx>
      <overlay val="0"/>
    </title>
    <plotArea>
      <barChart>
        <barDir val="bar"/>
        <grouping val="clustered"/>
        <ser>
          <idx val="0"/>
          <order val="0"/>
          <tx>
            <strRef>
              <f>'К6 ТОВ «ЮДІТРЕЙД»'!B100</f>
            </strRef>
          </tx>
          <spPr>
            <a:solidFill>
              <a:srgbClr val="3D7EFF"/>
            </a:solidFill>
            <a:ln>
              <a:noFill/>
              <a:prstDash val="solid"/>
            </a:ln>
          </spPr>
          <cat>
            <numRef>
              <f>'К6 ТОВ «ЮДІТРЕЙД»'!$A$101:$A$110</f>
            </numRef>
          </cat>
          <val>
            <numRef>
              <f>'К6 ТОВ «ЮДІТРЕЙД»'!$B$101:$B$110</f>
            </numRef>
          </val>
        </ser>
        <dLbls>
          <numFmt formatCode="#,##0"/>
          <txPr>
            <a:bodyPr vert="horz"/>
            <a:p>
              <a:pPr>
                <a:defRPr sz="900">
                  <a:solidFill>
                    <a:srgbClr val="404040"/>
                  </a:solidFill>
                </a:defRPr>
              </a:pPr>
              <a:endParaRPr sz="900">
                <a:solidFill>
                  <a:srgbClr val="404040"/>
                </a:solidFill>
              </a:endParaRPr>
            </a:p>
          </txPr>
          <dLblPos val="outEnd"/>
          <showLegendKey val="0"/>
          <showVal val="1"/>
          <showCatName val="0"/>
          <showSerName val="0"/>
          <showPercent val="0"/>
          <showBubbleSize val="0"/>
        </dLbls>
        <gapWidth val="60"/>
        <axId val="10"/>
        <axId val="100"/>
      </barChart>
      <catAx>
        <axId val="10"/>
        <scaling>
          <orientation val="maxMin"/>
        </scaling>
        <delete val="0"/>
        <axPos val="l"/>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0"/>
        <lblOffset val="100"/>
      </catAx>
      <valAx>
        <axId val="100"/>
        <scaling>
          <orientation val="minMax"/>
        </scaling>
        <delete val="0"/>
        <axPos val="l"/>
        <majorGridlines>
          <spPr>
            <a:ln>
              <a:solidFill>
                <a:srgbClr val="D9D9D9"/>
              </a:solidFill>
              <a:prstDash val="solid"/>
            </a:ln>
          </spPr>
        </majorGridlines>
        <numFmt formatCode="#,##0" sourceLinked="0"/>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
        <crosses val="max"/>
      </valAx>
    </plotArea>
    <plotVisOnly val="1"/>
    <dispBlanksAs val="gap"/>
  </chart>
  <spPr>
    <a:solidFill>
      <a:srgbClr val="FFFFFF"/>
    </a:solidFill>
    <a:ln>
      <a:noFill/>
      <a:prstDash val="solid"/>
    </a:ln>
  </spPr>
</chartSpace>
</file>

<file path=xl/charts/chart106.xml><?xml version="1.0" encoding="utf-8"?>
<chartSpace xmlns:a="http://schemas.openxmlformats.org/drawingml/2006/main" xmlns="http://schemas.openxmlformats.org/drawingml/2006/chart">
  <chart>
    <title>
      <tx>
        <rich>
          <a:bodyPr/>
          <a:p>
            <a:pPr>
              <a:defRPr sz="1200" b="1">
                <a:solidFill>
                  <a:srgbClr val="1F3864"/>
                </a:solidFill>
              </a:defRPr>
            </a:pPr>
            <a:r>
              <a:t>Процедури</a:t>
            </a:r>
          </a:p>
        </rich>
      </tx>
      <overlay val="0"/>
    </title>
    <plotArea>
      <pieChart>
        <varyColors val="1"/>
        <ser>
          <idx val="0"/>
          <order val="0"/>
          <tx>
            <strRef>
              <f>'К6 ТОВ «ЮДІТРЕЙД»'!B118</f>
            </strRef>
          </tx>
          <spPr>
            <a:ln>
              <a:prstDash val="solid"/>
            </a:ln>
          </spPr>
          <dPt>
            <idx val="0"/>
            <spPr>
              <a:solidFill>
                <a:srgbClr val="3D7EFF"/>
              </a:solidFill>
              <a:ln>
                <a:prstDash val="solid"/>
              </a:ln>
            </spPr>
          </dPt>
          <dPt>
            <idx val="1"/>
            <spPr>
              <a:solidFill>
                <a:srgbClr val="3ECF8E"/>
              </a:solidFill>
              <a:ln>
                <a:prstDash val="solid"/>
              </a:ln>
            </spPr>
          </dPt>
          <dPt>
            <idx val="2"/>
            <spPr>
              <a:solidFill>
                <a:srgbClr val="F0B429"/>
              </a:solidFill>
              <a:ln>
                <a:prstDash val="solid"/>
              </a:ln>
            </spPr>
          </dPt>
          <cat>
            <numRef>
              <f>'К6 ТОВ «ЮДІТРЕЙД»'!$A$119:$A$121</f>
            </numRef>
          </cat>
          <val>
            <numRef>
              <f>'К6 ТОВ «ЮДІТРЕЙД»'!$B$119:$B$121</f>
            </numRef>
          </val>
        </ser>
        <dLbls>
          <txPr>
            <a:bodyPr vert="horz"/>
            <a:p>
              <a:pPr>
                <a:defRPr sz="900">
                  <a:solidFill>
                    <a:srgbClr val="404040"/>
                  </a:solidFill>
                </a:defRPr>
              </a:pPr>
              <a:endParaRPr sz="900">
                <a:solidFill>
                  <a:srgbClr val="404040"/>
                </a:solidFill>
              </a:endParaRPr>
            </a:p>
          </txPr>
          <dLblPos val="bestFit"/>
          <showLegendKey val="0"/>
          <showVal val="0"/>
          <showCatName val="0"/>
          <showSerName val="0"/>
          <showPercent val="1"/>
          <showBubbleSize val="0"/>
          <showLeaderLines val="1"/>
        </dLbls>
        <firstSliceAng val="0"/>
      </pieChart>
    </plotArea>
    <legend>
      <legendPos val="b"/>
      <overlay val="0"/>
      <txPr>
        <a:bodyPr vert="horz"/>
        <a:p>
          <a:pPr>
            <a:defRPr sz="900">
              <a:solidFill>
                <a:srgbClr val="404040"/>
              </a:solidFill>
            </a:defRPr>
          </a:pPr>
          <a:endParaRPr sz="900">
            <a:solidFill>
              <a:srgbClr val="404040"/>
            </a:solidFill>
          </a:endParaRPr>
        </a:p>
      </txPr>
    </legend>
    <plotVisOnly val="1"/>
    <dispBlanksAs val="gap"/>
  </chart>
  <spPr>
    <a:solidFill>
      <a:srgbClr val="FFFFFF"/>
    </a:solidFill>
    <a:ln>
      <a:noFill/>
      <a:prstDash val="solid"/>
    </a:ln>
  </spPr>
</chartSpace>
</file>

<file path=xl/charts/chart107.xml><?xml version="1.0" encoding="utf-8"?>
<chartSpace xmlns:a="http://schemas.openxmlformats.org/drawingml/2006/main" xmlns="http://schemas.openxmlformats.org/drawingml/2006/chart">
  <chart>
    <title>
      <tx>
        <rich>
          <a:bodyPr/>
          <a:p>
            <a:pPr>
              <a:defRPr sz="1200" b="1">
                <a:solidFill>
                  <a:srgbClr val="1F3864"/>
                </a:solidFill>
              </a:defRPr>
            </a:pPr>
            <a:r>
              <a:t>Динаміка по місяцях</a:t>
            </a:r>
          </a:p>
        </rich>
      </tx>
      <overlay val="0"/>
    </title>
    <plotArea>
      <lineChart>
        <grouping val="standard"/>
        <ser>
          <idx val="0"/>
          <order val="0"/>
          <tx>
            <strRef>
              <f>'К7 ТОВ "ТІНОС-Д"'!B43</f>
            </strRef>
          </tx>
          <spPr>
            <a:ln w="22000">
              <a:solidFill>
                <a:srgbClr val="3D7EFF"/>
              </a:solidFill>
              <a:prstDash val="solid"/>
            </a:ln>
          </spPr>
          <marker>
            <symbol val="circle"/>
            <size val="5"/>
            <spPr>
              <a:solidFill>
                <a:srgbClr val="3D7EFF"/>
              </a:solidFill>
              <a:ln>
                <a:prstDash val="solid"/>
              </a:ln>
            </spPr>
          </marker>
          <cat>
            <numRef>
              <f>'К7 ТОВ "ТІНОС-Д"'!$A$44:$A$48</f>
            </numRef>
          </cat>
          <val>
            <numRef>
              <f>'К7 ТОВ "ТІНОС-Д"'!$B$44:$B$48</f>
            </numRef>
          </val>
          <smooth val="0"/>
        </ser>
        <axId val="10"/>
        <axId val="100"/>
      </lineChart>
      <catAx>
        <axId val="10"/>
        <scaling>
          <orientation val="minMax"/>
        </scaling>
        <delete val="0"/>
        <axPos val="l"/>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0"/>
        <lblOffset val="100"/>
      </catAx>
      <valAx>
        <axId val="100"/>
        <scaling>
          <orientation val="minMax"/>
        </scaling>
        <delete val="0"/>
        <axPos val="l"/>
        <majorGridlines>
          <spPr>
            <a:ln>
              <a:solidFill>
                <a:srgbClr val="D9D9D9"/>
              </a:solidFill>
              <a:prstDash val="solid"/>
            </a:ln>
          </spPr>
        </majorGridlines>
        <numFmt formatCode="#,##0" sourceLinked="0"/>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
      </valAx>
    </plotArea>
    <plotVisOnly val="1"/>
    <dispBlanksAs val="gap"/>
  </chart>
  <spPr>
    <a:solidFill>
      <a:srgbClr val="FFFFFF"/>
    </a:solidFill>
    <a:ln>
      <a:noFill/>
      <a:prstDash val="solid"/>
    </a:ln>
  </spPr>
</chartSpace>
</file>

<file path=xl/charts/chart108.xml><?xml version="1.0" encoding="utf-8"?>
<chartSpace xmlns:a="http://schemas.openxmlformats.org/drawingml/2006/main" xmlns="http://schemas.openxmlformats.org/drawingml/2006/chart">
  <chart>
    <title>
      <tx>
        <rich>
          <a:bodyPr/>
          <a:p>
            <a:pPr>
              <a:defRPr sz="1200" b="1">
                <a:solidFill>
                  <a:srgbClr val="1F3864"/>
                </a:solidFill>
              </a:defRPr>
            </a:pPr>
            <a:r>
              <a:t>Торгові марки у позиціях</a:t>
            </a:r>
          </a:p>
        </rich>
      </tx>
      <overlay val="0"/>
    </title>
    <plotArea>
      <pieChart>
        <varyColors val="1"/>
        <ser>
          <idx val="0"/>
          <order val="0"/>
          <tx>
            <strRef>
              <f>'К7 ТОВ "ТІНОС-Д"'!B63</f>
            </strRef>
          </tx>
          <spPr>
            <a:ln>
              <a:prstDash val="solid"/>
            </a:ln>
          </spPr>
          <dPt>
            <idx val="0"/>
            <spPr>
              <a:solidFill>
                <a:srgbClr val="3D7EFF"/>
              </a:solidFill>
              <a:ln>
                <a:prstDash val="solid"/>
              </a:ln>
            </spPr>
          </dPt>
          <dPt>
            <idx val="1"/>
            <spPr>
              <a:solidFill>
                <a:srgbClr val="3ECF8E"/>
              </a:solidFill>
              <a:ln>
                <a:prstDash val="solid"/>
              </a:ln>
            </spPr>
          </dPt>
          <dPt>
            <idx val="2"/>
            <spPr>
              <a:solidFill>
                <a:srgbClr val="F0B429"/>
              </a:solidFill>
              <a:ln>
                <a:prstDash val="solid"/>
              </a:ln>
            </spPr>
          </dPt>
          <dPt>
            <idx val="3"/>
            <spPr>
              <a:solidFill>
                <a:srgbClr val="A78BFA"/>
              </a:solidFill>
              <a:ln>
                <a:prstDash val="solid"/>
              </a:ln>
            </spPr>
          </dPt>
          <dPt>
            <idx val="4"/>
            <spPr>
              <a:solidFill>
                <a:srgbClr val="22D3EE"/>
              </a:solidFill>
              <a:ln>
                <a:prstDash val="solid"/>
              </a:ln>
            </spPr>
          </dPt>
          <dPt>
            <idx val="5"/>
            <spPr>
              <a:solidFill>
                <a:srgbClr val="FB923C"/>
              </a:solidFill>
              <a:ln>
                <a:prstDash val="solid"/>
              </a:ln>
            </spPr>
          </dPt>
          <cat>
            <numRef>
              <f>'К7 ТОВ "ТІНОС-Д"'!$A$64:$A$69</f>
            </numRef>
          </cat>
          <val>
            <numRef>
              <f>'К7 ТОВ "ТІНОС-Д"'!$B$64:$B$69</f>
            </numRef>
          </val>
        </ser>
        <dLbls>
          <txPr>
            <a:bodyPr vert="horz"/>
            <a:p>
              <a:pPr>
                <a:defRPr sz="900">
                  <a:solidFill>
                    <a:srgbClr val="404040"/>
                  </a:solidFill>
                </a:defRPr>
              </a:pPr>
              <a:endParaRPr sz="900">
                <a:solidFill>
                  <a:srgbClr val="404040"/>
                </a:solidFill>
              </a:endParaRPr>
            </a:p>
          </txPr>
          <dLblPos val="bestFit"/>
          <showLegendKey val="0"/>
          <showVal val="0"/>
          <showCatName val="0"/>
          <showSerName val="0"/>
          <showPercent val="1"/>
          <showBubbleSize val="0"/>
          <showLeaderLines val="1"/>
        </dLbls>
        <firstSliceAng val="0"/>
      </pieChart>
    </plotArea>
    <legend>
      <legendPos val="b"/>
      <overlay val="0"/>
      <txPr>
        <a:bodyPr vert="horz"/>
        <a:p>
          <a:pPr>
            <a:defRPr sz="900">
              <a:solidFill>
                <a:srgbClr val="404040"/>
              </a:solidFill>
            </a:defRPr>
          </a:pPr>
          <a:endParaRPr sz="900">
            <a:solidFill>
              <a:srgbClr val="404040"/>
            </a:solidFill>
          </a:endParaRPr>
        </a:p>
      </txPr>
    </legend>
    <plotVisOnly val="1"/>
    <dispBlanksAs val="gap"/>
  </chart>
  <spPr>
    <a:solidFill>
      <a:srgbClr val="FFFFFF"/>
    </a:solidFill>
    <a:ln>
      <a:noFill/>
      <a:prstDash val="solid"/>
    </a:ln>
  </spPr>
</chartSpace>
</file>

<file path=xl/charts/chart109.xml><?xml version="1.0" encoding="utf-8"?>
<chartSpace xmlns:a="http://schemas.openxmlformats.org/drawingml/2006/main" xmlns="http://schemas.openxmlformats.org/drawingml/2006/chart">
  <chart>
    <title>
      <tx>
        <rich>
          <a:bodyPr/>
          <a:p>
            <a:pPr>
              <a:defRPr sz="1200" b="1">
                <a:solidFill>
                  <a:srgbClr val="1F3864"/>
                </a:solidFill>
              </a:defRPr>
            </a:pPr>
            <a:r>
              <a:t>Що саме продає</a:t>
            </a:r>
          </a:p>
        </rich>
      </tx>
      <overlay val="0"/>
    </title>
    <plotArea>
      <barChart>
        <barDir val="bar"/>
        <grouping val="clustered"/>
        <ser>
          <idx val="0"/>
          <order val="0"/>
          <tx>
            <strRef>
              <f>'К7 ТОВ "ТІНОС-Д"'!B83</f>
            </strRef>
          </tx>
          <spPr>
            <a:solidFill>
              <a:srgbClr val="3D7EFF"/>
            </a:solidFill>
            <a:ln>
              <a:noFill/>
              <a:prstDash val="solid"/>
            </a:ln>
          </spPr>
          <cat>
            <numRef>
              <f>'К7 ТОВ "ТІНОС-Д"'!$A$84:$A$88</f>
            </numRef>
          </cat>
          <val>
            <numRef>
              <f>'К7 ТОВ "ТІНОС-Д"'!$B$84:$B$88</f>
            </numRef>
          </val>
        </ser>
        <dLbls>
          <numFmt formatCode="#,##0"/>
          <txPr>
            <a:bodyPr vert="horz"/>
            <a:p>
              <a:pPr>
                <a:defRPr sz="900">
                  <a:solidFill>
                    <a:srgbClr val="404040"/>
                  </a:solidFill>
                </a:defRPr>
              </a:pPr>
              <a:endParaRPr sz="900">
                <a:solidFill>
                  <a:srgbClr val="404040"/>
                </a:solidFill>
              </a:endParaRPr>
            </a:p>
          </txPr>
          <dLblPos val="outEnd"/>
          <showLegendKey val="0"/>
          <showVal val="1"/>
          <showCatName val="0"/>
          <showSerName val="0"/>
          <showPercent val="0"/>
          <showBubbleSize val="0"/>
        </dLbls>
        <gapWidth val="60"/>
        <axId val="10"/>
        <axId val="100"/>
      </barChart>
      <catAx>
        <axId val="10"/>
        <scaling>
          <orientation val="maxMin"/>
        </scaling>
        <delete val="0"/>
        <axPos val="l"/>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0"/>
        <lblOffset val="100"/>
      </catAx>
      <valAx>
        <axId val="100"/>
        <scaling>
          <orientation val="minMax"/>
        </scaling>
        <delete val="0"/>
        <axPos val="l"/>
        <majorGridlines>
          <spPr>
            <a:ln>
              <a:solidFill>
                <a:srgbClr val="D9D9D9"/>
              </a:solidFill>
              <a:prstDash val="solid"/>
            </a:ln>
          </spPr>
        </majorGridlines>
        <numFmt formatCode="#,##0" sourceLinked="0"/>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
        <crosses val="max"/>
      </valAx>
    </plotArea>
    <plotVisOnly val="1"/>
    <dispBlanksAs val="gap"/>
  </chart>
  <spPr>
    <a:solidFill>
      <a:srgbClr val="FFFFFF"/>
    </a:solidFill>
    <a:ln>
      <a:noFill/>
      <a:prstDash val="solid"/>
    </a:ln>
  </spPr>
</chartSpace>
</file>

<file path=xl/charts/chart110.xml><?xml version="1.0" encoding="utf-8"?>
<chartSpace xmlns:a="http://schemas.openxmlformats.org/drawingml/2006/main" xmlns="http://schemas.openxmlformats.org/drawingml/2006/chart">
  <chart>
    <title>
      <tx>
        <rich>
          <a:bodyPr/>
          <a:p>
            <a:pPr>
              <a:defRPr sz="1200" b="1">
                <a:solidFill>
                  <a:srgbClr val="1F3864"/>
                </a:solidFill>
              </a:defRPr>
            </a:pPr>
            <a:r>
              <a:t>Ключові замовники</a:t>
            </a:r>
          </a:p>
        </rich>
      </tx>
      <overlay val="0"/>
    </title>
    <plotArea>
      <barChart>
        <barDir val="bar"/>
        <grouping val="clustered"/>
        <ser>
          <idx val="0"/>
          <order val="0"/>
          <tx>
            <strRef>
              <f>'К7 ТОВ "ТІНОС-Д"'!B99</f>
            </strRef>
          </tx>
          <spPr>
            <a:solidFill>
              <a:srgbClr val="3D7EFF"/>
            </a:solidFill>
            <a:ln>
              <a:noFill/>
              <a:prstDash val="solid"/>
            </a:ln>
          </spPr>
          <cat>
            <numRef>
              <f>'К7 ТОВ "ТІНОС-Д"'!$A$100:$A$106</f>
            </numRef>
          </cat>
          <val>
            <numRef>
              <f>'К7 ТОВ "ТІНОС-Д"'!$B$100:$B$106</f>
            </numRef>
          </val>
        </ser>
        <dLbls>
          <numFmt formatCode="#,##0"/>
          <txPr>
            <a:bodyPr vert="horz"/>
            <a:p>
              <a:pPr>
                <a:defRPr sz="900">
                  <a:solidFill>
                    <a:srgbClr val="404040"/>
                  </a:solidFill>
                </a:defRPr>
              </a:pPr>
              <a:endParaRPr sz="900">
                <a:solidFill>
                  <a:srgbClr val="404040"/>
                </a:solidFill>
              </a:endParaRPr>
            </a:p>
          </txPr>
          <dLblPos val="outEnd"/>
          <showLegendKey val="0"/>
          <showVal val="1"/>
          <showCatName val="0"/>
          <showSerName val="0"/>
          <showPercent val="0"/>
          <showBubbleSize val="0"/>
        </dLbls>
        <gapWidth val="60"/>
        <axId val="10"/>
        <axId val="100"/>
      </barChart>
      <catAx>
        <axId val="10"/>
        <scaling>
          <orientation val="maxMin"/>
        </scaling>
        <delete val="0"/>
        <axPos val="l"/>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0"/>
        <lblOffset val="100"/>
      </catAx>
      <valAx>
        <axId val="100"/>
        <scaling>
          <orientation val="minMax"/>
        </scaling>
        <delete val="0"/>
        <axPos val="l"/>
        <majorGridlines>
          <spPr>
            <a:ln>
              <a:solidFill>
                <a:srgbClr val="D9D9D9"/>
              </a:solidFill>
              <a:prstDash val="solid"/>
            </a:ln>
          </spPr>
        </majorGridlines>
        <numFmt formatCode="#,##0" sourceLinked="0"/>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
        <crosses val="max"/>
      </valAx>
    </plotArea>
    <plotVisOnly val="1"/>
    <dispBlanksAs val="gap"/>
  </chart>
  <spPr>
    <a:solidFill>
      <a:srgbClr val="FFFFFF"/>
    </a:solidFill>
    <a:ln>
      <a:noFill/>
      <a:prstDash val="solid"/>
    </a:ln>
  </spPr>
</chartSpace>
</file>

<file path=xl/charts/chart111.xml><?xml version="1.0" encoding="utf-8"?>
<chartSpace xmlns:a="http://schemas.openxmlformats.org/drawingml/2006/main" xmlns="http://schemas.openxmlformats.org/drawingml/2006/chart">
  <chart>
    <title>
      <tx>
        <rich>
          <a:bodyPr/>
          <a:p>
            <a:pPr>
              <a:defRPr sz="1200" b="1">
                <a:solidFill>
                  <a:srgbClr val="1F3864"/>
                </a:solidFill>
              </a:defRPr>
            </a:pPr>
            <a:r>
              <a:t>Процедури</a:t>
            </a:r>
          </a:p>
        </rich>
      </tx>
      <overlay val="0"/>
    </title>
    <plotArea>
      <pieChart>
        <varyColors val="1"/>
        <ser>
          <idx val="0"/>
          <order val="0"/>
          <tx>
            <strRef>
              <f>'К7 ТОВ "ТІНОС-Д"'!B115</f>
            </strRef>
          </tx>
          <spPr>
            <a:ln>
              <a:prstDash val="solid"/>
            </a:ln>
          </spPr>
          <dPt>
            <idx val="0"/>
            <spPr>
              <a:solidFill>
                <a:srgbClr val="3D7EFF"/>
              </a:solidFill>
              <a:ln>
                <a:prstDash val="solid"/>
              </a:ln>
            </spPr>
          </dPt>
          <dPt>
            <idx val="1"/>
            <spPr>
              <a:solidFill>
                <a:srgbClr val="3ECF8E"/>
              </a:solidFill>
              <a:ln>
                <a:prstDash val="solid"/>
              </a:ln>
            </spPr>
          </dPt>
          <cat>
            <numRef>
              <f>'К7 ТОВ "ТІНОС-Д"'!$A$116:$A$117</f>
            </numRef>
          </cat>
          <val>
            <numRef>
              <f>'К7 ТОВ "ТІНОС-Д"'!$B$116:$B$117</f>
            </numRef>
          </val>
        </ser>
        <dLbls>
          <txPr>
            <a:bodyPr vert="horz"/>
            <a:p>
              <a:pPr>
                <a:defRPr sz="900">
                  <a:solidFill>
                    <a:srgbClr val="404040"/>
                  </a:solidFill>
                </a:defRPr>
              </a:pPr>
              <a:endParaRPr sz="900">
                <a:solidFill>
                  <a:srgbClr val="404040"/>
                </a:solidFill>
              </a:endParaRPr>
            </a:p>
          </txPr>
          <dLblPos val="bestFit"/>
          <showLegendKey val="0"/>
          <showVal val="0"/>
          <showCatName val="0"/>
          <showSerName val="0"/>
          <showPercent val="1"/>
          <showBubbleSize val="0"/>
          <showLeaderLines val="1"/>
        </dLbls>
        <firstSliceAng val="0"/>
      </pieChart>
    </plotArea>
    <legend>
      <legendPos val="b"/>
      <overlay val="0"/>
      <txPr>
        <a:bodyPr vert="horz"/>
        <a:p>
          <a:pPr>
            <a:defRPr sz="900">
              <a:solidFill>
                <a:srgbClr val="404040"/>
              </a:solidFill>
            </a:defRPr>
          </a:pPr>
          <a:endParaRPr sz="900">
            <a:solidFill>
              <a:srgbClr val="404040"/>
            </a:solidFill>
          </a:endParaRPr>
        </a:p>
      </txPr>
    </legend>
    <plotVisOnly val="1"/>
    <dispBlanksAs val="gap"/>
  </chart>
  <spPr>
    <a:solidFill>
      <a:srgbClr val="FFFFFF"/>
    </a:solidFill>
    <a:ln>
      <a:noFill/>
      <a:prstDash val="solid"/>
    </a:ln>
  </spPr>
</chartSpace>
</file>

<file path=xl/charts/chart112.xml><?xml version="1.0" encoding="utf-8"?>
<chartSpace xmlns:a="http://schemas.openxmlformats.org/drawingml/2006/main" xmlns="http://schemas.openxmlformats.org/drawingml/2006/chart">
  <chart>
    <title>
      <tx>
        <rich>
          <a:bodyPr/>
          <a:p>
            <a:pPr>
              <a:defRPr sz="1200" b="1">
                <a:solidFill>
                  <a:srgbClr val="1F3864"/>
                </a:solidFill>
              </a:defRPr>
            </a:pPr>
            <a:r>
              <a:t>Що саме продає</a:t>
            </a:r>
          </a:p>
        </rich>
      </tx>
      <overlay val="0"/>
    </title>
    <plotArea>
      <barChart>
        <barDir val="bar"/>
        <grouping val="clustered"/>
        <ser>
          <idx val="0"/>
          <order val="0"/>
          <tx>
            <strRef>
              <f>'К8 ТОВ "ТЕХНО ГАЛАКТИКА"'!B35</f>
            </strRef>
          </tx>
          <spPr>
            <a:solidFill>
              <a:srgbClr val="3D7EFF"/>
            </a:solidFill>
            <a:ln>
              <a:noFill/>
              <a:prstDash val="solid"/>
            </a:ln>
          </spPr>
          <cat>
            <numRef>
              <f>'К8 ТОВ "ТЕХНО ГАЛАКТИКА"'!$A$36</f>
            </numRef>
          </cat>
          <val>
            <numRef>
              <f>'К8 ТОВ "ТЕХНО ГАЛАКТИКА"'!$B$36</f>
            </numRef>
          </val>
        </ser>
        <dLbls>
          <numFmt formatCode="#,##0"/>
          <txPr>
            <a:bodyPr vert="horz"/>
            <a:p>
              <a:pPr>
                <a:defRPr sz="900">
                  <a:solidFill>
                    <a:srgbClr val="404040"/>
                  </a:solidFill>
                </a:defRPr>
              </a:pPr>
              <a:endParaRPr sz="900">
                <a:solidFill>
                  <a:srgbClr val="404040"/>
                </a:solidFill>
              </a:endParaRPr>
            </a:p>
          </txPr>
          <dLblPos val="outEnd"/>
          <showLegendKey val="0"/>
          <showVal val="1"/>
          <showCatName val="0"/>
          <showSerName val="0"/>
          <showPercent val="0"/>
          <showBubbleSize val="0"/>
        </dLbls>
        <gapWidth val="150"/>
        <axId val="10"/>
        <axId val="100"/>
      </barChart>
      <catAx>
        <axId val="10"/>
        <scaling>
          <orientation val="maxMin"/>
        </scaling>
        <delete val="0"/>
        <axPos val="l"/>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0"/>
        <lblOffset val="100"/>
      </catAx>
      <valAx>
        <axId val="100"/>
        <scaling>
          <orientation val="minMax"/>
        </scaling>
        <delete val="0"/>
        <axPos val="l"/>
        <majorGridlines>
          <spPr>
            <a:ln>
              <a:solidFill>
                <a:srgbClr val="D9D9D9"/>
              </a:solidFill>
              <a:prstDash val="solid"/>
            </a:ln>
          </spPr>
        </majorGridlines>
        <numFmt formatCode="#,##0" sourceLinked="0"/>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
        <crosses val="max"/>
      </valAx>
    </plotArea>
    <plotVisOnly val="1"/>
    <dispBlanksAs val="gap"/>
  </chart>
  <spPr>
    <a:solidFill>
      <a:srgbClr val="FFFFFF"/>
    </a:solidFill>
    <a:ln>
      <a:noFill/>
      <a:prstDash val="solid"/>
    </a:ln>
  </spPr>
</chartSpace>
</file>

<file path=xl/charts/chart113.xml><?xml version="1.0" encoding="utf-8"?>
<chartSpace xmlns:a="http://schemas.openxmlformats.org/drawingml/2006/main" xmlns="http://schemas.openxmlformats.org/drawingml/2006/chart">
  <chart>
    <title>
      <tx>
        <rich>
          <a:bodyPr/>
          <a:p>
            <a:pPr>
              <a:defRPr sz="1200" b="1">
                <a:solidFill>
                  <a:srgbClr val="1F3864"/>
                </a:solidFill>
              </a:defRPr>
            </a:pPr>
            <a:r>
              <a:t>Ключові замовники</a:t>
            </a:r>
          </a:p>
        </rich>
      </tx>
      <overlay val="0"/>
    </title>
    <plotArea>
      <barChart>
        <barDir val="bar"/>
        <grouping val="clustered"/>
        <ser>
          <idx val="0"/>
          <order val="0"/>
          <tx>
            <strRef>
              <f>'К8 ТОВ "ТЕХНО ГАЛАКТИКА"'!B51</f>
            </strRef>
          </tx>
          <spPr>
            <a:solidFill>
              <a:srgbClr val="3D7EFF"/>
            </a:solidFill>
            <a:ln>
              <a:noFill/>
              <a:prstDash val="solid"/>
            </a:ln>
          </spPr>
          <cat>
            <numRef>
              <f>'К8 ТОВ "ТЕХНО ГАЛАКТИКА"'!$A$52</f>
            </numRef>
          </cat>
          <val>
            <numRef>
              <f>'К8 ТОВ "ТЕХНО ГАЛАКТИКА"'!$B$52</f>
            </numRef>
          </val>
        </ser>
        <dLbls>
          <numFmt formatCode="#,##0"/>
          <txPr>
            <a:bodyPr vert="horz"/>
            <a:p>
              <a:pPr>
                <a:defRPr sz="900">
                  <a:solidFill>
                    <a:srgbClr val="404040"/>
                  </a:solidFill>
                </a:defRPr>
              </a:pPr>
              <a:endParaRPr sz="900">
                <a:solidFill>
                  <a:srgbClr val="404040"/>
                </a:solidFill>
              </a:endParaRPr>
            </a:p>
          </txPr>
          <dLblPos val="outEnd"/>
          <showLegendKey val="0"/>
          <showVal val="1"/>
          <showCatName val="0"/>
          <showSerName val="0"/>
          <showPercent val="0"/>
          <showBubbleSize val="0"/>
        </dLbls>
        <gapWidth val="150"/>
        <axId val="10"/>
        <axId val="100"/>
      </barChart>
      <catAx>
        <axId val="10"/>
        <scaling>
          <orientation val="maxMin"/>
        </scaling>
        <delete val="0"/>
        <axPos val="l"/>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0"/>
        <lblOffset val="100"/>
      </catAx>
      <valAx>
        <axId val="100"/>
        <scaling>
          <orientation val="minMax"/>
        </scaling>
        <delete val="0"/>
        <axPos val="l"/>
        <majorGridlines>
          <spPr>
            <a:ln>
              <a:solidFill>
                <a:srgbClr val="D9D9D9"/>
              </a:solidFill>
              <a:prstDash val="solid"/>
            </a:ln>
          </spPr>
        </majorGridlines>
        <numFmt formatCode="#,##0" sourceLinked="0"/>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
        <crosses val="max"/>
      </valAx>
    </plotArea>
    <plotVisOnly val="1"/>
    <dispBlanksAs val="gap"/>
  </chart>
  <spPr>
    <a:solidFill>
      <a:srgbClr val="FFFFFF"/>
    </a:solidFill>
    <a:ln>
      <a:noFill/>
      <a:prstDash val="solid"/>
    </a:ln>
  </spPr>
</chartSpace>
</file>

<file path=xl/charts/chart114.xml><?xml version="1.0" encoding="utf-8"?>
<chartSpace xmlns:a="http://schemas.openxmlformats.org/drawingml/2006/main" xmlns="http://schemas.openxmlformats.org/drawingml/2006/chart">
  <chart>
    <title>
      <tx>
        <rich>
          <a:bodyPr/>
          <a:p>
            <a:pPr>
              <a:defRPr sz="1200" b="1">
                <a:solidFill>
                  <a:srgbClr val="1F3864"/>
                </a:solidFill>
              </a:defRPr>
            </a:pPr>
            <a:r>
              <a:t>Динаміка по місяцях</a:t>
            </a:r>
          </a:p>
        </rich>
      </tx>
      <overlay val="0"/>
    </title>
    <plotArea>
      <lineChart>
        <grouping val="standard"/>
        <ser>
          <idx val="0"/>
          <order val="0"/>
          <tx>
            <strRef>
              <f>'К9 ТОВ "ДІСТРІ ІНВАЙТ ІТ"'!B42</f>
            </strRef>
          </tx>
          <spPr>
            <a:ln w="22000">
              <a:solidFill>
                <a:srgbClr val="3D7EFF"/>
              </a:solidFill>
              <a:prstDash val="solid"/>
            </a:ln>
          </spPr>
          <marker>
            <symbol val="circle"/>
            <size val="5"/>
            <spPr>
              <a:solidFill>
                <a:srgbClr val="3D7EFF"/>
              </a:solidFill>
              <a:ln>
                <a:prstDash val="solid"/>
              </a:ln>
            </spPr>
          </marker>
          <cat>
            <numRef>
              <f>'К9 ТОВ "ДІСТРІ ІНВАЙТ ІТ"'!$A$43:$A$49</f>
            </numRef>
          </cat>
          <val>
            <numRef>
              <f>'К9 ТОВ "ДІСТРІ ІНВАЙТ ІТ"'!$B$43:$B$49</f>
            </numRef>
          </val>
          <smooth val="0"/>
        </ser>
        <axId val="10"/>
        <axId val="100"/>
      </lineChart>
      <catAx>
        <axId val="10"/>
        <scaling>
          <orientation val="minMax"/>
        </scaling>
        <delete val="0"/>
        <axPos val="l"/>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0"/>
        <lblOffset val="100"/>
      </catAx>
      <valAx>
        <axId val="100"/>
        <scaling>
          <orientation val="minMax"/>
        </scaling>
        <delete val="0"/>
        <axPos val="l"/>
        <majorGridlines>
          <spPr>
            <a:ln>
              <a:solidFill>
                <a:srgbClr val="D9D9D9"/>
              </a:solidFill>
              <a:prstDash val="solid"/>
            </a:ln>
          </spPr>
        </majorGridlines>
        <numFmt formatCode="#,##0" sourceLinked="0"/>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
      </valAx>
    </plotArea>
    <plotVisOnly val="1"/>
    <dispBlanksAs val="gap"/>
  </chart>
  <spPr>
    <a:solidFill>
      <a:srgbClr val="FFFFFF"/>
    </a:solidFill>
    <a:ln>
      <a:noFill/>
      <a:prstDash val="solid"/>
    </a:ln>
  </spPr>
</chartSpace>
</file>

<file path=xl/charts/chart115.xml><?xml version="1.0" encoding="utf-8"?>
<chartSpace xmlns:a="http://schemas.openxmlformats.org/drawingml/2006/main" xmlns="http://schemas.openxmlformats.org/drawingml/2006/chart">
  <chart>
    <title>
      <tx>
        <rich>
          <a:bodyPr/>
          <a:p>
            <a:pPr>
              <a:defRPr sz="1200" b="1">
                <a:solidFill>
                  <a:srgbClr val="1F3864"/>
                </a:solidFill>
              </a:defRPr>
            </a:pPr>
            <a:r>
              <a:t>Торгові марки у позиціях</a:t>
            </a:r>
          </a:p>
        </rich>
      </tx>
      <overlay val="0"/>
    </title>
    <plotArea>
      <pieChart>
        <varyColors val="1"/>
        <ser>
          <idx val="0"/>
          <order val="0"/>
          <tx>
            <strRef>
              <f>'К9 ТОВ "ДІСТРІ ІНВАЙТ ІТ"'!B62</f>
            </strRef>
          </tx>
          <spPr>
            <a:ln>
              <a:prstDash val="solid"/>
            </a:ln>
          </spPr>
          <dPt>
            <idx val="0"/>
            <spPr>
              <a:solidFill>
                <a:srgbClr val="3D7EFF"/>
              </a:solidFill>
              <a:ln>
                <a:prstDash val="solid"/>
              </a:ln>
            </spPr>
          </dPt>
          <dPt>
            <idx val="1"/>
            <spPr>
              <a:solidFill>
                <a:srgbClr val="3ECF8E"/>
              </a:solidFill>
              <a:ln>
                <a:prstDash val="solid"/>
              </a:ln>
            </spPr>
          </dPt>
          <dPt>
            <idx val="2"/>
            <spPr>
              <a:solidFill>
                <a:srgbClr val="F0B429"/>
              </a:solidFill>
              <a:ln>
                <a:prstDash val="solid"/>
              </a:ln>
            </spPr>
          </dPt>
          <dPt>
            <idx val="3"/>
            <spPr>
              <a:solidFill>
                <a:srgbClr val="A78BFA"/>
              </a:solidFill>
              <a:ln>
                <a:prstDash val="solid"/>
              </a:ln>
            </spPr>
          </dPt>
          <dPt>
            <idx val="4"/>
            <spPr>
              <a:solidFill>
                <a:srgbClr val="22D3EE"/>
              </a:solidFill>
              <a:ln>
                <a:prstDash val="solid"/>
              </a:ln>
            </spPr>
          </dPt>
          <cat>
            <numRef>
              <f>'К9 ТОВ "ДІСТРІ ІНВАЙТ ІТ"'!$A$63:$A$67</f>
            </numRef>
          </cat>
          <val>
            <numRef>
              <f>'К9 ТОВ "ДІСТРІ ІНВАЙТ ІТ"'!$B$63:$B$67</f>
            </numRef>
          </val>
        </ser>
        <dLbls>
          <txPr>
            <a:bodyPr vert="horz"/>
            <a:p>
              <a:pPr>
                <a:defRPr sz="900">
                  <a:solidFill>
                    <a:srgbClr val="404040"/>
                  </a:solidFill>
                </a:defRPr>
              </a:pPr>
              <a:endParaRPr sz="900">
                <a:solidFill>
                  <a:srgbClr val="404040"/>
                </a:solidFill>
              </a:endParaRPr>
            </a:p>
          </txPr>
          <dLblPos val="bestFit"/>
          <showLegendKey val="0"/>
          <showVal val="0"/>
          <showCatName val="0"/>
          <showSerName val="0"/>
          <showPercent val="1"/>
          <showBubbleSize val="0"/>
          <showLeaderLines val="1"/>
        </dLbls>
        <firstSliceAng val="0"/>
      </pieChart>
    </plotArea>
    <legend>
      <legendPos val="b"/>
      <overlay val="0"/>
      <txPr>
        <a:bodyPr vert="horz"/>
        <a:p>
          <a:pPr>
            <a:defRPr sz="900">
              <a:solidFill>
                <a:srgbClr val="404040"/>
              </a:solidFill>
            </a:defRPr>
          </a:pPr>
          <a:endParaRPr sz="900">
            <a:solidFill>
              <a:srgbClr val="404040"/>
            </a:solidFill>
          </a:endParaRPr>
        </a:p>
      </txPr>
    </legend>
    <plotVisOnly val="1"/>
    <dispBlanksAs val="gap"/>
  </chart>
  <spPr>
    <a:solidFill>
      <a:srgbClr val="FFFFFF"/>
    </a:solidFill>
    <a:ln>
      <a:noFill/>
      <a:prstDash val="solid"/>
    </a:ln>
  </spPr>
</chartSpace>
</file>

<file path=xl/charts/chart116.xml><?xml version="1.0" encoding="utf-8"?>
<chartSpace xmlns:a="http://schemas.openxmlformats.org/drawingml/2006/main" xmlns="http://schemas.openxmlformats.org/drawingml/2006/chart">
  <chart>
    <title>
      <tx>
        <rich>
          <a:bodyPr/>
          <a:p>
            <a:pPr>
              <a:defRPr sz="1200" b="1">
                <a:solidFill>
                  <a:srgbClr val="1F3864"/>
                </a:solidFill>
              </a:defRPr>
            </a:pPr>
            <a:r>
              <a:t>Що саме продає</a:t>
            </a:r>
          </a:p>
        </rich>
      </tx>
      <overlay val="0"/>
    </title>
    <plotArea>
      <barChart>
        <barDir val="bar"/>
        <grouping val="clustered"/>
        <ser>
          <idx val="0"/>
          <order val="0"/>
          <tx>
            <strRef>
              <f>'К9 ТОВ "ДІСТРІ ІНВАЙТ ІТ"'!B82</f>
            </strRef>
          </tx>
          <spPr>
            <a:solidFill>
              <a:srgbClr val="3D7EFF"/>
            </a:solidFill>
            <a:ln>
              <a:noFill/>
              <a:prstDash val="solid"/>
            </a:ln>
          </spPr>
          <cat>
            <numRef>
              <f>'К9 ТОВ "ДІСТРІ ІНВАЙТ ІТ"'!$A$83:$A$86</f>
            </numRef>
          </cat>
          <val>
            <numRef>
              <f>'К9 ТОВ "ДІСТРІ ІНВАЙТ ІТ"'!$B$83:$B$86</f>
            </numRef>
          </val>
        </ser>
        <dLbls>
          <numFmt formatCode="#,##0"/>
          <txPr>
            <a:bodyPr vert="horz"/>
            <a:p>
              <a:pPr>
                <a:defRPr sz="900">
                  <a:solidFill>
                    <a:srgbClr val="404040"/>
                  </a:solidFill>
                </a:defRPr>
              </a:pPr>
              <a:endParaRPr sz="900">
                <a:solidFill>
                  <a:srgbClr val="404040"/>
                </a:solidFill>
              </a:endParaRPr>
            </a:p>
          </txPr>
          <dLblPos val="outEnd"/>
          <showLegendKey val="0"/>
          <showVal val="1"/>
          <showCatName val="0"/>
          <showSerName val="0"/>
          <showPercent val="0"/>
          <showBubbleSize val="0"/>
        </dLbls>
        <gapWidth val="150"/>
        <axId val="10"/>
        <axId val="100"/>
      </barChart>
      <catAx>
        <axId val="10"/>
        <scaling>
          <orientation val="maxMin"/>
        </scaling>
        <delete val="0"/>
        <axPos val="l"/>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0"/>
        <lblOffset val="100"/>
      </catAx>
      <valAx>
        <axId val="100"/>
        <scaling>
          <orientation val="minMax"/>
        </scaling>
        <delete val="0"/>
        <axPos val="l"/>
        <majorGridlines>
          <spPr>
            <a:ln>
              <a:solidFill>
                <a:srgbClr val="D9D9D9"/>
              </a:solidFill>
              <a:prstDash val="solid"/>
            </a:ln>
          </spPr>
        </majorGridlines>
        <numFmt formatCode="#,##0" sourceLinked="0"/>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
        <crosses val="max"/>
      </valAx>
    </plotArea>
    <plotVisOnly val="1"/>
    <dispBlanksAs val="gap"/>
  </chart>
  <spPr>
    <a:solidFill>
      <a:srgbClr val="FFFFFF"/>
    </a:solidFill>
    <a:ln>
      <a:noFill/>
      <a:prstDash val="solid"/>
    </a:ln>
  </spPr>
</chartSpace>
</file>

<file path=xl/charts/chart117.xml><?xml version="1.0" encoding="utf-8"?>
<chartSpace xmlns:a="http://schemas.openxmlformats.org/drawingml/2006/main" xmlns="http://schemas.openxmlformats.org/drawingml/2006/chart">
  <chart>
    <title>
      <tx>
        <rich>
          <a:bodyPr/>
          <a:p>
            <a:pPr>
              <a:defRPr sz="1200" b="1">
                <a:solidFill>
                  <a:srgbClr val="1F3864"/>
                </a:solidFill>
              </a:defRPr>
            </a:pPr>
            <a:r>
              <a:t>Ключові замовники</a:t>
            </a:r>
          </a:p>
        </rich>
      </tx>
      <overlay val="0"/>
    </title>
    <plotArea>
      <barChart>
        <barDir val="bar"/>
        <grouping val="clustered"/>
        <ser>
          <idx val="0"/>
          <order val="0"/>
          <tx>
            <strRef>
              <f>'К9 ТОВ "ДІСТРІ ІНВАЙТ ІТ"'!B98</f>
            </strRef>
          </tx>
          <spPr>
            <a:solidFill>
              <a:srgbClr val="3D7EFF"/>
            </a:solidFill>
            <a:ln>
              <a:noFill/>
              <a:prstDash val="solid"/>
            </a:ln>
          </spPr>
          <cat>
            <numRef>
              <f>'К9 ТОВ "ДІСТРІ ІНВАЙТ ІТ"'!$A$99:$A$105</f>
            </numRef>
          </cat>
          <val>
            <numRef>
              <f>'К9 ТОВ "ДІСТРІ ІНВАЙТ ІТ"'!$B$99:$B$105</f>
            </numRef>
          </val>
        </ser>
        <dLbls>
          <numFmt formatCode="#,##0"/>
          <txPr>
            <a:bodyPr vert="horz"/>
            <a:p>
              <a:pPr>
                <a:defRPr sz="900">
                  <a:solidFill>
                    <a:srgbClr val="404040"/>
                  </a:solidFill>
                </a:defRPr>
              </a:pPr>
              <a:endParaRPr sz="900">
                <a:solidFill>
                  <a:srgbClr val="404040"/>
                </a:solidFill>
              </a:endParaRPr>
            </a:p>
          </txPr>
          <dLblPos val="outEnd"/>
          <showLegendKey val="0"/>
          <showVal val="1"/>
          <showCatName val="0"/>
          <showSerName val="0"/>
          <showPercent val="0"/>
          <showBubbleSize val="0"/>
        </dLbls>
        <gapWidth val="60"/>
        <axId val="10"/>
        <axId val="100"/>
      </barChart>
      <catAx>
        <axId val="10"/>
        <scaling>
          <orientation val="maxMin"/>
        </scaling>
        <delete val="0"/>
        <axPos val="l"/>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0"/>
        <lblOffset val="100"/>
      </catAx>
      <valAx>
        <axId val="100"/>
        <scaling>
          <orientation val="minMax"/>
        </scaling>
        <delete val="0"/>
        <axPos val="l"/>
        <majorGridlines>
          <spPr>
            <a:ln>
              <a:solidFill>
                <a:srgbClr val="D9D9D9"/>
              </a:solidFill>
              <a:prstDash val="solid"/>
            </a:ln>
          </spPr>
        </majorGridlines>
        <numFmt formatCode="#,##0" sourceLinked="0"/>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
        <crosses val="max"/>
      </valAx>
    </plotArea>
    <plotVisOnly val="1"/>
    <dispBlanksAs val="gap"/>
  </chart>
  <spPr>
    <a:solidFill>
      <a:srgbClr val="FFFFFF"/>
    </a:solidFill>
    <a:ln>
      <a:noFill/>
      <a:prstDash val="solid"/>
    </a:ln>
  </spPr>
</chartSpace>
</file>

<file path=xl/charts/chart118.xml><?xml version="1.0" encoding="utf-8"?>
<chartSpace xmlns:a="http://schemas.openxmlformats.org/drawingml/2006/main" xmlns="http://schemas.openxmlformats.org/drawingml/2006/chart">
  <chart>
    <title>
      <tx>
        <rich>
          <a:bodyPr/>
          <a:p>
            <a:pPr>
              <a:defRPr sz="1200" b="1">
                <a:solidFill>
                  <a:srgbClr val="1F3864"/>
                </a:solidFill>
              </a:defRPr>
            </a:pPr>
            <a:r>
              <a:t>Процедури</a:t>
            </a:r>
          </a:p>
        </rich>
      </tx>
      <overlay val="0"/>
    </title>
    <plotArea>
      <pieChart>
        <varyColors val="1"/>
        <ser>
          <idx val="0"/>
          <order val="0"/>
          <tx>
            <strRef>
              <f>'К9 ТОВ "ДІСТРІ ІНВАЙТ ІТ"'!B114</f>
            </strRef>
          </tx>
          <spPr>
            <a:ln>
              <a:prstDash val="solid"/>
            </a:ln>
          </spPr>
          <dPt>
            <idx val="0"/>
            <spPr>
              <a:solidFill>
                <a:srgbClr val="3D7EFF"/>
              </a:solidFill>
              <a:ln>
                <a:prstDash val="solid"/>
              </a:ln>
            </spPr>
          </dPt>
          <dPt>
            <idx val="1"/>
            <spPr>
              <a:solidFill>
                <a:srgbClr val="3ECF8E"/>
              </a:solidFill>
              <a:ln>
                <a:prstDash val="solid"/>
              </a:ln>
            </spPr>
          </dPt>
          <dPt>
            <idx val="2"/>
            <spPr>
              <a:solidFill>
                <a:srgbClr val="F0B429"/>
              </a:solidFill>
              <a:ln>
                <a:prstDash val="solid"/>
              </a:ln>
            </spPr>
          </dPt>
          <cat>
            <numRef>
              <f>'К9 ТОВ "ДІСТРІ ІНВАЙТ ІТ"'!$A$115:$A$117</f>
            </numRef>
          </cat>
          <val>
            <numRef>
              <f>'К9 ТОВ "ДІСТРІ ІНВАЙТ ІТ"'!$B$115:$B$117</f>
            </numRef>
          </val>
        </ser>
        <dLbls>
          <txPr>
            <a:bodyPr vert="horz"/>
            <a:p>
              <a:pPr>
                <a:defRPr sz="900">
                  <a:solidFill>
                    <a:srgbClr val="404040"/>
                  </a:solidFill>
                </a:defRPr>
              </a:pPr>
              <a:endParaRPr sz="900">
                <a:solidFill>
                  <a:srgbClr val="404040"/>
                </a:solidFill>
              </a:endParaRPr>
            </a:p>
          </txPr>
          <dLblPos val="bestFit"/>
          <showLegendKey val="0"/>
          <showVal val="0"/>
          <showCatName val="0"/>
          <showSerName val="0"/>
          <showPercent val="1"/>
          <showBubbleSize val="0"/>
          <showLeaderLines val="1"/>
        </dLbls>
        <firstSliceAng val="0"/>
      </pieChart>
    </plotArea>
    <legend>
      <legendPos val="b"/>
      <overlay val="0"/>
      <txPr>
        <a:bodyPr vert="horz"/>
        <a:p>
          <a:pPr>
            <a:defRPr sz="900">
              <a:solidFill>
                <a:srgbClr val="404040"/>
              </a:solidFill>
            </a:defRPr>
          </a:pPr>
          <a:endParaRPr sz="900">
            <a:solidFill>
              <a:srgbClr val="404040"/>
            </a:solidFill>
          </a:endParaRPr>
        </a:p>
      </txPr>
    </legend>
    <plotVisOnly val="1"/>
    <dispBlanksAs val="gap"/>
  </chart>
  <spPr>
    <a:solidFill>
      <a:srgbClr val="FFFFFF"/>
    </a:solidFill>
    <a:ln>
      <a:noFill/>
      <a:prstDash val="solid"/>
    </a:ln>
  </spPr>
</chartSpace>
</file>

<file path=xl/charts/chart119.xml><?xml version="1.0" encoding="utf-8"?>
<chartSpace xmlns:a="http://schemas.openxmlformats.org/drawingml/2006/main" xmlns="http://schemas.openxmlformats.org/drawingml/2006/chart">
  <chart>
    <title>
      <tx>
        <rich>
          <a:bodyPr/>
          <a:p>
            <a:pPr>
              <a:defRPr sz="1200" b="1">
                <a:solidFill>
                  <a:srgbClr val="1F3864"/>
                </a:solidFill>
              </a:defRPr>
            </a:pPr>
            <a:r>
              <a:t>Динаміка по місяцях</a:t>
            </a:r>
          </a:p>
        </rich>
      </tx>
      <overlay val="0"/>
    </title>
    <plotArea>
      <lineChart>
        <grouping val="standard"/>
        <ser>
          <idx val="0"/>
          <order val="0"/>
          <tx>
            <strRef>
              <f>'К10 ТОВ "ПАРСЕРС"'!B40</f>
            </strRef>
          </tx>
          <spPr>
            <a:ln w="22000">
              <a:solidFill>
                <a:srgbClr val="3D7EFF"/>
              </a:solidFill>
              <a:prstDash val="solid"/>
            </a:ln>
          </spPr>
          <marker>
            <symbol val="circle"/>
            <size val="5"/>
            <spPr>
              <a:solidFill>
                <a:srgbClr val="3D7EFF"/>
              </a:solidFill>
              <a:ln>
                <a:prstDash val="solid"/>
              </a:ln>
            </spPr>
          </marker>
          <cat>
            <numRef>
              <f>'К10 ТОВ "ПАРСЕРС"'!$A$41:$A$46</f>
            </numRef>
          </cat>
          <val>
            <numRef>
              <f>'К10 ТОВ "ПАРСЕРС"'!$B$41:$B$46</f>
            </numRef>
          </val>
          <smooth val="0"/>
        </ser>
        <axId val="10"/>
        <axId val="100"/>
      </lineChart>
      <catAx>
        <axId val="10"/>
        <scaling>
          <orientation val="minMax"/>
        </scaling>
        <delete val="0"/>
        <axPos val="l"/>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0"/>
        <lblOffset val="100"/>
      </catAx>
      <valAx>
        <axId val="100"/>
        <scaling>
          <orientation val="minMax"/>
        </scaling>
        <delete val="0"/>
        <axPos val="l"/>
        <majorGridlines>
          <spPr>
            <a:ln>
              <a:solidFill>
                <a:srgbClr val="D9D9D9"/>
              </a:solidFill>
              <a:prstDash val="solid"/>
            </a:ln>
          </spPr>
        </majorGridlines>
        <numFmt formatCode="#,##0" sourceLinked="0"/>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
      </valAx>
    </plotArea>
    <plotVisOnly val="1"/>
    <dispBlanksAs val="gap"/>
  </chart>
  <spPr>
    <a:solidFill>
      <a:srgbClr val="FFFFFF"/>
    </a:solidFill>
    <a:ln>
      <a:noFill/>
      <a:prstDash val="solid"/>
    </a:ln>
  </spPr>
</chartSpace>
</file>

<file path=xl/charts/chart120.xml><?xml version="1.0" encoding="utf-8"?>
<chartSpace xmlns:a="http://schemas.openxmlformats.org/drawingml/2006/main" xmlns="http://schemas.openxmlformats.org/drawingml/2006/chart">
  <chart>
    <title>
      <tx>
        <rich>
          <a:bodyPr/>
          <a:p>
            <a:pPr>
              <a:defRPr sz="1200" b="1">
                <a:solidFill>
                  <a:srgbClr val="1F3864"/>
                </a:solidFill>
              </a:defRPr>
            </a:pPr>
            <a:r>
              <a:t>Торгові марки у позиціях</a:t>
            </a:r>
          </a:p>
        </rich>
      </tx>
      <overlay val="0"/>
    </title>
    <plotArea>
      <pieChart>
        <varyColors val="1"/>
        <ser>
          <idx val="0"/>
          <order val="0"/>
          <tx>
            <strRef>
              <f>'К10 ТОВ "ПАРСЕРС"'!B60</f>
            </strRef>
          </tx>
          <spPr>
            <a:ln>
              <a:prstDash val="solid"/>
            </a:ln>
          </spPr>
          <dPt>
            <idx val="0"/>
            <spPr>
              <a:solidFill>
                <a:srgbClr val="3D7EFF"/>
              </a:solidFill>
              <a:ln>
                <a:prstDash val="solid"/>
              </a:ln>
            </spPr>
          </dPt>
          <dPt>
            <idx val="1"/>
            <spPr>
              <a:solidFill>
                <a:srgbClr val="3ECF8E"/>
              </a:solidFill>
              <a:ln>
                <a:prstDash val="solid"/>
              </a:ln>
            </spPr>
          </dPt>
          <dPt>
            <idx val="2"/>
            <spPr>
              <a:solidFill>
                <a:srgbClr val="F0B429"/>
              </a:solidFill>
              <a:ln>
                <a:prstDash val="solid"/>
              </a:ln>
            </spPr>
          </dPt>
          <dPt>
            <idx val="3"/>
            <spPr>
              <a:solidFill>
                <a:srgbClr val="A78BFA"/>
              </a:solidFill>
              <a:ln>
                <a:prstDash val="solid"/>
              </a:ln>
            </spPr>
          </dPt>
          <dPt>
            <idx val="4"/>
            <spPr>
              <a:solidFill>
                <a:srgbClr val="22D3EE"/>
              </a:solidFill>
              <a:ln>
                <a:prstDash val="solid"/>
              </a:ln>
            </spPr>
          </dPt>
          <dPt>
            <idx val="5"/>
            <spPr>
              <a:solidFill>
                <a:srgbClr val="FB923C"/>
              </a:solidFill>
              <a:ln>
                <a:prstDash val="solid"/>
              </a:ln>
            </spPr>
          </dPt>
          <dPt>
            <idx val="6"/>
            <spPr>
              <a:solidFill>
                <a:srgbClr val="F472B6"/>
              </a:solidFill>
              <a:ln>
                <a:prstDash val="solid"/>
              </a:ln>
            </spPr>
          </dPt>
          <dPt>
            <idx val="7"/>
            <spPr>
              <a:solidFill>
                <a:srgbClr val="84CC16"/>
              </a:solidFill>
              <a:ln>
                <a:prstDash val="solid"/>
              </a:ln>
            </spPr>
          </dPt>
          <cat>
            <numRef>
              <f>'К10 ТОВ "ПАРСЕРС"'!$A$61:$A$68</f>
            </numRef>
          </cat>
          <val>
            <numRef>
              <f>'К10 ТОВ "ПАРСЕРС"'!$B$61:$B$68</f>
            </numRef>
          </val>
        </ser>
        <dLbls>
          <txPr>
            <a:bodyPr vert="horz"/>
            <a:p>
              <a:pPr>
                <a:defRPr sz="900">
                  <a:solidFill>
                    <a:srgbClr val="404040"/>
                  </a:solidFill>
                </a:defRPr>
              </a:pPr>
              <a:endParaRPr sz="900">
                <a:solidFill>
                  <a:srgbClr val="404040"/>
                </a:solidFill>
              </a:endParaRPr>
            </a:p>
          </txPr>
          <dLblPos val="bestFit"/>
          <showLegendKey val="0"/>
          <showVal val="0"/>
          <showCatName val="0"/>
          <showSerName val="0"/>
          <showPercent val="1"/>
          <showBubbleSize val="0"/>
          <showLeaderLines val="1"/>
        </dLbls>
        <firstSliceAng val="0"/>
      </pieChart>
    </plotArea>
    <legend>
      <legendPos val="b"/>
      <overlay val="0"/>
      <txPr>
        <a:bodyPr vert="horz"/>
        <a:p>
          <a:pPr>
            <a:defRPr sz="900">
              <a:solidFill>
                <a:srgbClr val="404040"/>
              </a:solidFill>
            </a:defRPr>
          </a:pPr>
          <a:endParaRPr sz="900">
            <a:solidFill>
              <a:srgbClr val="404040"/>
            </a:solidFill>
          </a:endParaRPr>
        </a:p>
      </txPr>
    </legend>
    <plotVisOnly val="1"/>
    <dispBlanksAs val="gap"/>
  </chart>
  <spPr>
    <a:solidFill>
      <a:srgbClr val="FFFFFF"/>
    </a:solidFill>
    <a:ln>
      <a:noFill/>
      <a:prstDash val="solid"/>
    </a:ln>
  </spPr>
</chartSpace>
</file>

<file path=xl/charts/chart121.xml><?xml version="1.0" encoding="utf-8"?>
<chartSpace xmlns:a="http://schemas.openxmlformats.org/drawingml/2006/main" xmlns="http://schemas.openxmlformats.org/drawingml/2006/chart">
  <chart>
    <title>
      <tx>
        <rich>
          <a:bodyPr/>
          <a:p>
            <a:pPr>
              <a:defRPr sz="1200" b="1">
                <a:solidFill>
                  <a:srgbClr val="1F3864"/>
                </a:solidFill>
              </a:defRPr>
            </a:pPr>
            <a:r>
              <a:t>Що саме продає</a:t>
            </a:r>
          </a:p>
        </rich>
      </tx>
      <overlay val="0"/>
    </title>
    <plotArea>
      <barChart>
        <barDir val="bar"/>
        <grouping val="clustered"/>
        <ser>
          <idx val="0"/>
          <order val="0"/>
          <tx>
            <strRef>
              <f>'К10 ТОВ "ПАРСЕРС"'!B80</f>
            </strRef>
          </tx>
          <spPr>
            <a:solidFill>
              <a:srgbClr val="3D7EFF"/>
            </a:solidFill>
            <a:ln>
              <a:noFill/>
              <a:prstDash val="solid"/>
            </a:ln>
          </spPr>
          <cat>
            <numRef>
              <f>'К10 ТОВ "ПАРСЕРС"'!$A$81:$A$86</f>
            </numRef>
          </cat>
          <val>
            <numRef>
              <f>'К10 ТОВ "ПАРСЕРС"'!$B$81:$B$86</f>
            </numRef>
          </val>
        </ser>
        <dLbls>
          <numFmt formatCode="#,##0"/>
          <txPr>
            <a:bodyPr vert="horz"/>
            <a:p>
              <a:pPr>
                <a:defRPr sz="900">
                  <a:solidFill>
                    <a:srgbClr val="404040"/>
                  </a:solidFill>
                </a:defRPr>
              </a:pPr>
              <a:endParaRPr sz="900">
                <a:solidFill>
                  <a:srgbClr val="404040"/>
                </a:solidFill>
              </a:endParaRPr>
            </a:p>
          </txPr>
          <dLblPos val="outEnd"/>
          <showLegendKey val="0"/>
          <showVal val="1"/>
          <showCatName val="0"/>
          <showSerName val="0"/>
          <showPercent val="0"/>
          <showBubbleSize val="0"/>
        </dLbls>
        <gapWidth val="60"/>
        <axId val="10"/>
        <axId val="100"/>
      </barChart>
      <catAx>
        <axId val="10"/>
        <scaling>
          <orientation val="maxMin"/>
        </scaling>
        <delete val="0"/>
        <axPos val="l"/>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0"/>
        <lblOffset val="100"/>
      </catAx>
      <valAx>
        <axId val="100"/>
        <scaling>
          <orientation val="minMax"/>
        </scaling>
        <delete val="0"/>
        <axPos val="l"/>
        <majorGridlines>
          <spPr>
            <a:ln>
              <a:solidFill>
                <a:srgbClr val="D9D9D9"/>
              </a:solidFill>
              <a:prstDash val="solid"/>
            </a:ln>
          </spPr>
        </majorGridlines>
        <numFmt formatCode="#,##0" sourceLinked="0"/>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
        <crosses val="max"/>
      </valAx>
    </plotArea>
    <plotVisOnly val="1"/>
    <dispBlanksAs val="gap"/>
  </chart>
  <spPr>
    <a:solidFill>
      <a:srgbClr val="FFFFFF"/>
    </a:solidFill>
    <a:ln>
      <a:noFill/>
      <a:prstDash val="solid"/>
    </a:ln>
  </spPr>
</chartSpace>
</file>

<file path=xl/charts/chart122.xml><?xml version="1.0" encoding="utf-8"?>
<chartSpace xmlns:a="http://schemas.openxmlformats.org/drawingml/2006/main" xmlns="http://schemas.openxmlformats.org/drawingml/2006/chart">
  <chart>
    <title>
      <tx>
        <rich>
          <a:bodyPr/>
          <a:p>
            <a:pPr>
              <a:defRPr sz="1200" b="1">
                <a:solidFill>
                  <a:srgbClr val="1F3864"/>
                </a:solidFill>
              </a:defRPr>
            </a:pPr>
            <a:r>
              <a:t>Ключові замовники</a:t>
            </a:r>
          </a:p>
        </rich>
      </tx>
      <overlay val="0"/>
    </title>
    <plotArea>
      <barChart>
        <barDir val="bar"/>
        <grouping val="clustered"/>
        <ser>
          <idx val="0"/>
          <order val="0"/>
          <tx>
            <strRef>
              <f>'К10 ТОВ "ПАРСЕРС"'!B96</f>
            </strRef>
          </tx>
          <spPr>
            <a:solidFill>
              <a:srgbClr val="3D7EFF"/>
            </a:solidFill>
            <a:ln>
              <a:noFill/>
              <a:prstDash val="solid"/>
            </a:ln>
          </spPr>
          <cat>
            <numRef>
              <f>'К10 ТОВ "ПАРСЕРС"'!$A$97:$A$101</f>
            </numRef>
          </cat>
          <val>
            <numRef>
              <f>'К10 ТОВ "ПАРСЕРС"'!$B$97:$B$101</f>
            </numRef>
          </val>
        </ser>
        <dLbls>
          <numFmt formatCode="#,##0"/>
          <txPr>
            <a:bodyPr vert="horz"/>
            <a:p>
              <a:pPr>
                <a:defRPr sz="900">
                  <a:solidFill>
                    <a:srgbClr val="404040"/>
                  </a:solidFill>
                </a:defRPr>
              </a:pPr>
              <a:endParaRPr sz="900">
                <a:solidFill>
                  <a:srgbClr val="404040"/>
                </a:solidFill>
              </a:endParaRPr>
            </a:p>
          </txPr>
          <dLblPos val="outEnd"/>
          <showLegendKey val="0"/>
          <showVal val="1"/>
          <showCatName val="0"/>
          <showSerName val="0"/>
          <showPercent val="0"/>
          <showBubbleSize val="0"/>
        </dLbls>
        <gapWidth val="60"/>
        <axId val="10"/>
        <axId val="100"/>
      </barChart>
      <catAx>
        <axId val="10"/>
        <scaling>
          <orientation val="maxMin"/>
        </scaling>
        <delete val="0"/>
        <axPos val="l"/>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0"/>
        <lblOffset val="100"/>
      </catAx>
      <valAx>
        <axId val="100"/>
        <scaling>
          <orientation val="minMax"/>
        </scaling>
        <delete val="0"/>
        <axPos val="l"/>
        <majorGridlines>
          <spPr>
            <a:ln>
              <a:solidFill>
                <a:srgbClr val="D9D9D9"/>
              </a:solidFill>
              <a:prstDash val="solid"/>
            </a:ln>
          </spPr>
        </majorGridlines>
        <numFmt formatCode="#,##0" sourceLinked="0"/>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
        <crosses val="max"/>
      </valAx>
    </plotArea>
    <plotVisOnly val="1"/>
    <dispBlanksAs val="gap"/>
  </chart>
  <spPr>
    <a:solidFill>
      <a:srgbClr val="FFFFFF"/>
    </a:solidFill>
    <a:ln>
      <a:noFill/>
      <a:prstDash val="solid"/>
    </a:ln>
  </spPr>
</chartSpace>
</file>

<file path=xl/charts/chart123.xml><?xml version="1.0" encoding="utf-8"?>
<chartSpace xmlns:a="http://schemas.openxmlformats.org/drawingml/2006/main" xmlns="http://schemas.openxmlformats.org/drawingml/2006/chart">
  <chart>
    <title>
      <tx>
        <rich>
          <a:bodyPr/>
          <a:p>
            <a:pPr>
              <a:defRPr sz="1200" b="1">
                <a:solidFill>
                  <a:srgbClr val="1F3864"/>
                </a:solidFill>
              </a:defRPr>
            </a:pPr>
            <a:r>
              <a:t>Процедури</a:t>
            </a:r>
          </a:p>
        </rich>
      </tx>
      <overlay val="0"/>
    </title>
    <plotArea>
      <pieChart>
        <varyColors val="1"/>
        <ser>
          <idx val="0"/>
          <order val="0"/>
          <tx>
            <strRef>
              <f>'К10 ТОВ "ПАРСЕРС"'!B112</f>
            </strRef>
          </tx>
          <spPr>
            <a:ln>
              <a:prstDash val="solid"/>
            </a:ln>
          </spPr>
          <dPt>
            <idx val="0"/>
            <spPr>
              <a:solidFill>
                <a:srgbClr val="3D7EFF"/>
              </a:solidFill>
              <a:ln>
                <a:prstDash val="solid"/>
              </a:ln>
            </spPr>
          </dPt>
          <dPt>
            <idx val="1"/>
            <spPr>
              <a:solidFill>
                <a:srgbClr val="3ECF8E"/>
              </a:solidFill>
              <a:ln>
                <a:prstDash val="solid"/>
              </a:ln>
            </spPr>
          </dPt>
          <dPt>
            <idx val="2"/>
            <spPr>
              <a:solidFill>
                <a:srgbClr val="F0B429"/>
              </a:solidFill>
              <a:ln>
                <a:prstDash val="solid"/>
              </a:ln>
            </spPr>
          </dPt>
          <cat>
            <numRef>
              <f>'К10 ТОВ "ПАРСЕРС"'!$A$113:$A$115</f>
            </numRef>
          </cat>
          <val>
            <numRef>
              <f>'К10 ТОВ "ПАРСЕРС"'!$B$113:$B$115</f>
            </numRef>
          </val>
        </ser>
        <dLbls>
          <txPr>
            <a:bodyPr vert="horz"/>
            <a:p>
              <a:pPr>
                <a:defRPr sz="900">
                  <a:solidFill>
                    <a:srgbClr val="404040"/>
                  </a:solidFill>
                </a:defRPr>
              </a:pPr>
              <a:endParaRPr sz="900">
                <a:solidFill>
                  <a:srgbClr val="404040"/>
                </a:solidFill>
              </a:endParaRPr>
            </a:p>
          </txPr>
          <dLblPos val="bestFit"/>
          <showLegendKey val="0"/>
          <showVal val="0"/>
          <showCatName val="0"/>
          <showSerName val="0"/>
          <showPercent val="1"/>
          <showBubbleSize val="0"/>
          <showLeaderLines val="1"/>
        </dLbls>
        <firstSliceAng val="0"/>
      </pieChart>
    </plotArea>
    <legend>
      <legendPos val="b"/>
      <overlay val="0"/>
      <txPr>
        <a:bodyPr vert="horz"/>
        <a:p>
          <a:pPr>
            <a:defRPr sz="900">
              <a:solidFill>
                <a:srgbClr val="404040"/>
              </a:solidFill>
            </a:defRPr>
          </a:pPr>
          <a:endParaRPr sz="900">
            <a:solidFill>
              <a:srgbClr val="404040"/>
            </a:solidFill>
          </a:endParaRPr>
        </a:p>
      </txPr>
    </legend>
    <plotVisOnly val="1"/>
    <dispBlanksAs val="gap"/>
  </chart>
  <spPr>
    <a:solidFill>
      <a:srgbClr val="FFFFFF"/>
    </a:solidFill>
    <a:ln>
      <a:noFill/>
      <a:prstDash val="solid"/>
    </a:ln>
  </spPr>
</chartSpace>
</file>

<file path=xl/charts/chart124.xml><?xml version="1.0" encoding="utf-8"?>
<chartSpace xmlns:a="http://schemas.openxmlformats.org/drawingml/2006/main" xmlns="http://schemas.openxmlformats.org/drawingml/2006/chart">
  <chart>
    <title>
      <tx>
        <rich>
          <a:bodyPr/>
          <a:p>
            <a:pPr>
              <a:defRPr sz="1200" b="1">
                <a:solidFill>
                  <a:srgbClr val="1F3864"/>
                </a:solidFill>
              </a:defRPr>
            </a:pPr>
            <a:r>
              <a:t>Динаміка по місяцях</a:t>
            </a:r>
          </a:p>
        </rich>
      </tx>
      <overlay val="0"/>
    </title>
    <plotArea>
      <lineChart>
        <grouping val="standard"/>
        <ser>
          <idx val="0"/>
          <order val="0"/>
          <tx>
            <strRef>
              <f>'К11 ТОВ "СИСТЕМАТИКА УКРАЇНА"'!B44</f>
            </strRef>
          </tx>
          <spPr>
            <a:ln w="22000">
              <a:solidFill>
                <a:srgbClr val="3D7EFF"/>
              </a:solidFill>
              <a:prstDash val="solid"/>
            </a:ln>
          </spPr>
          <marker>
            <symbol val="circle"/>
            <size val="5"/>
            <spPr>
              <a:solidFill>
                <a:srgbClr val="3D7EFF"/>
              </a:solidFill>
              <a:ln>
                <a:prstDash val="solid"/>
              </a:ln>
            </spPr>
          </marker>
          <cat>
            <numRef>
              <f>'К11 ТОВ "СИСТЕМАТИКА УКРАЇНА"'!$A$45:$A$50</f>
            </numRef>
          </cat>
          <val>
            <numRef>
              <f>'К11 ТОВ "СИСТЕМАТИКА УКРАЇНА"'!$B$45:$B$50</f>
            </numRef>
          </val>
          <smooth val="0"/>
        </ser>
        <axId val="10"/>
        <axId val="100"/>
      </lineChart>
      <catAx>
        <axId val="10"/>
        <scaling>
          <orientation val="minMax"/>
        </scaling>
        <delete val="0"/>
        <axPos val="l"/>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0"/>
        <lblOffset val="100"/>
      </catAx>
      <valAx>
        <axId val="100"/>
        <scaling>
          <orientation val="minMax"/>
        </scaling>
        <delete val="0"/>
        <axPos val="l"/>
        <majorGridlines>
          <spPr>
            <a:ln>
              <a:solidFill>
                <a:srgbClr val="D9D9D9"/>
              </a:solidFill>
              <a:prstDash val="solid"/>
            </a:ln>
          </spPr>
        </majorGridlines>
        <numFmt formatCode="#,##0" sourceLinked="0"/>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
      </valAx>
    </plotArea>
    <plotVisOnly val="1"/>
    <dispBlanksAs val="gap"/>
  </chart>
  <spPr>
    <a:solidFill>
      <a:srgbClr val="FFFFFF"/>
    </a:solidFill>
    <a:ln>
      <a:noFill/>
      <a:prstDash val="solid"/>
    </a:ln>
  </spPr>
</chartSpace>
</file>

<file path=xl/charts/chart125.xml><?xml version="1.0" encoding="utf-8"?>
<chartSpace xmlns:a="http://schemas.openxmlformats.org/drawingml/2006/main" xmlns="http://schemas.openxmlformats.org/drawingml/2006/chart">
  <chart>
    <title>
      <tx>
        <rich>
          <a:bodyPr/>
          <a:p>
            <a:pPr>
              <a:defRPr sz="1200" b="1">
                <a:solidFill>
                  <a:srgbClr val="1F3864"/>
                </a:solidFill>
              </a:defRPr>
            </a:pPr>
            <a:r>
              <a:t>Торгові марки у позиціях</a:t>
            </a:r>
          </a:p>
        </rich>
      </tx>
      <overlay val="0"/>
    </title>
    <plotArea>
      <pieChart>
        <varyColors val="1"/>
        <ser>
          <idx val="0"/>
          <order val="0"/>
          <tx>
            <strRef>
              <f>'К11 ТОВ "СИСТЕМАТИКА УКРАЇНА"'!B64</f>
            </strRef>
          </tx>
          <spPr>
            <a:ln>
              <a:prstDash val="solid"/>
            </a:ln>
          </spPr>
          <dPt>
            <idx val="0"/>
            <spPr>
              <a:solidFill>
                <a:srgbClr val="3D7EFF"/>
              </a:solidFill>
              <a:ln>
                <a:prstDash val="solid"/>
              </a:ln>
            </spPr>
          </dPt>
          <dPt>
            <idx val="1"/>
            <spPr>
              <a:solidFill>
                <a:srgbClr val="3ECF8E"/>
              </a:solidFill>
              <a:ln>
                <a:prstDash val="solid"/>
              </a:ln>
            </spPr>
          </dPt>
          <dPt>
            <idx val="2"/>
            <spPr>
              <a:solidFill>
                <a:srgbClr val="F0B429"/>
              </a:solidFill>
              <a:ln>
                <a:prstDash val="solid"/>
              </a:ln>
            </spPr>
          </dPt>
          <dPt>
            <idx val="3"/>
            <spPr>
              <a:solidFill>
                <a:srgbClr val="A78BFA"/>
              </a:solidFill>
              <a:ln>
                <a:prstDash val="solid"/>
              </a:ln>
            </spPr>
          </dPt>
          <dPt>
            <idx val="4"/>
            <spPr>
              <a:solidFill>
                <a:srgbClr val="22D3EE"/>
              </a:solidFill>
              <a:ln>
                <a:prstDash val="solid"/>
              </a:ln>
            </spPr>
          </dPt>
          <dPt>
            <idx val="5"/>
            <spPr>
              <a:solidFill>
                <a:srgbClr val="FB923C"/>
              </a:solidFill>
              <a:ln>
                <a:prstDash val="solid"/>
              </a:ln>
            </spPr>
          </dPt>
          <cat>
            <numRef>
              <f>'К11 ТОВ "СИСТЕМАТИКА УКРАЇНА"'!$A$65:$A$70</f>
            </numRef>
          </cat>
          <val>
            <numRef>
              <f>'К11 ТОВ "СИСТЕМАТИКА УКРАЇНА"'!$B$65:$B$70</f>
            </numRef>
          </val>
        </ser>
        <dLbls>
          <txPr>
            <a:bodyPr vert="horz"/>
            <a:p>
              <a:pPr>
                <a:defRPr sz="900">
                  <a:solidFill>
                    <a:srgbClr val="404040"/>
                  </a:solidFill>
                </a:defRPr>
              </a:pPr>
              <a:endParaRPr sz="900">
                <a:solidFill>
                  <a:srgbClr val="404040"/>
                </a:solidFill>
              </a:endParaRPr>
            </a:p>
          </txPr>
          <dLblPos val="bestFit"/>
          <showLegendKey val="0"/>
          <showVal val="0"/>
          <showCatName val="0"/>
          <showSerName val="0"/>
          <showPercent val="1"/>
          <showBubbleSize val="0"/>
          <showLeaderLines val="1"/>
        </dLbls>
        <firstSliceAng val="0"/>
      </pieChart>
    </plotArea>
    <legend>
      <legendPos val="b"/>
      <overlay val="0"/>
      <txPr>
        <a:bodyPr vert="horz"/>
        <a:p>
          <a:pPr>
            <a:defRPr sz="900">
              <a:solidFill>
                <a:srgbClr val="404040"/>
              </a:solidFill>
            </a:defRPr>
          </a:pPr>
          <a:endParaRPr sz="900">
            <a:solidFill>
              <a:srgbClr val="404040"/>
            </a:solidFill>
          </a:endParaRPr>
        </a:p>
      </txPr>
    </legend>
    <plotVisOnly val="1"/>
    <dispBlanksAs val="gap"/>
  </chart>
  <spPr>
    <a:solidFill>
      <a:srgbClr val="FFFFFF"/>
    </a:solidFill>
    <a:ln>
      <a:noFill/>
      <a:prstDash val="solid"/>
    </a:ln>
  </spPr>
</chartSpace>
</file>

<file path=xl/charts/chart126.xml><?xml version="1.0" encoding="utf-8"?>
<chartSpace xmlns:a="http://schemas.openxmlformats.org/drawingml/2006/main" xmlns="http://schemas.openxmlformats.org/drawingml/2006/chart">
  <chart>
    <title>
      <tx>
        <rich>
          <a:bodyPr/>
          <a:p>
            <a:pPr>
              <a:defRPr sz="1200" b="1">
                <a:solidFill>
                  <a:srgbClr val="1F3864"/>
                </a:solidFill>
              </a:defRPr>
            </a:pPr>
            <a:r>
              <a:t>Що саме продає</a:t>
            </a:r>
          </a:p>
        </rich>
      </tx>
      <overlay val="0"/>
    </title>
    <plotArea>
      <barChart>
        <barDir val="bar"/>
        <grouping val="clustered"/>
        <ser>
          <idx val="0"/>
          <order val="0"/>
          <tx>
            <strRef>
              <f>'К11 ТОВ "СИСТЕМАТИКА УКРАЇНА"'!B84</f>
            </strRef>
          </tx>
          <spPr>
            <a:solidFill>
              <a:srgbClr val="3D7EFF"/>
            </a:solidFill>
            <a:ln>
              <a:noFill/>
              <a:prstDash val="solid"/>
            </a:ln>
          </spPr>
          <cat>
            <numRef>
              <f>'К11 ТОВ "СИСТЕМАТИКА УКРАЇНА"'!$A$85:$A$94</f>
            </numRef>
          </cat>
          <val>
            <numRef>
              <f>'К11 ТОВ "СИСТЕМАТИКА УКРАЇНА"'!$B$85:$B$94</f>
            </numRef>
          </val>
        </ser>
        <dLbls>
          <numFmt formatCode="#,##0"/>
          <txPr>
            <a:bodyPr vert="horz"/>
            <a:p>
              <a:pPr>
                <a:defRPr sz="900">
                  <a:solidFill>
                    <a:srgbClr val="404040"/>
                  </a:solidFill>
                </a:defRPr>
              </a:pPr>
              <a:endParaRPr sz="900">
                <a:solidFill>
                  <a:srgbClr val="404040"/>
                </a:solidFill>
              </a:endParaRPr>
            </a:p>
          </txPr>
          <dLblPos val="outEnd"/>
          <showLegendKey val="0"/>
          <showVal val="1"/>
          <showCatName val="0"/>
          <showSerName val="0"/>
          <showPercent val="0"/>
          <showBubbleSize val="0"/>
        </dLbls>
        <gapWidth val="60"/>
        <axId val="10"/>
        <axId val="100"/>
      </barChart>
      <catAx>
        <axId val="10"/>
        <scaling>
          <orientation val="maxMin"/>
        </scaling>
        <delete val="0"/>
        <axPos val="l"/>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0"/>
        <lblOffset val="100"/>
      </catAx>
      <valAx>
        <axId val="100"/>
        <scaling>
          <orientation val="minMax"/>
        </scaling>
        <delete val="0"/>
        <axPos val="l"/>
        <majorGridlines>
          <spPr>
            <a:ln>
              <a:solidFill>
                <a:srgbClr val="D9D9D9"/>
              </a:solidFill>
              <a:prstDash val="solid"/>
            </a:ln>
          </spPr>
        </majorGridlines>
        <numFmt formatCode="#,##0" sourceLinked="0"/>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
        <crosses val="max"/>
      </valAx>
    </plotArea>
    <plotVisOnly val="1"/>
    <dispBlanksAs val="gap"/>
  </chart>
  <spPr>
    <a:solidFill>
      <a:srgbClr val="FFFFFF"/>
    </a:solidFill>
    <a:ln>
      <a:noFill/>
      <a:prstDash val="solid"/>
    </a:ln>
  </spPr>
</chartSpace>
</file>

<file path=xl/charts/chart127.xml><?xml version="1.0" encoding="utf-8"?>
<chartSpace xmlns:a="http://schemas.openxmlformats.org/drawingml/2006/main" xmlns="http://schemas.openxmlformats.org/drawingml/2006/chart">
  <chart>
    <title>
      <tx>
        <rich>
          <a:bodyPr/>
          <a:p>
            <a:pPr>
              <a:defRPr sz="1200" b="1">
                <a:solidFill>
                  <a:srgbClr val="1F3864"/>
                </a:solidFill>
              </a:defRPr>
            </a:pPr>
            <a:r>
              <a:t>Ключові замовники</a:t>
            </a:r>
          </a:p>
        </rich>
      </tx>
      <overlay val="0"/>
    </title>
    <plotArea>
      <barChart>
        <barDir val="bar"/>
        <grouping val="clustered"/>
        <ser>
          <idx val="0"/>
          <order val="0"/>
          <tx>
            <strRef>
              <f>'К11 ТОВ "СИСТЕМАТИКА УКРАЇНА"'!B102</f>
            </strRef>
          </tx>
          <spPr>
            <a:solidFill>
              <a:srgbClr val="3D7EFF"/>
            </a:solidFill>
            <a:ln>
              <a:noFill/>
              <a:prstDash val="solid"/>
            </a:ln>
          </spPr>
          <cat>
            <numRef>
              <f>'К11 ТОВ "СИСТЕМАТИКА УКРАЇНА"'!$A$103:$A$109</f>
            </numRef>
          </cat>
          <val>
            <numRef>
              <f>'К11 ТОВ "СИСТЕМАТИКА УКРАЇНА"'!$B$103:$B$109</f>
            </numRef>
          </val>
        </ser>
        <dLbls>
          <numFmt formatCode="#,##0"/>
          <txPr>
            <a:bodyPr vert="horz"/>
            <a:p>
              <a:pPr>
                <a:defRPr sz="900">
                  <a:solidFill>
                    <a:srgbClr val="404040"/>
                  </a:solidFill>
                </a:defRPr>
              </a:pPr>
              <a:endParaRPr sz="900">
                <a:solidFill>
                  <a:srgbClr val="404040"/>
                </a:solidFill>
              </a:endParaRPr>
            </a:p>
          </txPr>
          <dLblPos val="outEnd"/>
          <showLegendKey val="0"/>
          <showVal val="1"/>
          <showCatName val="0"/>
          <showSerName val="0"/>
          <showPercent val="0"/>
          <showBubbleSize val="0"/>
        </dLbls>
        <gapWidth val="60"/>
        <axId val="10"/>
        <axId val="100"/>
      </barChart>
      <catAx>
        <axId val="10"/>
        <scaling>
          <orientation val="maxMin"/>
        </scaling>
        <delete val="0"/>
        <axPos val="l"/>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0"/>
        <lblOffset val="100"/>
      </catAx>
      <valAx>
        <axId val="100"/>
        <scaling>
          <orientation val="minMax"/>
        </scaling>
        <delete val="0"/>
        <axPos val="l"/>
        <majorGridlines>
          <spPr>
            <a:ln>
              <a:solidFill>
                <a:srgbClr val="D9D9D9"/>
              </a:solidFill>
              <a:prstDash val="solid"/>
            </a:ln>
          </spPr>
        </majorGridlines>
        <numFmt formatCode="#,##0" sourceLinked="0"/>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
        <crosses val="max"/>
      </valAx>
    </plotArea>
    <plotVisOnly val="1"/>
    <dispBlanksAs val="gap"/>
  </chart>
  <spPr>
    <a:solidFill>
      <a:srgbClr val="FFFFFF"/>
    </a:solidFill>
    <a:ln>
      <a:noFill/>
      <a:prstDash val="solid"/>
    </a:ln>
  </spPr>
</chartSpace>
</file>

<file path=xl/charts/chart128.xml><?xml version="1.0" encoding="utf-8"?>
<chartSpace xmlns:a="http://schemas.openxmlformats.org/drawingml/2006/main" xmlns="http://schemas.openxmlformats.org/drawingml/2006/chart">
  <chart>
    <title>
      <tx>
        <rich>
          <a:bodyPr/>
          <a:p>
            <a:pPr>
              <a:defRPr sz="1200" b="1">
                <a:solidFill>
                  <a:srgbClr val="1F3864"/>
                </a:solidFill>
              </a:defRPr>
            </a:pPr>
            <a:r>
              <a:t>Процедури</a:t>
            </a:r>
          </a:p>
        </rich>
      </tx>
      <overlay val="0"/>
    </title>
    <plotArea>
      <pieChart>
        <varyColors val="1"/>
        <ser>
          <idx val="0"/>
          <order val="0"/>
          <tx>
            <strRef>
              <f>'К11 ТОВ "СИСТЕМАТИКА УКРАЇНА"'!B118</f>
            </strRef>
          </tx>
          <spPr>
            <a:ln>
              <a:prstDash val="solid"/>
            </a:ln>
          </spPr>
          <dPt>
            <idx val="0"/>
            <spPr>
              <a:solidFill>
                <a:srgbClr val="3D7EFF"/>
              </a:solidFill>
              <a:ln>
                <a:prstDash val="solid"/>
              </a:ln>
            </spPr>
          </dPt>
          <dPt>
            <idx val="1"/>
            <spPr>
              <a:solidFill>
                <a:srgbClr val="3ECF8E"/>
              </a:solidFill>
              <a:ln>
                <a:prstDash val="solid"/>
              </a:ln>
            </spPr>
          </dPt>
          <dPt>
            <idx val="2"/>
            <spPr>
              <a:solidFill>
                <a:srgbClr val="F0B429"/>
              </a:solidFill>
              <a:ln>
                <a:prstDash val="solid"/>
              </a:ln>
            </spPr>
          </dPt>
          <cat>
            <numRef>
              <f>'К11 ТОВ "СИСТЕМАТИКА УКРАЇНА"'!$A$119:$A$121</f>
            </numRef>
          </cat>
          <val>
            <numRef>
              <f>'К11 ТОВ "СИСТЕМАТИКА УКРАЇНА"'!$B$119:$B$121</f>
            </numRef>
          </val>
        </ser>
        <dLbls>
          <txPr>
            <a:bodyPr vert="horz"/>
            <a:p>
              <a:pPr>
                <a:defRPr sz="900">
                  <a:solidFill>
                    <a:srgbClr val="404040"/>
                  </a:solidFill>
                </a:defRPr>
              </a:pPr>
              <a:endParaRPr sz="900">
                <a:solidFill>
                  <a:srgbClr val="404040"/>
                </a:solidFill>
              </a:endParaRPr>
            </a:p>
          </txPr>
          <dLblPos val="bestFit"/>
          <showLegendKey val="0"/>
          <showVal val="0"/>
          <showCatName val="0"/>
          <showSerName val="0"/>
          <showPercent val="1"/>
          <showBubbleSize val="0"/>
          <showLeaderLines val="1"/>
        </dLbls>
        <firstSliceAng val="0"/>
      </pieChart>
    </plotArea>
    <legend>
      <legendPos val="b"/>
      <overlay val="0"/>
      <txPr>
        <a:bodyPr vert="horz"/>
        <a:p>
          <a:pPr>
            <a:defRPr sz="900">
              <a:solidFill>
                <a:srgbClr val="404040"/>
              </a:solidFill>
            </a:defRPr>
          </a:pPr>
          <a:endParaRPr sz="900">
            <a:solidFill>
              <a:srgbClr val="404040"/>
            </a:solidFill>
          </a:endParaRPr>
        </a:p>
      </txPr>
    </legend>
    <plotVisOnly val="1"/>
    <dispBlanksAs val="gap"/>
  </chart>
  <spPr>
    <a:solidFill>
      <a:srgbClr val="FFFFFF"/>
    </a:solidFill>
    <a:ln>
      <a:noFill/>
      <a:prstDash val="solid"/>
    </a:ln>
  </spPr>
</chartSpace>
</file>

<file path=xl/charts/chart129.xml><?xml version="1.0" encoding="utf-8"?>
<chartSpace xmlns:a="http://schemas.openxmlformats.org/drawingml/2006/main" xmlns="http://schemas.openxmlformats.org/drawingml/2006/chart">
  <chart>
    <title>
      <tx>
        <rich>
          <a:bodyPr/>
          <a:p>
            <a:pPr>
              <a:defRPr sz="1200" b="1">
                <a:solidFill>
                  <a:srgbClr val="1F3864"/>
                </a:solidFill>
              </a:defRPr>
            </a:pPr>
            <a:r>
              <a:t>Динаміка по місяцях</a:t>
            </a:r>
          </a:p>
        </rich>
      </tx>
      <overlay val="0"/>
    </title>
    <plotArea>
      <lineChart>
        <grouping val="standard"/>
        <ser>
          <idx val="0"/>
          <order val="0"/>
          <tx>
            <strRef>
              <f>'К12 ТОВ "КОРВЕТ"'!B43</f>
            </strRef>
          </tx>
          <spPr>
            <a:ln w="22000">
              <a:solidFill>
                <a:srgbClr val="3D7EFF"/>
              </a:solidFill>
              <a:prstDash val="solid"/>
            </a:ln>
          </spPr>
          <marker>
            <symbol val="circle"/>
            <size val="5"/>
            <spPr>
              <a:solidFill>
                <a:srgbClr val="3D7EFF"/>
              </a:solidFill>
              <a:ln>
                <a:prstDash val="solid"/>
              </a:ln>
            </spPr>
          </marker>
          <cat>
            <numRef>
              <f>'К12 ТОВ "КОРВЕТ"'!$A$44:$A$52</f>
            </numRef>
          </cat>
          <val>
            <numRef>
              <f>'К12 ТОВ "КОРВЕТ"'!$B$44:$B$52</f>
            </numRef>
          </val>
          <smooth val="0"/>
        </ser>
        <axId val="10"/>
        <axId val="100"/>
      </lineChart>
      <catAx>
        <axId val="10"/>
        <scaling>
          <orientation val="minMax"/>
        </scaling>
        <delete val="0"/>
        <axPos val="l"/>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0"/>
        <lblOffset val="100"/>
      </catAx>
      <valAx>
        <axId val="100"/>
        <scaling>
          <orientation val="minMax"/>
        </scaling>
        <delete val="0"/>
        <axPos val="l"/>
        <majorGridlines>
          <spPr>
            <a:ln>
              <a:solidFill>
                <a:srgbClr val="D9D9D9"/>
              </a:solidFill>
              <a:prstDash val="solid"/>
            </a:ln>
          </spPr>
        </majorGridlines>
        <numFmt formatCode="#,##0" sourceLinked="0"/>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
      </valAx>
    </plotArea>
    <plotVisOnly val="1"/>
    <dispBlanksAs val="gap"/>
  </chart>
  <spPr>
    <a:solidFill>
      <a:srgbClr val="FFFFFF"/>
    </a:solidFill>
    <a:ln>
      <a:noFill/>
      <a:prstDash val="solid"/>
    </a:ln>
  </spPr>
</chartSpace>
</file>

<file path=xl/charts/chart130.xml><?xml version="1.0" encoding="utf-8"?>
<chartSpace xmlns:a="http://schemas.openxmlformats.org/drawingml/2006/main" xmlns="http://schemas.openxmlformats.org/drawingml/2006/chart">
  <chart>
    <title>
      <tx>
        <rich>
          <a:bodyPr/>
          <a:p>
            <a:pPr>
              <a:defRPr sz="1200" b="1">
                <a:solidFill>
                  <a:srgbClr val="1F3864"/>
                </a:solidFill>
              </a:defRPr>
            </a:pPr>
            <a:r>
              <a:t>Торгові марки у позиціях</a:t>
            </a:r>
          </a:p>
        </rich>
      </tx>
      <overlay val="0"/>
    </title>
    <plotArea>
      <pieChart>
        <varyColors val="1"/>
        <ser>
          <idx val="0"/>
          <order val="0"/>
          <tx>
            <strRef>
              <f>'К12 ТОВ "КОРВЕТ"'!B63</f>
            </strRef>
          </tx>
          <spPr>
            <a:ln>
              <a:prstDash val="solid"/>
            </a:ln>
          </spPr>
          <dPt>
            <idx val="0"/>
            <spPr>
              <a:solidFill>
                <a:srgbClr val="3D7EFF"/>
              </a:solidFill>
              <a:ln>
                <a:prstDash val="solid"/>
              </a:ln>
            </spPr>
          </dPt>
          <cat>
            <numRef>
              <f>'К12 ТОВ "КОРВЕТ"'!$A$64</f>
            </numRef>
          </cat>
          <val>
            <numRef>
              <f>'К12 ТОВ "КОРВЕТ"'!$B$64</f>
            </numRef>
          </val>
        </ser>
        <dLbls>
          <txPr>
            <a:bodyPr vert="horz"/>
            <a:p>
              <a:pPr>
                <a:defRPr sz="900">
                  <a:solidFill>
                    <a:srgbClr val="404040"/>
                  </a:solidFill>
                </a:defRPr>
              </a:pPr>
              <a:endParaRPr sz="900">
                <a:solidFill>
                  <a:srgbClr val="404040"/>
                </a:solidFill>
              </a:endParaRPr>
            </a:p>
          </txPr>
          <dLblPos val="bestFit"/>
          <showLegendKey val="0"/>
          <showVal val="0"/>
          <showCatName val="0"/>
          <showSerName val="0"/>
          <showPercent val="1"/>
          <showBubbleSize val="0"/>
          <showLeaderLines val="1"/>
        </dLbls>
        <firstSliceAng val="0"/>
      </pieChart>
    </plotArea>
    <legend>
      <legendPos val="b"/>
      <overlay val="0"/>
      <txPr>
        <a:bodyPr vert="horz"/>
        <a:p>
          <a:pPr>
            <a:defRPr sz="900">
              <a:solidFill>
                <a:srgbClr val="404040"/>
              </a:solidFill>
            </a:defRPr>
          </a:pPr>
          <a:endParaRPr sz="900">
            <a:solidFill>
              <a:srgbClr val="404040"/>
            </a:solidFill>
          </a:endParaRPr>
        </a:p>
      </txPr>
    </legend>
    <plotVisOnly val="1"/>
    <dispBlanksAs val="gap"/>
  </chart>
  <spPr>
    <a:solidFill>
      <a:srgbClr val="FFFFFF"/>
    </a:solidFill>
    <a:ln>
      <a:noFill/>
      <a:prstDash val="solid"/>
    </a:ln>
  </spPr>
</chartSpace>
</file>

<file path=xl/charts/chart131.xml><?xml version="1.0" encoding="utf-8"?>
<chartSpace xmlns:a="http://schemas.openxmlformats.org/drawingml/2006/main" xmlns="http://schemas.openxmlformats.org/drawingml/2006/chart">
  <chart>
    <title>
      <tx>
        <rich>
          <a:bodyPr/>
          <a:p>
            <a:pPr>
              <a:defRPr sz="1200" b="1">
                <a:solidFill>
                  <a:srgbClr val="1F3864"/>
                </a:solidFill>
              </a:defRPr>
            </a:pPr>
            <a:r>
              <a:t>Що саме продає</a:t>
            </a:r>
          </a:p>
        </rich>
      </tx>
      <overlay val="0"/>
    </title>
    <plotArea>
      <barChart>
        <barDir val="bar"/>
        <grouping val="clustered"/>
        <ser>
          <idx val="0"/>
          <order val="0"/>
          <tx>
            <strRef>
              <f>'К12 ТОВ "КОРВЕТ"'!B83</f>
            </strRef>
          </tx>
          <spPr>
            <a:solidFill>
              <a:srgbClr val="3D7EFF"/>
            </a:solidFill>
            <a:ln>
              <a:noFill/>
              <a:prstDash val="solid"/>
            </a:ln>
          </spPr>
          <cat>
            <numRef>
              <f>'К12 ТОВ "КОРВЕТ"'!$A$84:$A$93</f>
            </numRef>
          </cat>
          <val>
            <numRef>
              <f>'К12 ТОВ "КОРВЕТ"'!$B$84:$B$93</f>
            </numRef>
          </val>
        </ser>
        <dLbls>
          <numFmt formatCode="#,##0"/>
          <txPr>
            <a:bodyPr vert="horz"/>
            <a:p>
              <a:pPr>
                <a:defRPr sz="900">
                  <a:solidFill>
                    <a:srgbClr val="404040"/>
                  </a:solidFill>
                </a:defRPr>
              </a:pPr>
              <a:endParaRPr sz="900">
                <a:solidFill>
                  <a:srgbClr val="404040"/>
                </a:solidFill>
              </a:endParaRPr>
            </a:p>
          </txPr>
          <dLblPos val="outEnd"/>
          <showLegendKey val="0"/>
          <showVal val="1"/>
          <showCatName val="0"/>
          <showSerName val="0"/>
          <showPercent val="0"/>
          <showBubbleSize val="0"/>
        </dLbls>
        <gapWidth val="60"/>
        <axId val="10"/>
        <axId val="100"/>
      </barChart>
      <catAx>
        <axId val="10"/>
        <scaling>
          <orientation val="maxMin"/>
        </scaling>
        <delete val="0"/>
        <axPos val="l"/>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0"/>
        <lblOffset val="100"/>
      </catAx>
      <valAx>
        <axId val="100"/>
        <scaling>
          <orientation val="minMax"/>
        </scaling>
        <delete val="0"/>
        <axPos val="l"/>
        <majorGridlines>
          <spPr>
            <a:ln>
              <a:solidFill>
                <a:srgbClr val="D9D9D9"/>
              </a:solidFill>
              <a:prstDash val="solid"/>
            </a:ln>
          </spPr>
        </majorGridlines>
        <numFmt formatCode="#,##0" sourceLinked="0"/>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
        <crosses val="max"/>
      </valAx>
    </plotArea>
    <plotVisOnly val="1"/>
    <dispBlanksAs val="gap"/>
  </chart>
  <spPr>
    <a:solidFill>
      <a:srgbClr val="FFFFFF"/>
    </a:solidFill>
    <a:ln>
      <a:noFill/>
      <a:prstDash val="solid"/>
    </a:ln>
  </spPr>
</chartSpace>
</file>

<file path=xl/charts/chart132.xml><?xml version="1.0" encoding="utf-8"?>
<chartSpace xmlns:a="http://schemas.openxmlformats.org/drawingml/2006/main" xmlns="http://schemas.openxmlformats.org/drawingml/2006/chart">
  <chart>
    <title>
      <tx>
        <rich>
          <a:bodyPr/>
          <a:p>
            <a:pPr>
              <a:defRPr sz="1200" b="1">
                <a:solidFill>
                  <a:srgbClr val="1F3864"/>
                </a:solidFill>
              </a:defRPr>
            </a:pPr>
            <a:r>
              <a:t>Ключові замовники</a:t>
            </a:r>
          </a:p>
        </rich>
      </tx>
      <overlay val="0"/>
    </title>
    <plotArea>
      <barChart>
        <barDir val="bar"/>
        <grouping val="clustered"/>
        <ser>
          <idx val="0"/>
          <order val="0"/>
          <tx>
            <strRef>
              <f>'К12 ТОВ "КОРВЕТ"'!B101</f>
            </strRef>
          </tx>
          <spPr>
            <a:solidFill>
              <a:srgbClr val="3D7EFF"/>
            </a:solidFill>
            <a:ln>
              <a:noFill/>
              <a:prstDash val="solid"/>
            </a:ln>
          </spPr>
          <cat>
            <numRef>
              <f>'К12 ТОВ "КОРВЕТ"'!$A$102:$A$111</f>
            </numRef>
          </cat>
          <val>
            <numRef>
              <f>'К12 ТОВ "КОРВЕТ"'!$B$102:$B$111</f>
            </numRef>
          </val>
        </ser>
        <dLbls>
          <numFmt formatCode="#,##0"/>
          <txPr>
            <a:bodyPr vert="horz"/>
            <a:p>
              <a:pPr>
                <a:defRPr sz="900">
                  <a:solidFill>
                    <a:srgbClr val="404040"/>
                  </a:solidFill>
                </a:defRPr>
              </a:pPr>
              <a:endParaRPr sz="900">
                <a:solidFill>
                  <a:srgbClr val="404040"/>
                </a:solidFill>
              </a:endParaRPr>
            </a:p>
          </txPr>
          <dLblPos val="outEnd"/>
          <showLegendKey val="0"/>
          <showVal val="1"/>
          <showCatName val="0"/>
          <showSerName val="0"/>
          <showPercent val="0"/>
          <showBubbleSize val="0"/>
        </dLbls>
        <gapWidth val="60"/>
        <axId val="10"/>
        <axId val="100"/>
      </barChart>
      <catAx>
        <axId val="10"/>
        <scaling>
          <orientation val="maxMin"/>
        </scaling>
        <delete val="0"/>
        <axPos val="l"/>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0"/>
        <lblOffset val="100"/>
      </catAx>
      <valAx>
        <axId val="100"/>
        <scaling>
          <orientation val="minMax"/>
        </scaling>
        <delete val="0"/>
        <axPos val="l"/>
        <majorGridlines>
          <spPr>
            <a:ln>
              <a:solidFill>
                <a:srgbClr val="D9D9D9"/>
              </a:solidFill>
              <a:prstDash val="solid"/>
            </a:ln>
          </spPr>
        </majorGridlines>
        <numFmt formatCode="#,##0" sourceLinked="0"/>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
        <crosses val="max"/>
      </valAx>
    </plotArea>
    <plotVisOnly val="1"/>
    <dispBlanksAs val="gap"/>
  </chart>
  <spPr>
    <a:solidFill>
      <a:srgbClr val="FFFFFF"/>
    </a:solidFill>
    <a:ln>
      <a:noFill/>
      <a:prstDash val="solid"/>
    </a:ln>
  </spPr>
</chartSpace>
</file>

<file path=xl/charts/chart133.xml><?xml version="1.0" encoding="utf-8"?>
<chartSpace xmlns:a="http://schemas.openxmlformats.org/drawingml/2006/main" xmlns="http://schemas.openxmlformats.org/drawingml/2006/chart">
  <chart>
    <title>
      <tx>
        <rich>
          <a:bodyPr/>
          <a:p>
            <a:pPr>
              <a:defRPr sz="1200" b="1">
                <a:solidFill>
                  <a:srgbClr val="1F3864"/>
                </a:solidFill>
              </a:defRPr>
            </a:pPr>
            <a:r>
              <a:t>Процедури</a:t>
            </a:r>
          </a:p>
        </rich>
      </tx>
      <overlay val="0"/>
    </title>
    <plotArea>
      <pieChart>
        <varyColors val="1"/>
        <ser>
          <idx val="0"/>
          <order val="0"/>
          <tx>
            <strRef>
              <f>'К12 ТОВ "КОРВЕТ"'!B119</f>
            </strRef>
          </tx>
          <spPr>
            <a:ln>
              <a:prstDash val="solid"/>
            </a:ln>
          </spPr>
          <dPt>
            <idx val="0"/>
            <spPr>
              <a:solidFill>
                <a:srgbClr val="3D7EFF"/>
              </a:solidFill>
              <a:ln>
                <a:prstDash val="solid"/>
              </a:ln>
            </spPr>
          </dPt>
          <dPt>
            <idx val="1"/>
            <spPr>
              <a:solidFill>
                <a:srgbClr val="3ECF8E"/>
              </a:solidFill>
              <a:ln>
                <a:prstDash val="solid"/>
              </a:ln>
            </spPr>
          </dPt>
          <dPt>
            <idx val="2"/>
            <spPr>
              <a:solidFill>
                <a:srgbClr val="F0B429"/>
              </a:solidFill>
              <a:ln>
                <a:prstDash val="solid"/>
              </a:ln>
            </spPr>
          </dPt>
          <cat>
            <numRef>
              <f>'К12 ТОВ "КОРВЕТ"'!$A$120:$A$122</f>
            </numRef>
          </cat>
          <val>
            <numRef>
              <f>'К12 ТОВ "КОРВЕТ"'!$B$120:$B$122</f>
            </numRef>
          </val>
        </ser>
        <dLbls>
          <txPr>
            <a:bodyPr vert="horz"/>
            <a:p>
              <a:pPr>
                <a:defRPr sz="900">
                  <a:solidFill>
                    <a:srgbClr val="404040"/>
                  </a:solidFill>
                </a:defRPr>
              </a:pPr>
              <a:endParaRPr sz="900">
                <a:solidFill>
                  <a:srgbClr val="404040"/>
                </a:solidFill>
              </a:endParaRPr>
            </a:p>
          </txPr>
          <dLblPos val="bestFit"/>
          <showLegendKey val="0"/>
          <showVal val="0"/>
          <showCatName val="0"/>
          <showSerName val="0"/>
          <showPercent val="1"/>
          <showBubbleSize val="0"/>
          <showLeaderLines val="1"/>
        </dLbls>
        <firstSliceAng val="0"/>
      </pieChart>
    </plotArea>
    <legend>
      <legendPos val="b"/>
      <overlay val="0"/>
      <txPr>
        <a:bodyPr vert="horz"/>
        <a:p>
          <a:pPr>
            <a:defRPr sz="900">
              <a:solidFill>
                <a:srgbClr val="404040"/>
              </a:solidFill>
            </a:defRPr>
          </a:pPr>
          <a:endParaRPr sz="900">
            <a:solidFill>
              <a:srgbClr val="404040"/>
            </a:solidFill>
          </a:endParaRPr>
        </a:p>
      </txPr>
    </legend>
    <plotVisOnly val="1"/>
    <dispBlanksAs val="gap"/>
  </chart>
  <spPr>
    <a:solidFill>
      <a:srgbClr val="FFFFFF"/>
    </a:solidFill>
    <a:ln>
      <a:noFill/>
      <a:prstDash val="solid"/>
    </a:ln>
  </spPr>
</chartSpace>
</file>

<file path=xl/charts/chart134.xml><?xml version="1.0" encoding="utf-8"?>
<chartSpace xmlns:a="http://schemas.openxmlformats.org/drawingml/2006/main" xmlns="http://schemas.openxmlformats.org/drawingml/2006/chart">
  <chart>
    <title>
      <tx>
        <rich>
          <a:bodyPr/>
          <a:p>
            <a:pPr>
              <a:defRPr sz="1200" b="1">
                <a:solidFill>
                  <a:srgbClr val="1F3864"/>
                </a:solidFill>
              </a:defRPr>
            </a:pPr>
            <a:r>
              <a:t>Що саме продає</a:t>
            </a:r>
          </a:p>
        </rich>
      </tx>
      <overlay val="0"/>
    </title>
    <plotArea>
      <barChart>
        <barDir val="bar"/>
        <grouping val="clustered"/>
        <ser>
          <idx val="0"/>
          <order val="0"/>
          <tx>
            <strRef>
              <f>'К13 ТОВ "ІНТЕРАКТИВНІ СИСТЕМИ Н'!B36</f>
            </strRef>
          </tx>
          <spPr>
            <a:solidFill>
              <a:srgbClr val="3D7EFF"/>
            </a:solidFill>
            <a:ln>
              <a:noFill/>
              <a:prstDash val="solid"/>
            </a:ln>
          </spPr>
          <cat>
            <numRef>
              <f>'К13 ТОВ "ІНТЕРАКТИВНІ СИСТЕМИ Н'!$A$37</f>
            </numRef>
          </cat>
          <val>
            <numRef>
              <f>'К13 ТОВ "ІНТЕРАКТИВНІ СИСТЕМИ Н'!$B$37</f>
            </numRef>
          </val>
        </ser>
        <dLbls>
          <numFmt formatCode="#,##0"/>
          <txPr>
            <a:bodyPr vert="horz"/>
            <a:p>
              <a:pPr>
                <a:defRPr sz="900">
                  <a:solidFill>
                    <a:srgbClr val="404040"/>
                  </a:solidFill>
                </a:defRPr>
              </a:pPr>
              <a:endParaRPr sz="900">
                <a:solidFill>
                  <a:srgbClr val="404040"/>
                </a:solidFill>
              </a:endParaRPr>
            </a:p>
          </txPr>
          <dLblPos val="outEnd"/>
          <showLegendKey val="0"/>
          <showVal val="1"/>
          <showCatName val="0"/>
          <showSerName val="0"/>
          <showPercent val="0"/>
          <showBubbleSize val="0"/>
        </dLbls>
        <gapWidth val="150"/>
        <axId val="10"/>
        <axId val="100"/>
      </barChart>
      <catAx>
        <axId val="10"/>
        <scaling>
          <orientation val="maxMin"/>
        </scaling>
        <delete val="0"/>
        <axPos val="l"/>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0"/>
        <lblOffset val="100"/>
      </catAx>
      <valAx>
        <axId val="100"/>
        <scaling>
          <orientation val="minMax"/>
        </scaling>
        <delete val="0"/>
        <axPos val="l"/>
        <majorGridlines>
          <spPr>
            <a:ln>
              <a:solidFill>
                <a:srgbClr val="D9D9D9"/>
              </a:solidFill>
              <a:prstDash val="solid"/>
            </a:ln>
          </spPr>
        </majorGridlines>
        <numFmt formatCode="#,##0" sourceLinked="0"/>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
        <crosses val="max"/>
      </valAx>
    </plotArea>
    <plotVisOnly val="1"/>
    <dispBlanksAs val="gap"/>
  </chart>
  <spPr>
    <a:solidFill>
      <a:srgbClr val="FFFFFF"/>
    </a:solidFill>
    <a:ln>
      <a:noFill/>
      <a:prstDash val="solid"/>
    </a:ln>
  </spPr>
</chartSpace>
</file>

<file path=xl/charts/chart135.xml><?xml version="1.0" encoding="utf-8"?>
<chartSpace xmlns:a="http://schemas.openxmlformats.org/drawingml/2006/main" xmlns="http://schemas.openxmlformats.org/drawingml/2006/chart">
  <chart>
    <title>
      <tx>
        <rich>
          <a:bodyPr/>
          <a:p>
            <a:pPr>
              <a:defRPr sz="1200" b="1">
                <a:solidFill>
                  <a:srgbClr val="1F3864"/>
                </a:solidFill>
              </a:defRPr>
            </a:pPr>
            <a:r>
              <a:t>Ключові замовники</a:t>
            </a:r>
          </a:p>
        </rich>
      </tx>
      <overlay val="0"/>
    </title>
    <plotArea>
      <barChart>
        <barDir val="bar"/>
        <grouping val="clustered"/>
        <ser>
          <idx val="0"/>
          <order val="0"/>
          <tx>
            <strRef>
              <f>'К13 ТОВ "ІНТЕРАКТИВНІ СИСТЕМИ Н'!B52</f>
            </strRef>
          </tx>
          <spPr>
            <a:solidFill>
              <a:srgbClr val="3D7EFF"/>
            </a:solidFill>
            <a:ln>
              <a:noFill/>
              <a:prstDash val="solid"/>
            </a:ln>
          </spPr>
          <cat>
            <numRef>
              <f>'К13 ТОВ "ІНТЕРАКТИВНІ СИСТЕМИ Н'!$A$53</f>
            </numRef>
          </cat>
          <val>
            <numRef>
              <f>'К13 ТОВ "ІНТЕРАКТИВНІ СИСТЕМИ Н'!$B$53</f>
            </numRef>
          </val>
        </ser>
        <dLbls>
          <numFmt formatCode="#,##0"/>
          <txPr>
            <a:bodyPr vert="horz"/>
            <a:p>
              <a:pPr>
                <a:defRPr sz="900">
                  <a:solidFill>
                    <a:srgbClr val="404040"/>
                  </a:solidFill>
                </a:defRPr>
              </a:pPr>
              <a:endParaRPr sz="900">
                <a:solidFill>
                  <a:srgbClr val="404040"/>
                </a:solidFill>
              </a:endParaRPr>
            </a:p>
          </txPr>
          <dLblPos val="outEnd"/>
          <showLegendKey val="0"/>
          <showVal val="1"/>
          <showCatName val="0"/>
          <showSerName val="0"/>
          <showPercent val="0"/>
          <showBubbleSize val="0"/>
        </dLbls>
        <gapWidth val="150"/>
        <axId val="10"/>
        <axId val="100"/>
      </barChart>
      <catAx>
        <axId val="10"/>
        <scaling>
          <orientation val="maxMin"/>
        </scaling>
        <delete val="0"/>
        <axPos val="l"/>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0"/>
        <lblOffset val="100"/>
      </catAx>
      <valAx>
        <axId val="100"/>
        <scaling>
          <orientation val="minMax"/>
        </scaling>
        <delete val="0"/>
        <axPos val="l"/>
        <majorGridlines>
          <spPr>
            <a:ln>
              <a:solidFill>
                <a:srgbClr val="D9D9D9"/>
              </a:solidFill>
              <a:prstDash val="solid"/>
            </a:ln>
          </spPr>
        </majorGridlines>
        <numFmt formatCode="#,##0" sourceLinked="0"/>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
        <crosses val="max"/>
      </valAx>
    </plotArea>
    <plotVisOnly val="1"/>
    <dispBlanksAs val="gap"/>
  </chart>
  <spPr>
    <a:solidFill>
      <a:srgbClr val="FFFFFF"/>
    </a:solidFill>
    <a:ln>
      <a:noFill/>
      <a:prstDash val="solid"/>
    </a:ln>
  </spPr>
</chartSpace>
</file>

<file path=xl/charts/chart136.xml><?xml version="1.0" encoding="utf-8"?>
<chartSpace xmlns:a="http://schemas.openxmlformats.org/drawingml/2006/main" xmlns="http://schemas.openxmlformats.org/drawingml/2006/chart">
  <chart>
    <title>
      <tx>
        <rich>
          <a:bodyPr/>
          <a:p>
            <a:pPr>
              <a:defRPr sz="1200" b="1">
                <a:solidFill>
                  <a:srgbClr val="1F3864"/>
                </a:solidFill>
              </a:defRPr>
            </a:pPr>
            <a:r>
              <a:t>Динаміка по місяцях</a:t>
            </a:r>
          </a:p>
        </rich>
      </tx>
      <overlay val="0"/>
    </title>
    <plotArea>
      <lineChart>
        <grouping val="standard"/>
        <ser>
          <idx val="0"/>
          <order val="0"/>
          <tx>
            <strRef>
              <f>'К14 ФОП ІВАНЧЕНКО МИКОЛА ІВАНОВ'!B39</f>
            </strRef>
          </tx>
          <spPr>
            <a:ln w="22000">
              <a:solidFill>
                <a:srgbClr val="3D7EFF"/>
              </a:solidFill>
              <a:prstDash val="solid"/>
            </a:ln>
          </spPr>
          <marker>
            <symbol val="circle"/>
            <size val="5"/>
            <spPr>
              <a:solidFill>
                <a:srgbClr val="3D7EFF"/>
              </a:solidFill>
              <a:ln>
                <a:prstDash val="solid"/>
              </a:ln>
            </spPr>
          </marker>
          <cat>
            <numRef>
              <f>'К14 ФОП ІВАНЧЕНКО МИКОЛА ІВАНОВ'!$A$40:$A$41</f>
            </numRef>
          </cat>
          <val>
            <numRef>
              <f>'К14 ФОП ІВАНЧЕНКО МИКОЛА ІВАНОВ'!$B$40:$B$41</f>
            </numRef>
          </val>
          <smooth val="0"/>
        </ser>
        <axId val="10"/>
        <axId val="100"/>
      </lineChart>
      <catAx>
        <axId val="10"/>
        <scaling>
          <orientation val="minMax"/>
        </scaling>
        <delete val="0"/>
        <axPos val="l"/>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0"/>
        <lblOffset val="100"/>
      </catAx>
      <valAx>
        <axId val="100"/>
        <scaling>
          <orientation val="minMax"/>
        </scaling>
        <delete val="0"/>
        <axPos val="l"/>
        <majorGridlines>
          <spPr>
            <a:ln>
              <a:solidFill>
                <a:srgbClr val="D9D9D9"/>
              </a:solidFill>
              <a:prstDash val="solid"/>
            </a:ln>
          </spPr>
        </majorGridlines>
        <numFmt formatCode="#,##0" sourceLinked="0"/>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
      </valAx>
    </plotArea>
    <plotVisOnly val="1"/>
    <dispBlanksAs val="gap"/>
  </chart>
  <spPr>
    <a:solidFill>
      <a:srgbClr val="FFFFFF"/>
    </a:solidFill>
    <a:ln>
      <a:noFill/>
      <a:prstDash val="solid"/>
    </a:ln>
  </spPr>
</chartSpace>
</file>

<file path=xl/charts/chart137.xml><?xml version="1.0" encoding="utf-8"?>
<chartSpace xmlns:a="http://schemas.openxmlformats.org/drawingml/2006/main" xmlns="http://schemas.openxmlformats.org/drawingml/2006/chart">
  <chart>
    <title>
      <tx>
        <rich>
          <a:bodyPr/>
          <a:p>
            <a:pPr>
              <a:defRPr sz="1200" b="1">
                <a:solidFill>
                  <a:srgbClr val="1F3864"/>
                </a:solidFill>
              </a:defRPr>
            </a:pPr>
            <a:r>
              <a:t>Що саме продає</a:t>
            </a:r>
          </a:p>
        </rich>
      </tx>
      <overlay val="0"/>
    </title>
    <plotArea>
      <barChart>
        <barDir val="bar"/>
        <grouping val="clustered"/>
        <ser>
          <idx val="0"/>
          <order val="0"/>
          <tx>
            <strRef>
              <f>'К14 ФОП ІВАНЧЕНКО МИКОЛА ІВАНОВ'!B59</f>
            </strRef>
          </tx>
          <spPr>
            <a:solidFill>
              <a:srgbClr val="3D7EFF"/>
            </a:solidFill>
            <a:ln>
              <a:noFill/>
              <a:prstDash val="solid"/>
            </a:ln>
          </spPr>
          <cat>
            <numRef>
              <f>'К14 ФОП ІВАНЧЕНКО МИКОЛА ІВАНОВ'!$A$60:$A$62</f>
            </numRef>
          </cat>
          <val>
            <numRef>
              <f>'К14 ФОП ІВАНЧЕНКО МИКОЛА ІВАНОВ'!$B$60:$B$62</f>
            </numRef>
          </val>
        </ser>
        <dLbls>
          <numFmt formatCode="#,##0"/>
          <txPr>
            <a:bodyPr vert="horz"/>
            <a:p>
              <a:pPr>
                <a:defRPr sz="900">
                  <a:solidFill>
                    <a:srgbClr val="404040"/>
                  </a:solidFill>
                </a:defRPr>
              </a:pPr>
              <a:endParaRPr sz="900">
                <a:solidFill>
                  <a:srgbClr val="404040"/>
                </a:solidFill>
              </a:endParaRPr>
            </a:p>
          </txPr>
          <dLblPos val="outEnd"/>
          <showLegendKey val="0"/>
          <showVal val="1"/>
          <showCatName val="0"/>
          <showSerName val="0"/>
          <showPercent val="0"/>
          <showBubbleSize val="0"/>
        </dLbls>
        <gapWidth val="150"/>
        <axId val="10"/>
        <axId val="100"/>
      </barChart>
      <catAx>
        <axId val="10"/>
        <scaling>
          <orientation val="maxMin"/>
        </scaling>
        <delete val="0"/>
        <axPos val="l"/>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0"/>
        <lblOffset val="100"/>
      </catAx>
      <valAx>
        <axId val="100"/>
        <scaling>
          <orientation val="minMax"/>
        </scaling>
        <delete val="0"/>
        <axPos val="l"/>
        <majorGridlines>
          <spPr>
            <a:ln>
              <a:solidFill>
                <a:srgbClr val="D9D9D9"/>
              </a:solidFill>
              <a:prstDash val="solid"/>
            </a:ln>
          </spPr>
        </majorGridlines>
        <numFmt formatCode="#,##0" sourceLinked="0"/>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
        <crosses val="max"/>
      </valAx>
    </plotArea>
    <plotVisOnly val="1"/>
    <dispBlanksAs val="gap"/>
  </chart>
  <spPr>
    <a:solidFill>
      <a:srgbClr val="FFFFFF"/>
    </a:solidFill>
    <a:ln>
      <a:noFill/>
      <a:prstDash val="solid"/>
    </a:ln>
  </spPr>
</chartSpace>
</file>

<file path=xl/charts/chart138.xml><?xml version="1.0" encoding="utf-8"?>
<chartSpace xmlns:a="http://schemas.openxmlformats.org/drawingml/2006/main" xmlns="http://schemas.openxmlformats.org/drawingml/2006/chart">
  <chart>
    <title>
      <tx>
        <rich>
          <a:bodyPr/>
          <a:p>
            <a:pPr>
              <a:defRPr sz="1200" b="1">
                <a:solidFill>
                  <a:srgbClr val="1F3864"/>
                </a:solidFill>
              </a:defRPr>
            </a:pPr>
            <a:r>
              <a:t>Ключові замовники</a:t>
            </a:r>
          </a:p>
        </rich>
      </tx>
      <overlay val="0"/>
    </title>
    <plotArea>
      <barChart>
        <barDir val="bar"/>
        <grouping val="clustered"/>
        <ser>
          <idx val="0"/>
          <order val="0"/>
          <tx>
            <strRef>
              <f>'К14 ФОП ІВАНЧЕНКО МИКОЛА ІВАНОВ'!B75</f>
            </strRef>
          </tx>
          <spPr>
            <a:solidFill>
              <a:srgbClr val="3D7EFF"/>
            </a:solidFill>
            <a:ln>
              <a:noFill/>
              <a:prstDash val="solid"/>
            </a:ln>
          </spPr>
          <cat>
            <numRef>
              <f>'К14 ФОП ІВАНЧЕНКО МИКОЛА ІВАНОВ'!$A$76:$A$78</f>
            </numRef>
          </cat>
          <val>
            <numRef>
              <f>'К14 ФОП ІВАНЧЕНКО МИКОЛА ІВАНОВ'!$B$76:$B$78</f>
            </numRef>
          </val>
        </ser>
        <dLbls>
          <numFmt formatCode="#,##0"/>
          <txPr>
            <a:bodyPr vert="horz"/>
            <a:p>
              <a:pPr>
                <a:defRPr sz="900">
                  <a:solidFill>
                    <a:srgbClr val="404040"/>
                  </a:solidFill>
                </a:defRPr>
              </a:pPr>
              <a:endParaRPr sz="900">
                <a:solidFill>
                  <a:srgbClr val="404040"/>
                </a:solidFill>
              </a:endParaRPr>
            </a:p>
          </txPr>
          <dLblPos val="outEnd"/>
          <showLegendKey val="0"/>
          <showVal val="1"/>
          <showCatName val="0"/>
          <showSerName val="0"/>
          <showPercent val="0"/>
          <showBubbleSize val="0"/>
        </dLbls>
        <gapWidth val="150"/>
        <axId val="10"/>
        <axId val="100"/>
      </barChart>
      <catAx>
        <axId val="10"/>
        <scaling>
          <orientation val="maxMin"/>
        </scaling>
        <delete val="0"/>
        <axPos val="l"/>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0"/>
        <lblOffset val="100"/>
      </catAx>
      <valAx>
        <axId val="100"/>
        <scaling>
          <orientation val="minMax"/>
        </scaling>
        <delete val="0"/>
        <axPos val="l"/>
        <majorGridlines>
          <spPr>
            <a:ln>
              <a:solidFill>
                <a:srgbClr val="D9D9D9"/>
              </a:solidFill>
              <a:prstDash val="solid"/>
            </a:ln>
          </spPr>
        </majorGridlines>
        <numFmt formatCode="#,##0" sourceLinked="0"/>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
        <crosses val="max"/>
      </valAx>
    </plotArea>
    <plotVisOnly val="1"/>
    <dispBlanksAs val="gap"/>
  </chart>
  <spPr>
    <a:solidFill>
      <a:srgbClr val="FFFFFF"/>
    </a:solidFill>
    <a:ln>
      <a:noFill/>
      <a:prstDash val="solid"/>
    </a:ln>
  </spPr>
</chartSpace>
</file>

<file path=xl/charts/chart139.xml><?xml version="1.0" encoding="utf-8"?>
<chartSpace xmlns:a="http://schemas.openxmlformats.org/drawingml/2006/main" xmlns="http://schemas.openxmlformats.org/drawingml/2006/chart">
  <chart>
    <title>
      <tx>
        <rich>
          <a:bodyPr/>
          <a:p>
            <a:pPr>
              <a:defRPr sz="1200" b="1">
                <a:solidFill>
                  <a:srgbClr val="1F3864"/>
                </a:solidFill>
              </a:defRPr>
            </a:pPr>
            <a:r>
              <a:t>Процедури</a:t>
            </a:r>
          </a:p>
        </rich>
      </tx>
      <overlay val="0"/>
    </title>
    <plotArea>
      <pieChart>
        <varyColors val="1"/>
        <ser>
          <idx val="0"/>
          <order val="0"/>
          <tx>
            <strRef>
              <f>'К14 ФОП ІВАНЧЕНКО МИКОЛА ІВАНОВ'!B91</f>
            </strRef>
          </tx>
          <spPr>
            <a:ln>
              <a:prstDash val="solid"/>
            </a:ln>
          </spPr>
          <dPt>
            <idx val="0"/>
            <spPr>
              <a:solidFill>
                <a:srgbClr val="3D7EFF"/>
              </a:solidFill>
              <a:ln>
                <a:prstDash val="solid"/>
              </a:ln>
            </spPr>
          </dPt>
          <dPt>
            <idx val="1"/>
            <spPr>
              <a:solidFill>
                <a:srgbClr val="3ECF8E"/>
              </a:solidFill>
              <a:ln>
                <a:prstDash val="solid"/>
              </a:ln>
            </spPr>
          </dPt>
          <cat>
            <numRef>
              <f>'К14 ФОП ІВАНЧЕНКО МИКОЛА ІВАНОВ'!$A$92:$A$93</f>
            </numRef>
          </cat>
          <val>
            <numRef>
              <f>'К14 ФОП ІВАНЧЕНКО МИКОЛА ІВАНОВ'!$B$92:$B$93</f>
            </numRef>
          </val>
        </ser>
        <dLbls>
          <txPr>
            <a:bodyPr vert="horz"/>
            <a:p>
              <a:pPr>
                <a:defRPr sz="900">
                  <a:solidFill>
                    <a:srgbClr val="404040"/>
                  </a:solidFill>
                </a:defRPr>
              </a:pPr>
              <a:endParaRPr sz="900">
                <a:solidFill>
                  <a:srgbClr val="404040"/>
                </a:solidFill>
              </a:endParaRPr>
            </a:p>
          </txPr>
          <dLblPos val="bestFit"/>
          <showLegendKey val="0"/>
          <showVal val="0"/>
          <showCatName val="0"/>
          <showSerName val="0"/>
          <showPercent val="1"/>
          <showBubbleSize val="0"/>
          <showLeaderLines val="1"/>
        </dLbls>
        <firstSliceAng val="0"/>
      </pieChart>
    </plotArea>
    <legend>
      <legendPos val="b"/>
      <overlay val="0"/>
      <txPr>
        <a:bodyPr vert="horz"/>
        <a:p>
          <a:pPr>
            <a:defRPr sz="900">
              <a:solidFill>
                <a:srgbClr val="404040"/>
              </a:solidFill>
            </a:defRPr>
          </a:pPr>
          <a:endParaRPr sz="900">
            <a:solidFill>
              <a:srgbClr val="404040"/>
            </a:solidFill>
          </a:endParaRPr>
        </a:p>
      </txPr>
    </legend>
    <plotVisOnly val="1"/>
    <dispBlanksAs val="gap"/>
  </chart>
  <spPr>
    <a:solidFill>
      <a:srgbClr val="FFFFFF"/>
    </a:solidFill>
    <a:ln>
      <a:noFill/>
      <a:prstDash val="solid"/>
    </a:ln>
  </spPr>
</chartSpace>
</file>

<file path=xl/charts/chart140.xml><?xml version="1.0" encoding="utf-8"?>
<chartSpace xmlns:a="http://schemas.openxmlformats.org/drawingml/2006/main" xmlns="http://schemas.openxmlformats.org/drawingml/2006/chart">
  <chart>
    <title>
      <tx>
        <rich>
          <a:bodyPr/>
          <a:p>
            <a:pPr>
              <a:defRPr sz="1200" b="1">
                <a:solidFill>
                  <a:srgbClr val="1F3864"/>
                </a:solidFill>
              </a:defRPr>
            </a:pPr>
            <a:r>
              <a:t>Динаміка по місяцях</a:t>
            </a:r>
          </a:p>
        </rich>
      </tx>
      <overlay val="0"/>
    </title>
    <plotArea>
      <lineChart>
        <grouping val="standard"/>
        <ser>
          <idx val="0"/>
          <order val="0"/>
          <tx>
            <strRef>
              <f>'К15 ТОВ "САНТАРЕКС"'!B41</f>
            </strRef>
          </tx>
          <spPr>
            <a:ln w="22000">
              <a:solidFill>
                <a:srgbClr val="3D7EFF"/>
              </a:solidFill>
              <a:prstDash val="solid"/>
            </a:ln>
          </spPr>
          <marker>
            <symbol val="circle"/>
            <size val="5"/>
            <spPr>
              <a:solidFill>
                <a:srgbClr val="3D7EFF"/>
              </a:solidFill>
              <a:ln>
                <a:prstDash val="solid"/>
              </a:ln>
            </spPr>
          </marker>
          <cat>
            <numRef>
              <f>'К15 ТОВ "САНТАРЕКС"'!$A$42:$A$53</f>
            </numRef>
          </cat>
          <val>
            <numRef>
              <f>'К15 ТОВ "САНТАРЕКС"'!$B$42:$B$53</f>
            </numRef>
          </val>
          <smooth val="0"/>
        </ser>
        <axId val="10"/>
        <axId val="100"/>
      </lineChart>
      <catAx>
        <axId val="10"/>
        <scaling>
          <orientation val="minMax"/>
        </scaling>
        <delete val="0"/>
        <axPos val="l"/>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0"/>
        <lblOffset val="100"/>
      </catAx>
      <valAx>
        <axId val="100"/>
        <scaling>
          <orientation val="minMax"/>
        </scaling>
        <delete val="0"/>
        <axPos val="l"/>
        <majorGridlines>
          <spPr>
            <a:ln>
              <a:solidFill>
                <a:srgbClr val="D9D9D9"/>
              </a:solidFill>
              <a:prstDash val="solid"/>
            </a:ln>
          </spPr>
        </majorGridlines>
        <numFmt formatCode="#,##0" sourceLinked="0"/>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
      </valAx>
    </plotArea>
    <plotVisOnly val="1"/>
    <dispBlanksAs val="gap"/>
  </chart>
  <spPr>
    <a:solidFill>
      <a:srgbClr val="FFFFFF"/>
    </a:solidFill>
    <a:ln>
      <a:noFill/>
      <a:prstDash val="solid"/>
    </a:ln>
  </spPr>
</chartSpace>
</file>

<file path=xl/charts/chart141.xml><?xml version="1.0" encoding="utf-8"?>
<chartSpace xmlns:a="http://schemas.openxmlformats.org/drawingml/2006/main" xmlns="http://schemas.openxmlformats.org/drawingml/2006/chart">
  <chart>
    <title>
      <tx>
        <rich>
          <a:bodyPr/>
          <a:p>
            <a:pPr>
              <a:defRPr sz="1200" b="1">
                <a:solidFill>
                  <a:srgbClr val="1F3864"/>
                </a:solidFill>
              </a:defRPr>
            </a:pPr>
            <a:r>
              <a:t>Торгові марки у позиціях</a:t>
            </a:r>
          </a:p>
        </rich>
      </tx>
      <overlay val="0"/>
    </title>
    <plotArea>
      <pieChart>
        <varyColors val="1"/>
        <ser>
          <idx val="0"/>
          <order val="0"/>
          <tx>
            <strRef>
              <f>'К15 ТОВ "САНТАРЕКС"'!B61</f>
            </strRef>
          </tx>
          <spPr>
            <a:ln>
              <a:prstDash val="solid"/>
            </a:ln>
          </spPr>
          <dPt>
            <idx val="0"/>
            <spPr>
              <a:solidFill>
                <a:srgbClr val="3D7EFF"/>
              </a:solidFill>
              <a:ln>
                <a:prstDash val="solid"/>
              </a:ln>
            </spPr>
          </dPt>
          <cat>
            <numRef>
              <f>'К15 ТОВ "САНТАРЕКС"'!$A$62</f>
            </numRef>
          </cat>
          <val>
            <numRef>
              <f>'К15 ТОВ "САНТАРЕКС"'!$B$62</f>
            </numRef>
          </val>
        </ser>
        <dLbls>
          <txPr>
            <a:bodyPr vert="horz"/>
            <a:p>
              <a:pPr>
                <a:defRPr sz="900">
                  <a:solidFill>
                    <a:srgbClr val="404040"/>
                  </a:solidFill>
                </a:defRPr>
              </a:pPr>
              <a:endParaRPr sz="900">
                <a:solidFill>
                  <a:srgbClr val="404040"/>
                </a:solidFill>
              </a:endParaRPr>
            </a:p>
          </txPr>
          <dLblPos val="bestFit"/>
          <showLegendKey val="0"/>
          <showVal val="0"/>
          <showCatName val="0"/>
          <showSerName val="0"/>
          <showPercent val="1"/>
          <showBubbleSize val="0"/>
          <showLeaderLines val="1"/>
        </dLbls>
        <firstSliceAng val="0"/>
      </pieChart>
    </plotArea>
    <legend>
      <legendPos val="b"/>
      <overlay val="0"/>
      <txPr>
        <a:bodyPr vert="horz"/>
        <a:p>
          <a:pPr>
            <a:defRPr sz="900">
              <a:solidFill>
                <a:srgbClr val="404040"/>
              </a:solidFill>
            </a:defRPr>
          </a:pPr>
          <a:endParaRPr sz="900">
            <a:solidFill>
              <a:srgbClr val="404040"/>
            </a:solidFill>
          </a:endParaRPr>
        </a:p>
      </txPr>
    </legend>
    <plotVisOnly val="1"/>
    <dispBlanksAs val="gap"/>
  </chart>
  <spPr>
    <a:solidFill>
      <a:srgbClr val="FFFFFF"/>
    </a:solidFill>
    <a:ln>
      <a:noFill/>
      <a:prstDash val="solid"/>
    </a:ln>
  </spPr>
</chartSpace>
</file>

<file path=xl/charts/chart142.xml><?xml version="1.0" encoding="utf-8"?>
<chartSpace xmlns:a="http://schemas.openxmlformats.org/drawingml/2006/main" xmlns="http://schemas.openxmlformats.org/drawingml/2006/chart">
  <chart>
    <title>
      <tx>
        <rich>
          <a:bodyPr/>
          <a:p>
            <a:pPr>
              <a:defRPr sz="1200" b="1">
                <a:solidFill>
                  <a:srgbClr val="1F3864"/>
                </a:solidFill>
              </a:defRPr>
            </a:pPr>
            <a:r>
              <a:t>Що саме продає</a:t>
            </a:r>
          </a:p>
        </rich>
      </tx>
      <overlay val="0"/>
    </title>
    <plotArea>
      <barChart>
        <barDir val="bar"/>
        <grouping val="clustered"/>
        <ser>
          <idx val="0"/>
          <order val="0"/>
          <tx>
            <strRef>
              <f>'К15 ТОВ "САНТАРЕКС"'!B81</f>
            </strRef>
          </tx>
          <spPr>
            <a:solidFill>
              <a:srgbClr val="3D7EFF"/>
            </a:solidFill>
            <a:ln>
              <a:noFill/>
              <a:prstDash val="solid"/>
            </a:ln>
          </spPr>
          <cat>
            <numRef>
              <f>'К15 ТОВ "САНТАРЕКС"'!$A$82:$A$91</f>
            </numRef>
          </cat>
          <val>
            <numRef>
              <f>'К15 ТОВ "САНТАРЕКС"'!$B$82:$B$91</f>
            </numRef>
          </val>
        </ser>
        <dLbls>
          <numFmt formatCode="#,##0"/>
          <txPr>
            <a:bodyPr vert="horz"/>
            <a:p>
              <a:pPr>
                <a:defRPr sz="900">
                  <a:solidFill>
                    <a:srgbClr val="404040"/>
                  </a:solidFill>
                </a:defRPr>
              </a:pPr>
              <a:endParaRPr sz="900">
                <a:solidFill>
                  <a:srgbClr val="404040"/>
                </a:solidFill>
              </a:endParaRPr>
            </a:p>
          </txPr>
          <dLblPos val="outEnd"/>
          <showLegendKey val="0"/>
          <showVal val="1"/>
          <showCatName val="0"/>
          <showSerName val="0"/>
          <showPercent val="0"/>
          <showBubbleSize val="0"/>
        </dLbls>
        <gapWidth val="60"/>
        <axId val="10"/>
        <axId val="100"/>
      </barChart>
      <catAx>
        <axId val="10"/>
        <scaling>
          <orientation val="maxMin"/>
        </scaling>
        <delete val="0"/>
        <axPos val="l"/>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0"/>
        <lblOffset val="100"/>
      </catAx>
      <valAx>
        <axId val="100"/>
        <scaling>
          <orientation val="minMax"/>
        </scaling>
        <delete val="0"/>
        <axPos val="l"/>
        <majorGridlines>
          <spPr>
            <a:ln>
              <a:solidFill>
                <a:srgbClr val="D9D9D9"/>
              </a:solidFill>
              <a:prstDash val="solid"/>
            </a:ln>
          </spPr>
        </majorGridlines>
        <numFmt formatCode="#,##0" sourceLinked="0"/>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
        <crosses val="max"/>
      </valAx>
    </plotArea>
    <plotVisOnly val="1"/>
    <dispBlanksAs val="gap"/>
  </chart>
  <spPr>
    <a:solidFill>
      <a:srgbClr val="FFFFFF"/>
    </a:solidFill>
    <a:ln>
      <a:noFill/>
      <a:prstDash val="solid"/>
    </a:ln>
  </spPr>
</chartSpace>
</file>

<file path=xl/charts/chart143.xml><?xml version="1.0" encoding="utf-8"?>
<chartSpace xmlns:a="http://schemas.openxmlformats.org/drawingml/2006/main" xmlns="http://schemas.openxmlformats.org/drawingml/2006/chart">
  <chart>
    <title>
      <tx>
        <rich>
          <a:bodyPr/>
          <a:p>
            <a:pPr>
              <a:defRPr sz="1200" b="1">
                <a:solidFill>
                  <a:srgbClr val="1F3864"/>
                </a:solidFill>
              </a:defRPr>
            </a:pPr>
            <a:r>
              <a:t>Ключові замовники</a:t>
            </a:r>
          </a:p>
        </rich>
      </tx>
      <overlay val="0"/>
    </title>
    <plotArea>
      <barChart>
        <barDir val="bar"/>
        <grouping val="clustered"/>
        <ser>
          <idx val="0"/>
          <order val="0"/>
          <tx>
            <strRef>
              <f>'К15 ТОВ "САНТАРЕКС"'!B99</f>
            </strRef>
          </tx>
          <spPr>
            <a:solidFill>
              <a:srgbClr val="3D7EFF"/>
            </a:solidFill>
            <a:ln>
              <a:noFill/>
              <a:prstDash val="solid"/>
            </a:ln>
          </spPr>
          <cat>
            <numRef>
              <f>'К15 ТОВ "САНТАРЕКС"'!$A$100:$A$109</f>
            </numRef>
          </cat>
          <val>
            <numRef>
              <f>'К15 ТОВ "САНТАРЕКС"'!$B$100:$B$109</f>
            </numRef>
          </val>
        </ser>
        <dLbls>
          <numFmt formatCode="#,##0"/>
          <txPr>
            <a:bodyPr vert="horz"/>
            <a:p>
              <a:pPr>
                <a:defRPr sz="900">
                  <a:solidFill>
                    <a:srgbClr val="404040"/>
                  </a:solidFill>
                </a:defRPr>
              </a:pPr>
              <a:endParaRPr sz="900">
                <a:solidFill>
                  <a:srgbClr val="404040"/>
                </a:solidFill>
              </a:endParaRPr>
            </a:p>
          </txPr>
          <dLblPos val="outEnd"/>
          <showLegendKey val="0"/>
          <showVal val="1"/>
          <showCatName val="0"/>
          <showSerName val="0"/>
          <showPercent val="0"/>
          <showBubbleSize val="0"/>
        </dLbls>
        <gapWidth val="60"/>
        <axId val="10"/>
        <axId val="100"/>
      </barChart>
      <catAx>
        <axId val="10"/>
        <scaling>
          <orientation val="maxMin"/>
        </scaling>
        <delete val="0"/>
        <axPos val="l"/>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0"/>
        <lblOffset val="100"/>
      </catAx>
      <valAx>
        <axId val="100"/>
        <scaling>
          <orientation val="minMax"/>
        </scaling>
        <delete val="0"/>
        <axPos val="l"/>
        <majorGridlines>
          <spPr>
            <a:ln>
              <a:solidFill>
                <a:srgbClr val="D9D9D9"/>
              </a:solidFill>
              <a:prstDash val="solid"/>
            </a:ln>
          </spPr>
        </majorGridlines>
        <numFmt formatCode="#,##0" sourceLinked="0"/>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
        <crosses val="max"/>
      </valAx>
    </plotArea>
    <plotVisOnly val="1"/>
    <dispBlanksAs val="gap"/>
  </chart>
  <spPr>
    <a:solidFill>
      <a:srgbClr val="FFFFFF"/>
    </a:solidFill>
    <a:ln>
      <a:noFill/>
      <a:prstDash val="solid"/>
    </a:ln>
  </spPr>
</chartSpace>
</file>

<file path=xl/charts/chart144.xml><?xml version="1.0" encoding="utf-8"?>
<chartSpace xmlns:a="http://schemas.openxmlformats.org/drawingml/2006/main" xmlns="http://schemas.openxmlformats.org/drawingml/2006/chart">
  <chart>
    <title>
      <tx>
        <rich>
          <a:bodyPr/>
          <a:p>
            <a:pPr>
              <a:defRPr sz="1200" b="1">
                <a:solidFill>
                  <a:srgbClr val="1F3864"/>
                </a:solidFill>
              </a:defRPr>
            </a:pPr>
            <a:r>
              <a:t>Процедури</a:t>
            </a:r>
          </a:p>
        </rich>
      </tx>
      <overlay val="0"/>
    </title>
    <plotArea>
      <pieChart>
        <varyColors val="1"/>
        <ser>
          <idx val="0"/>
          <order val="0"/>
          <tx>
            <strRef>
              <f>'К15 ТОВ "САНТАРЕКС"'!B117</f>
            </strRef>
          </tx>
          <spPr>
            <a:ln>
              <a:prstDash val="solid"/>
            </a:ln>
          </spPr>
          <dPt>
            <idx val="0"/>
            <spPr>
              <a:solidFill>
                <a:srgbClr val="3D7EFF"/>
              </a:solidFill>
              <a:ln>
                <a:prstDash val="solid"/>
              </a:ln>
            </spPr>
          </dPt>
          <dPt>
            <idx val="1"/>
            <spPr>
              <a:solidFill>
                <a:srgbClr val="3ECF8E"/>
              </a:solidFill>
              <a:ln>
                <a:prstDash val="solid"/>
              </a:ln>
            </spPr>
          </dPt>
          <cat>
            <numRef>
              <f>'К15 ТОВ "САНТАРЕКС"'!$A$118:$A$119</f>
            </numRef>
          </cat>
          <val>
            <numRef>
              <f>'К15 ТОВ "САНТАРЕКС"'!$B$118:$B$119</f>
            </numRef>
          </val>
        </ser>
        <dLbls>
          <txPr>
            <a:bodyPr vert="horz"/>
            <a:p>
              <a:pPr>
                <a:defRPr sz="900">
                  <a:solidFill>
                    <a:srgbClr val="404040"/>
                  </a:solidFill>
                </a:defRPr>
              </a:pPr>
              <a:endParaRPr sz="900">
                <a:solidFill>
                  <a:srgbClr val="404040"/>
                </a:solidFill>
              </a:endParaRPr>
            </a:p>
          </txPr>
          <dLblPos val="bestFit"/>
          <showLegendKey val="0"/>
          <showVal val="0"/>
          <showCatName val="0"/>
          <showSerName val="0"/>
          <showPercent val="1"/>
          <showBubbleSize val="0"/>
          <showLeaderLines val="1"/>
        </dLbls>
        <firstSliceAng val="0"/>
      </pieChart>
    </plotArea>
    <legend>
      <legendPos val="b"/>
      <overlay val="0"/>
      <txPr>
        <a:bodyPr vert="horz"/>
        <a:p>
          <a:pPr>
            <a:defRPr sz="900">
              <a:solidFill>
                <a:srgbClr val="404040"/>
              </a:solidFill>
            </a:defRPr>
          </a:pPr>
          <a:endParaRPr sz="900">
            <a:solidFill>
              <a:srgbClr val="404040"/>
            </a:solidFill>
          </a:endParaRPr>
        </a:p>
      </txPr>
    </legend>
    <plotVisOnly val="1"/>
    <dispBlanksAs val="gap"/>
  </chart>
  <spPr>
    <a:solidFill>
      <a:srgbClr val="FFFFFF"/>
    </a:solidFill>
    <a:ln>
      <a:noFill/>
      <a:prstDash val="solid"/>
    </a:ln>
  </spPr>
</chartSpace>
</file>

<file path=xl/charts/chart145.xml><?xml version="1.0" encoding="utf-8"?>
<chartSpace xmlns:a="http://schemas.openxmlformats.org/drawingml/2006/main" xmlns="http://schemas.openxmlformats.org/drawingml/2006/chart">
  <chart>
    <title>
      <tx>
        <rich>
          <a:bodyPr/>
          <a:p>
            <a:pPr>
              <a:defRPr sz="1200" b="1">
                <a:solidFill>
                  <a:srgbClr val="1F3864"/>
                </a:solidFill>
              </a:defRPr>
            </a:pPr>
            <a:r>
              <a:t>Динаміка по місяцях</a:t>
            </a:r>
          </a:p>
        </rich>
      </tx>
      <overlay val="0"/>
    </title>
    <plotArea>
      <lineChart>
        <grouping val="standard"/>
        <ser>
          <idx val="0"/>
          <order val="0"/>
          <tx>
            <strRef>
              <f>'К16 ТОВ "АРТЛАЙН ІНТЕГРАЦІЯ"'!B43</f>
            </strRef>
          </tx>
          <spPr>
            <a:ln w="22000">
              <a:solidFill>
                <a:srgbClr val="3D7EFF"/>
              </a:solidFill>
              <a:prstDash val="solid"/>
            </a:ln>
          </spPr>
          <marker>
            <symbol val="circle"/>
            <size val="5"/>
            <spPr>
              <a:solidFill>
                <a:srgbClr val="3D7EFF"/>
              </a:solidFill>
              <a:ln>
                <a:prstDash val="solid"/>
              </a:ln>
            </spPr>
          </marker>
          <cat>
            <numRef>
              <f>'К16 ТОВ "АРТЛАЙН ІНТЕГРАЦІЯ"'!$A$44:$A$53</f>
            </numRef>
          </cat>
          <val>
            <numRef>
              <f>'К16 ТОВ "АРТЛАЙН ІНТЕГРАЦІЯ"'!$B$44:$B$53</f>
            </numRef>
          </val>
          <smooth val="0"/>
        </ser>
        <axId val="10"/>
        <axId val="100"/>
      </lineChart>
      <catAx>
        <axId val="10"/>
        <scaling>
          <orientation val="minMax"/>
        </scaling>
        <delete val="0"/>
        <axPos val="l"/>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0"/>
        <lblOffset val="100"/>
      </catAx>
      <valAx>
        <axId val="100"/>
        <scaling>
          <orientation val="minMax"/>
        </scaling>
        <delete val="0"/>
        <axPos val="l"/>
        <majorGridlines>
          <spPr>
            <a:ln>
              <a:solidFill>
                <a:srgbClr val="D9D9D9"/>
              </a:solidFill>
              <a:prstDash val="solid"/>
            </a:ln>
          </spPr>
        </majorGridlines>
        <numFmt formatCode="#,##0" sourceLinked="0"/>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
      </valAx>
    </plotArea>
    <plotVisOnly val="1"/>
    <dispBlanksAs val="gap"/>
  </chart>
  <spPr>
    <a:solidFill>
      <a:srgbClr val="FFFFFF"/>
    </a:solidFill>
    <a:ln>
      <a:noFill/>
      <a:prstDash val="solid"/>
    </a:ln>
  </spPr>
</chartSpace>
</file>

<file path=xl/charts/chart146.xml><?xml version="1.0" encoding="utf-8"?>
<chartSpace xmlns:a="http://schemas.openxmlformats.org/drawingml/2006/main" xmlns="http://schemas.openxmlformats.org/drawingml/2006/chart">
  <chart>
    <title>
      <tx>
        <rich>
          <a:bodyPr/>
          <a:p>
            <a:pPr>
              <a:defRPr sz="1200" b="1">
                <a:solidFill>
                  <a:srgbClr val="1F3864"/>
                </a:solidFill>
              </a:defRPr>
            </a:pPr>
            <a:r>
              <a:t>Торгові марки у позиціях</a:t>
            </a:r>
          </a:p>
        </rich>
      </tx>
      <overlay val="0"/>
    </title>
    <plotArea>
      <pieChart>
        <varyColors val="1"/>
        <ser>
          <idx val="0"/>
          <order val="0"/>
          <tx>
            <strRef>
              <f>'К16 ТОВ "АРТЛАЙН ІНТЕГРАЦІЯ"'!B63</f>
            </strRef>
          </tx>
          <spPr>
            <a:ln>
              <a:prstDash val="solid"/>
            </a:ln>
          </spPr>
          <dPt>
            <idx val="0"/>
            <spPr>
              <a:solidFill>
                <a:srgbClr val="3D7EFF"/>
              </a:solidFill>
              <a:ln>
                <a:prstDash val="solid"/>
              </a:ln>
            </spPr>
          </dPt>
          <dPt>
            <idx val="1"/>
            <spPr>
              <a:solidFill>
                <a:srgbClr val="3ECF8E"/>
              </a:solidFill>
              <a:ln>
                <a:prstDash val="solid"/>
              </a:ln>
            </spPr>
          </dPt>
          <dPt>
            <idx val="2"/>
            <spPr>
              <a:solidFill>
                <a:srgbClr val="F0B429"/>
              </a:solidFill>
              <a:ln>
                <a:prstDash val="solid"/>
              </a:ln>
            </spPr>
          </dPt>
          <dPt>
            <idx val="3"/>
            <spPr>
              <a:solidFill>
                <a:srgbClr val="A78BFA"/>
              </a:solidFill>
              <a:ln>
                <a:prstDash val="solid"/>
              </a:ln>
            </spPr>
          </dPt>
          <cat>
            <numRef>
              <f>'К16 ТОВ "АРТЛАЙН ІНТЕГРАЦІЯ"'!$A$64:$A$67</f>
            </numRef>
          </cat>
          <val>
            <numRef>
              <f>'К16 ТОВ "АРТЛАЙН ІНТЕГРАЦІЯ"'!$B$64:$B$67</f>
            </numRef>
          </val>
        </ser>
        <dLbls>
          <txPr>
            <a:bodyPr vert="horz"/>
            <a:p>
              <a:pPr>
                <a:defRPr sz="900">
                  <a:solidFill>
                    <a:srgbClr val="404040"/>
                  </a:solidFill>
                </a:defRPr>
              </a:pPr>
              <a:endParaRPr sz="900">
                <a:solidFill>
                  <a:srgbClr val="404040"/>
                </a:solidFill>
              </a:endParaRPr>
            </a:p>
          </txPr>
          <dLblPos val="bestFit"/>
          <showLegendKey val="0"/>
          <showVal val="0"/>
          <showCatName val="0"/>
          <showSerName val="0"/>
          <showPercent val="1"/>
          <showBubbleSize val="0"/>
          <showLeaderLines val="1"/>
        </dLbls>
        <firstSliceAng val="0"/>
      </pieChart>
    </plotArea>
    <legend>
      <legendPos val="b"/>
      <overlay val="0"/>
      <txPr>
        <a:bodyPr vert="horz"/>
        <a:p>
          <a:pPr>
            <a:defRPr sz="900">
              <a:solidFill>
                <a:srgbClr val="404040"/>
              </a:solidFill>
            </a:defRPr>
          </a:pPr>
          <a:endParaRPr sz="900">
            <a:solidFill>
              <a:srgbClr val="404040"/>
            </a:solidFill>
          </a:endParaRPr>
        </a:p>
      </txPr>
    </legend>
    <plotVisOnly val="1"/>
    <dispBlanksAs val="gap"/>
  </chart>
  <spPr>
    <a:solidFill>
      <a:srgbClr val="FFFFFF"/>
    </a:solidFill>
    <a:ln>
      <a:noFill/>
      <a:prstDash val="solid"/>
    </a:ln>
  </spPr>
</chartSpace>
</file>

<file path=xl/charts/chart147.xml><?xml version="1.0" encoding="utf-8"?>
<chartSpace xmlns:a="http://schemas.openxmlformats.org/drawingml/2006/main" xmlns="http://schemas.openxmlformats.org/drawingml/2006/chart">
  <chart>
    <title>
      <tx>
        <rich>
          <a:bodyPr/>
          <a:p>
            <a:pPr>
              <a:defRPr sz="1200" b="1">
                <a:solidFill>
                  <a:srgbClr val="1F3864"/>
                </a:solidFill>
              </a:defRPr>
            </a:pPr>
            <a:r>
              <a:t>Що саме продає</a:t>
            </a:r>
          </a:p>
        </rich>
      </tx>
      <overlay val="0"/>
    </title>
    <plotArea>
      <barChart>
        <barDir val="bar"/>
        <grouping val="clustered"/>
        <ser>
          <idx val="0"/>
          <order val="0"/>
          <tx>
            <strRef>
              <f>'К16 ТОВ "АРТЛАЙН ІНТЕГРАЦІЯ"'!B83</f>
            </strRef>
          </tx>
          <spPr>
            <a:solidFill>
              <a:srgbClr val="3D7EFF"/>
            </a:solidFill>
            <a:ln>
              <a:noFill/>
              <a:prstDash val="solid"/>
            </a:ln>
          </spPr>
          <cat>
            <numRef>
              <f>'К16 ТОВ "АРТЛАЙН ІНТЕГРАЦІЯ"'!$A$84:$A$91</f>
            </numRef>
          </cat>
          <val>
            <numRef>
              <f>'К16 ТОВ "АРТЛАЙН ІНТЕГРАЦІЯ"'!$B$84:$B$91</f>
            </numRef>
          </val>
        </ser>
        <dLbls>
          <numFmt formatCode="#,##0"/>
          <txPr>
            <a:bodyPr vert="horz"/>
            <a:p>
              <a:pPr>
                <a:defRPr sz="900">
                  <a:solidFill>
                    <a:srgbClr val="404040"/>
                  </a:solidFill>
                </a:defRPr>
              </a:pPr>
              <a:endParaRPr sz="900">
                <a:solidFill>
                  <a:srgbClr val="404040"/>
                </a:solidFill>
              </a:endParaRPr>
            </a:p>
          </txPr>
          <dLblPos val="outEnd"/>
          <showLegendKey val="0"/>
          <showVal val="1"/>
          <showCatName val="0"/>
          <showSerName val="0"/>
          <showPercent val="0"/>
          <showBubbleSize val="0"/>
        </dLbls>
        <gapWidth val="60"/>
        <axId val="10"/>
        <axId val="100"/>
      </barChart>
      <catAx>
        <axId val="10"/>
        <scaling>
          <orientation val="maxMin"/>
        </scaling>
        <delete val="0"/>
        <axPos val="l"/>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0"/>
        <lblOffset val="100"/>
      </catAx>
      <valAx>
        <axId val="100"/>
        <scaling>
          <orientation val="minMax"/>
        </scaling>
        <delete val="0"/>
        <axPos val="l"/>
        <majorGridlines>
          <spPr>
            <a:ln>
              <a:solidFill>
                <a:srgbClr val="D9D9D9"/>
              </a:solidFill>
              <a:prstDash val="solid"/>
            </a:ln>
          </spPr>
        </majorGridlines>
        <numFmt formatCode="#,##0" sourceLinked="0"/>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
        <crosses val="max"/>
      </valAx>
    </plotArea>
    <plotVisOnly val="1"/>
    <dispBlanksAs val="gap"/>
  </chart>
  <spPr>
    <a:solidFill>
      <a:srgbClr val="FFFFFF"/>
    </a:solidFill>
    <a:ln>
      <a:noFill/>
      <a:prstDash val="solid"/>
    </a:ln>
  </spPr>
</chartSpace>
</file>

<file path=xl/charts/chart148.xml><?xml version="1.0" encoding="utf-8"?>
<chartSpace xmlns:a="http://schemas.openxmlformats.org/drawingml/2006/main" xmlns="http://schemas.openxmlformats.org/drawingml/2006/chart">
  <chart>
    <title>
      <tx>
        <rich>
          <a:bodyPr/>
          <a:p>
            <a:pPr>
              <a:defRPr sz="1200" b="1">
                <a:solidFill>
                  <a:srgbClr val="1F3864"/>
                </a:solidFill>
              </a:defRPr>
            </a:pPr>
            <a:r>
              <a:t>Ключові замовники</a:t>
            </a:r>
          </a:p>
        </rich>
      </tx>
      <overlay val="0"/>
    </title>
    <plotArea>
      <barChart>
        <barDir val="bar"/>
        <grouping val="clustered"/>
        <ser>
          <idx val="0"/>
          <order val="0"/>
          <tx>
            <strRef>
              <f>'К16 ТОВ "АРТЛАЙН ІНТЕГРАЦІЯ"'!B99</f>
            </strRef>
          </tx>
          <spPr>
            <a:solidFill>
              <a:srgbClr val="3D7EFF"/>
            </a:solidFill>
            <a:ln>
              <a:noFill/>
              <a:prstDash val="solid"/>
            </a:ln>
          </spPr>
          <cat>
            <numRef>
              <f>'К16 ТОВ "АРТЛАЙН ІНТЕГРАЦІЯ"'!$A$100:$A$105</f>
            </numRef>
          </cat>
          <val>
            <numRef>
              <f>'К16 ТОВ "АРТЛАЙН ІНТЕГРАЦІЯ"'!$B$100:$B$105</f>
            </numRef>
          </val>
        </ser>
        <dLbls>
          <numFmt formatCode="#,##0"/>
          <txPr>
            <a:bodyPr vert="horz"/>
            <a:p>
              <a:pPr>
                <a:defRPr sz="900">
                  <a:solidFill>
                    <a:srgbClr val="404040"/>
                  </a:solidFill>
                </a:defRPr>
              </a:pPr>
              <a:endParaRPr sz="900">
                <a:solidFill>
                  <a:srgbClr val="404040"/>
                </a:solidFill>
              </a:endParaRPr>
            </a:p>
          </txPr>
          <dLblPos val="outEnd"/>
          <showLegendKey val="0"/>
          <showVal val="1"/>
          <showCatName val="0"/>
          <showSerName val="0"/>
          <showPercent val="0"/>
          <showBubbleSize val="0"/>
        </dLbls>
        <gapWidth val="60"/>
        <axId val="10"/>
        <axId val="100"/>
      </barChart>
      <catAx>
        <axId val="10"/>
        <scaling>
          <orientation val="maxMin"/>
        </scaling>
        <delete val="0"/>
        <axPos val="l"/>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0"/>
        <lblOffset val="100"/>
      </catAx>
      <valAx>
        <axId val="100"/>
        <scaling>
          <orientation val="minMax"/>
        </scaling>
        <delete val="0"/>
        <axPos val="l"/>
        <majorGridlines>
          <spPr>
            <a:ln>
              <a:solidFill>
                <a:srgbClr val="D9D9D9"/>
              </a:solidFill>
              <a:prstDash val="solid"/>
            </a:ln>
          </spPr>
        </majorGridlines>
        <numFmt formatCode="#,##0" sourceLinked="0"/>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
        <crosses val="max"/>
      </valAx>
    </plotArea>
    <plotVisOnly val="1"/>
    <dispBlanksAs val="gap"/>
  </chart>
  <spPr>
    <a:solidFill>
      <a:srgbClr val="FFFFFF"/>
    </a:solidFill>
    <a:ln>
      <a:noFill/>
      <a:prstDash val="solid"/>
    </a:ln>
  </spPr>
</chartSpace>
</file>

<file path=xl/charts/chart149.xml><?xml version="1.0" encoding="utf-8"?>
<chartSpace xmlns:a="http://schemas.openxmlformats.org/drawingml/2006/main" xmlns="http://schemas.openxmlformats.org/drawingml/2006/chart">
  <chart>
    <title>
      <tx>
        <rich>
          <a:bodyPr/>
          <a:p>
            <a:pPr>
              <a:defRPr sz="1200" b="1">
                <a:solidFill>
                  <a:srgbClr val="1F3864"/>
                </a:solidFill>
              </a:defRPr>
            </a:pPr>
            <a:r>
              <a:t>Процедури</a:t>
            </a:r>
          </a:p>
        </rich>
      </tx>
      <overlay val="0"/>
    </title>
    <plotArea>
      <pieChart>
        <varyColors val="1"/>
        <ser>
          <idx val="0"/>
          <order val="0"/>
          <tx>
            <strRef>
              <f>'К16 ТОВ "АРТЛАЙН ІНТЕГРАЦІЯ"'!B115</f>
            </strRef>
          </tx>
          <spPr>
            <a:ln>
              <a:prstDash val="solid"/>
            </a:ln>
          </spPr>
          <dPt>
            <idx val="0"/>
            <spPr>
              <a:solidFill>
                <a:srgbClr val="3D7EFF"/>
              </a:solidFill>
              <a:ln>
                <a:prstDash val="solid"/>
              </a:ln>
            </spPr>
          </dPt>
          <dPt>
            <idx val="1"/>
            <spPr>
              <a:solidFill>
                <a:srgbClr val="3ECF8E"/>
              </a:solidFill>
              <a:ln>
                <a:prstDash val="solid"/>
              </a:ln>
            </spPr>
          </dPt>
          <dPt>
            <idx val="2"/>
            <spPr>
              <a:solidFill>
                <a:srgbClr val="F0B429"/>
              </a:solidFill>
              <a:ln>
                <a:prstDash val="solid"/>
              </a:ln>
            </spPr>
          </dPt>
          <dPt>
            <idx val="3"/>
            <spPr>
              <a:solidFill>
                <a:srgbClr val="A78BFA"/>
              </a:solidFill>
              <a:ln>
                <a:prstDash val="solid"/>
              </a:ln>
            </spPr>
          </dPt>
          <cat>
            <numRef>
              <f>'К16 ТОВ "АРТЛАЙН ІНТЕГРАЦІЯ"'!$A$116:$A$119</f>
            </numRef>
          </cat>
          <val>
            <numRef>
              <f>'К16 ТОВ "АРТЛАЙН ІНТЕГРАЦІЯ"'!$B$116:$B$119</f>
            </numRef>
          </val>
        </ser>
        <dLbls>
          <txPr>
            <a:bodyPr vert="horz"/>
            <a:p>
              <a:pPr>
                <a:defRPr sz="900">
                  <a:solidFill>
                    <a:srgbClr val="404040"/>
                  </a:solidFill>
                </a:defRPr>
              </a:pPr>
              <a:endParaRPr sz="900">
                <a:solidFill>
                  <a:srgbClr val="404040"/>
                </a:solidFill>
              </a:endParaRPr>
            </a:p>
          </txPr>
          <dLblPos val="bestFit"/>
          <showLegendKey val="0"/>
          <showVal val="0"/>
          <showCatName val="0"/>
          <showSerName val="0"/>
          <showPercent val="1"/>
          <showBubbleSize val="0"/>
          <showLeaderLines val="1"/>
        </dLbls>
        <firstSliceAng val="0"/>
      </pieChart>
    </plotArea>
    <legend>
      <legendPos val="b"/>
      <overlay val="0"/>
      <txPr>
        <a:bodyPr vert="horz"/>
        <a:p>
          <a:pPr>
            <a:defRPr sz="900">
              <a:solidFill>
                <a:srgbClr val="404040"/>
              </a:solidFill>
            </a:defRPr>
          </a:pPr>
          <a:endParaRPr sz="900">
            <a:solidFill>
              <a:srgbClr val="404040"/>
            </a:solidFill>
          </a:endParaRPr>
        </a:p>
      </txPr>
    </legend>
    <plotVisOnly val="1"/>
    <dispBlanksAs val="gap"/>
  </chart>
  <spPr>
    <a:solidFill>
      <a:srgbClr val="FFFFFF"/>
    </a:solidFill>
    <a:ln>
      <a:noFill/>
      <a:prstDash val="solid"/>
    </a:ln>
  </spPr>
</chartSpace>
</file>

<file path=xl/charts/chart150.xml><?xml version="1.0" encoding="utf-8"?>
<chartSpace xmlns:a="http://schemas.openxmlformats.org/drawingml/2006/main" xmlns="http://schemas.openxmlformats.org/drawingml/2006/chart">
  <chart>
    <title>
      <tx>
        <rich>
          <a:bodyPr/>
          <a:p>
            <a:pPr>
              <a:defRPr sz="1200" b="1">
                <a:solidFill>
                  <a:srgbClr val="1F3864"/>
                </a:solidFill>
              </a:defRPr>
            </a:pPr>
            <a:r>
              <a:t>Динаміка по місяцях</a:t>
            </a:r>
          </a:p>
        </rich>
      </tx>
      <overlay val="0"/>
    </title>
    <plotArea>
      <lineChart>
        <grouping val="standard"/>
        <ser>
          <idx val="0"/>
          <order val="0"/>
          <tx>
            <strRef>
              <f>'К17 ТОВ "СМАРТ ТЕХНОЛОГІЇ В ОСВ'!B36</f>
            </strRef>
          </tx>
          <spPr>
            <a:ln w="22000">
              <a:solidFill>
                <a:srgbClr val="3D7EFF"/>
              </a:solidFill>
              <a:prstDash val="solid"/>
            </a:ln>
          </spPr>
          <marker>
            <symbol val="circle"/>
            <size val="5"/>
            <spPr>
              <a:solidFill>
                <a:srgbClr val="3D7EFF"/>
              </a:solidFill>
              <a:ln>
                <a:prstDash val="solid"/>
              </a:ln>
            </spPr>
          </marker>
          <cat>
            <numRef>
              <f>'К17 ТОВ "СМАРТ ТЕХНОЛОГІЇ В ОСВ'!$A$37:$A$38</f>
            </numRef>
          </cat>
          <val>
            <numRef>
              <f>'К17 ТОВ "СМАРТ ТЕХНОЛОГІЇ В ОСВ'!$B$37:$B$38</f>
            </numRef>
          </val>
          <smooth val="0"/>
        </ser>
        <axId val="10"/>
        <axId val="100"/>
      </lineChart>
      <catAx>
        <axId val="10"/>
        <scaling>
          <orientation val="minMax"/>
        </scaling>
        <delete val="0"/>
        <axPos val="l"/>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0"/>
        <lblOffset val="100"/>
      </catAx>
      <valAx>
        <axId val="100"/>
        <scaling>
          <orientation val="minMax"/>
        </scaling>
        <delete val="0"/>
        <axPos val="l"/>
        <majorGridlines>
          <spPr>
            <a:ln>
              <a:solidFill>
                <a:srgbClr val="D9D9D9"/>
              </a:solidFill>
              <a:prstDash val="solid"/>
            </a:ln>
          </spPr>
        </majorGridlines>
        <numFmt formatCode="#,##0" sourceLinked="0"/>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
      </valAx>
    </plotArea>
    <plotVisOnly val="1"/>
    <dispBlanksAs val="gap"/>
  </chart>
  <spPr>
    <a:solidFill>
      <a:srgbClr val="FFFFFF"/>
    </a:solidFill>
    <a:ln>
      <a:noFill/>
      <a:prstDash val="solid"/>
    </a:ln>
  </spPr>
</chartSpace>
</file>

<file path=xl/charts/chart151.xml><?xml version="1.0" encoding="utf-8"?>
<chartSpace xmlns:a="http://schemas.openxmlformats.org/drawingml/2006/main" xmlns="http://schemas.openxmlformats.org/drawingml/2006/chart">
  <chart>
    <title>
      <tx>
        <rich>
          <a:bodyPr/>
          <a:p>
            <a:pPr>
              <a:defRPr sz="1200" b="1">
                <a:solidFill>
                  <a:srgbClr val="1F3864"/>
                </a:solidFill>
              </a:defRPr>
            </a:pPr>
            <a:r>
              <a:t>Що саме продає</a:t>
            </a:r>
          </a:p>
        </rich>
      </tx>
      <overlay val="0"/>
    </title>
    <plotArea>
      <barChart>
        <barDir val="bar"/>
        <grouping val="clustered"/>
        <ser>
          <idx val="0"/>
          <order val="0"/>
          <tx>
            <strRef>
              <f>'К17 ТОВ "СМАРТ ТЕХНОЛОГІЇ В ОСВ'!B56</f>
            </strRef>
          </tx>
          <spPr>
            <a:solidFill>
              <a:srgbClr val="3D7EFF"/>
            </a:solidFill>
            <a:ln>
              <a:noFill/>
              <a:prstDash val="solid"/>
            </a:ln>
          </spPr>
          <cat>
            <numRef>
              <f>'К17 ТОВ "СМАРТ ТЕХНОЛОГІЇ В ОСВ'!$A$57</f>
            </numRef>
          </cat>
          <val>
            <numRef>
              <f>'К17 ТОВ "СМАРТ ТЕХНОЛОГІЇ В ОСВ'!$B$57</f>
            </numRef>
          </val>
        </ser>
        <dLbls>
          <numFmt formatCode="#,##0"/>
          <txPr>
            <a:bodyPr vert="horz"/>
            <a:p>
              <a:pPr>
                <a:defRPr sz="900">
                  <a:solidFill>
                    <a:srgbClr val="404040"/>
                  </a:solidFill>
                </a:defRPr>
              </a:pPr>
              <a:endParaRPr sz="900">
                <a:solidFill>
                  <a:srgbClr val="404040"/>
                </a:solidFill>
              </a:endParaRPr>
            </a:p>
          </txPr>
          <dLblPos val="outEnd"/>
          <showLegendKey val="0"/>
          <showVal val="1"/>
          <showCatName val="0"/>
          <showSerName val="0"/>
          <showPercent val="0"/>
          <showBubbleSize val="0"/>
        </dLbls>
        <gapWidth val="150"/>
        <axId val="10"/>
        <axId val="100"/>
      </barChart>
      <catAx>
        <axId val="10"/>
        <scaling>
          <orientation val="maxMin"/>
        </scaling>
        <delete val="0"/>
        <axPos val="l"/>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0"/>
        <lblOffset val="100"/>
      </catAx>
      <valAx>
        <axId val="100"/>
        <scaling>
          <orientation val="minMax"/>
        </scaling>
        <delete val="0"/>
        <axPos val="l"/>
        <majorGridlines>
          <spPr>
            <a:ln>
              <a:solidFill>
                <a:srgbClr val="D9D9D9"/>
              </a:solidFill>
              <a:prstDash val="solid"/>
            </a:ln>
          </spPr>
        </majorGridlines>
        <numFmt formatCode="#,##0" sourceLinked="0"/>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
        <crosses val="max"/>
      </valAx>
    </plotArea>
    <plotVisOnly val="1"/>
    <dispBlanksAs val="gap"/>
  </chart>
  <spPr>
    <a:solidFill>
      <a:srgbClr val="FFFFFF"/>
    </a:solidFill>
    <a:ln>
      <a:noFill/>
      <a:prstDash val="solid"/>
    </a:ln>
  </spPr>
</chartSpace>
</file>

<file path=xl/charts/chart152.xml><?xml version="1.0" encoding="utf-8"?>
<chartSpace xmlns:a="http://schemas.openxmlformats.org/drawingml/2006/main" xmlns="http://schemas.openxmlformats.org/drawingml/2006/chart">
  <chart>
    <title>
      <tx>
        <rich>
          <a:bodyPr/>
          <a:p>
            <a:pPr>
              <a:defRPr sz="1200" b="1">
                <a:solidFill>
                  <a:srgbClr val="1F3864"/>
                </a:solidFill>
              </a:defRPr>
            </a:pPr>
            <a:r>
              <a:t>Ключові замовники</a:t>
            </a:r>
          </a:p>
        </rich>
      </tx>
      <overlay val="0"/>
    </title>
    <plotArea>
      <barChart>
        <barDir val="bar"/>
        <grouping val="clustered"/>
        <ser>
          <idx val="0"/>
          <order val="0"/>
          <tx>
            <strRef>
              <f>'К17 ТОВ "СМАРТ ТЕХНОЛОГІЇ В ОСВ'!B72</f>
            </strRef>
          </tx>
          <spPr>
            <a:solidFill>
              <a:srgbClr val="3D7EFF"/>
            </a:solidFill>
            <a:ln>
              <a:noFill/>
              <a:prstDash val="solid"/>
            </a:ln>
          </spPr>
          <cat>
            <numRef>
              <f>'К17 ТОВ "СМАРТ ТЕХНОЛОГІЇ В ОСВ'!$A$73:$A$74</f>
            </numRef>
          </cat>
          <val>
            <numRef>
              <f>'К17 ТОВ "СМАРТ ТЕХНОЛОГІЇ В ОСВ'!$B$73:$B$74</f>
            </numRef>
          </val>
        </ser>
        <dLbls>
          <numFmt formatCode="#,##0"/>
          <txPr>
            <a:bodyPr vert="horz"/>
            <a:p>
              <a:pPr>
                <a:defRPr sz="900">
                  <a:solidFill>
                    <a:srgbClr val="404040"/>
                  </a:solidFill>
                </a:defRPr>
              </a:pPr>
              <a:endParaRPr sz="900">
                <a:solidFill>
                  <a:srgbClr val="404040"/>
                </a:solidFill>
              </a:endParaRPr>
            </a:p>
          </txPr>
          <dLblPos val="outEnd"/>
          <showLegendKey val="0"/>
          <showVal val="1"/>
          <showCatName val="0"/>
          <showSerName val="0"/>
          <showPercent val="0"/>
          <showBubbleSize val="0"/>
        </dLbls>
        <gapWidth val="150"/>
        <axId val="10"/>
        <axId val="100"/>
      </barChart>
      <catAx>
        <axId val="10"/>
        <scaling>
          <orientation val="maxMin"/>
        </scaling>
        <delete val="0"/>
        <axPos val="l"/>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0"/>
        <lblOffset val="100"/>
      </catAx>
      <valAx>
        <axId val="100"/>
        <scaling>
          <orientation val="minMax"/>
        </scaling>
        <delete val="0"/>
        <axPos val="l"/>
        <majorGridlines>
          <spPr>
            <a:ln>
              <a:solidFill>
                <a:srgbClr val="D9D9D9"/>
              </a:solidFill>
              <a:prstDash val="solid"/>
            </a:ln>
          </spPr>
        </majorGridlines>
        <numFmt formatCode="#,##0" sourceLinked="0"/>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
        <crosses val="max"/>
      </valAx>
    </plotArea>
    <plotVisOnly val="1"/>
    <dispBlanksAs val="gap"/>
  </chart>
  <spPr>
    <a:solidFill>
      <a:srgbClr val="FFFFFF"/>
    </a:solidFill>
    <a:ln>
      <a:noFill/>
      <a:prstDash val="solid"/>
    </a:ln>
  </spPr>
</chartSpace>
</file>

<file path=xl/charts/chart153.xml><?xml version="1.0" encoding="utf-8"?>
<chartSpace xmlns:a="http://schemas.openxmlformats.org/drawingml/2006/main" xmlns="http://schemas.openxmlformats.org/drawingml/2006/chart">
  <chart>
    <title>
      <tx>
        <rich>
          <a:bodyPr/>
          <a:p>
            <a:pPr>
              <a:defRPr sz="1200" b="1">
                <a:solidFill>
                  <a:srgbClr val="1F3864"/>
                </a:solidFill>
              </a:defRPr>
            </a:pPr>
            <a:r>
              <a:t>Динаміка по місяцях</a:t>
            </a:r>
          </a:p>
        </rich>
      </tx>
      <overlay val="0"/>
    </title>
    <plotArea>
      <lineChart>
        <grouping val="standard"/>
        <ser>
          <idx val="0"/>
          <order val="0"/>
          <tx>
            <strRef>
              <f>'К18 ФОП "ВАЙДА ГАВРИЛО ІВАНОВИЧ'!B36</f>
            </strRef>
          </tx>
          <spPr>
            <a:ln w="22000">
              <a:solidFill>
                <a:srgbClr val="3D7EFF"/>
              </a:solidFill>
              <a:prstDash val="solid"/>
            </a:ln>
          </spPr>
          <marker>
            <symbol val="circle"/>
            <size val="5"/>
            <spPr>
              <a:solidFill>
                <a:srgbClr val="3D7EFF"/>
              </a:solidFill>
              <a:ln>
                <a:prstDash val="solid"/>
              </a:ln>
            </spPr>
          </marker>
          <cat>
            <numRef>
              <f>'К18 ФОП "ВАЙДА ГАВРИЛО ІВАНОВИЧ'!$A$37:$A$38</f>
            </numRef>
          </cat>
          <val>
            <numRef>
              <f>'К18 ФОП "ВАЙДА ГАВРИЛО ІВАНОВИЧ'!$B$37:$B$38</f>
            </numRef>
          </val>
          <smooth val="0"/>
        </ser>
        <axId val="10"/>
        <axId val="100"/>
      </lineChart>
      <catAx>
        <axId val="10"/>
        <scaling>
          <orientation val="minMax"/>
        </scaling>
        <delete val="0"/>
        <axPos val="l"/>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0"/>
        <lblOffset val="100"/>
      </catAx>
      <valAx>
        <axId val="100"/>
        <scaling>
          <orientation val="minMax"/>
        </scaling>
        <delete val="0"/>
        <axPos val="l"/>
        <majorGridlines>
          <spPr>
            <a:ln>
              <a:solidFill>
                <a:srgbClr val="D9D9D9"/>
              </a:solidFill>
              <a:prstDash val="solid"/>
            </a:ln>
          </spPr>
        </majorGridlines>
        <numFmt formatCode="#,##0" sourceLinked="0"/>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
      </valAx>
    </plotArea>
    <plotVisOnly val="1"/>
    <dispBlanksAs val="gap"/>
  </chart>
  <spPr>
    <a:solidFill>
      <a:srgbClr val="FFFFFF"/>
    </a:solidFill>
    <a:ln>
      <a:noFill/>
      <a:prstDash val="solid"/>
    </a:ln>
  </spPr>
</chartSpace>
</file>

<file path=xl/charts/chart154.xml><?xml version="1.0" encoding="utf-8"?>
<chartSpace xmlns:a="http://schemas.openxmlformats.org/drawingml/2006/main" xmlns="http://schemas.openxmlformats.org/drawingml/2006/chart">
  <chart>
    <title>
      <tx>
        <rich>
          <a:bodyPr/>
          <a:p>
            <a:pPr>
              <a:defRPr sz="1200" b="1">
                <a:solidFill>
                  <a:srgbClr val="1F3864"/>
                </a:solidFill>
              </a:defRPr>
            </a:pPr>
            <a:r>
              <a:t>Що саме продає</a:t>
            </a:r>
          </a:p>
        </rich>
      </tx>
      <overlay val="0"/>
    </title>
    <plotArea>
      <barChart>
        <barDir val="bar"/>
        <grouping val="clustered"/>
        <ser>
          <idx val="0"/>
          <order val="0"/>
          <tx>
            <strRef>
              <f>'К18 ФОП "ВАЙДА ГАВРИЛО ІВАНОВИЧ'!B56</f>
            </strRef>
          </tx>
          <spPr>
            <a:solidFill>
              <a:srgbClr val="3D7EFF"/>
            </a:solidFill>
            <a:ln>
              <a:noFill/>
              <a:prstDash val="solid"/>
            </a:ln>
          </spPr>
          <cat>
            <numRef>
              <f>'К18 ФОП "ВАЙДА ГАВРИЛО ІВАНОВИЧ'!$A$57:$A$58</f>
            </numRef>
          </cat>
          <val>
            <numRef>
              <f>'К18 ФОП "ВАЙДА ГАВРИЛО ІВАНОВИЧ'!$B$57:$B$58</f>
            </numRef>
          </val>
        </ser>
        <dLbls>
          <numFmt formatCode="#,##0"/>
          <txPr>
            <a:bodyPr vert="horz"/>
            <a:p>
              <a:pPr>
                <a:defRPr sz="900">
                  <a:solidFill>
                    <a:srgbClr val="404040"/>
                  </a:solidFill>
                </a:defRPr>
              </a:pPr>
              <a:endParaRPr sz="900">
                <a:solidFill>
                  <a:srgbClr val="404040"/>
                </a:solidFill>
              </a:endParaRPr>
            </a:p>
          </txPr>
          <dLblPos val="outEnd"/>
          <showLegendKey val="0"/>
          <showVal val="1"/>
          <showCatName val="0"/>
          <showSerName val="0"/>
          <showPercent val="0"/>
          <showBubbleSize val="0"/>
        </dLbls>
        <gapWidth val="150"/>
        <axId val="10"/>
        <axId val="100"/>
      </barChart>
      <catAx>
        <axId val="10"/>
        <scaling>
          <orientation val="maxMin"/>
        </scaling>
        <delete val="0"/>
        <axPos val="l"/>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0"/>
        <lblOffset val="100"/>
      </catAx>
      <valAx>
        <axId val="100"/>
        <scaling>
          <orientation val="minMax"/>
        </scaling>
        <delete val="0"/>
        <axPos val="l"/>
        <majorGridlines>
          <spPr>
            <a:ln>
              <a:solidFill>
                <a:srgbClr val="D9D9D9"/>
              </a:solidFill>
              <a:prstDash val="solid"/>
            </a:ln>
          </spPr>
        </majorGridlines>
        <numFmt formatCode="#,##0" sourceLinked="0"/>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
        <crosses val="max"/>
      </valAx>
    </plotArea>
    <plotVisOnly val="1"/>
    <dispBlanksAs val="gap"/>
  </chart>
  <spPr>
    <a:solidFill>
      <a:srgbClr val="FFFFFF"/>
    </a:solidFill>
    <a:ln>
      <a:noFill/>
      <a:prstDash val="solid"/>
    </a:ln>
  </spPr>
</chartSpace>
</file>

<file path=xl/charts/chart155.xml><?xml version="1.0" encoding="utf-8"?>
<chartSpace xmlns:a="http://schemas.openxmlformats.org/drawingml/2006/main" xmlns="http://schemas.openxmlformats.org/drawingml/2006/chart">
  <chart>
    <title>
      <tx>
        <rich>
          <a:bodyPr/>
          <a:p>
            <a:pPr>
              <a:defRPr sz="1200" b="1">
                <a:solidFill>
                  <a:srgbClr val="1F3864"/>
                </a:solidFill>
              </a:defRPr>
            </a:pPr>
            <a:r>
              <a:t>Ключові замовники</a:t>
            </a:r>
          </a:p>
        </rich>
      </tx>
      <overlay val="0"/>
    </title>
    <plotArea>
      <barChart>
        <barDir val="bar"/>
        <grouping val="clustered"/>
        <ser>
          <idx val="0"/>
          <order val="0"/>
          <tx>
            <strRef>
              <f>'К18 ФОП "ВАЙДА ГАВРИЛО ІВАНОВИЧ'!B72</f>
            </strRef>
          </tx>
          <spPr>
            <a:solidFill>
              <a:srgbClr val="3D7EFF"/>
            </a:solidFill>
            <a:ln>
              <a:noFill/>
              <a:prstDash val="solid"/>
            </a:ln>
          </spPr>
          <cat>
            <numRef>
              <f>'К18 ФОП "ВАЙДА ГАВРИЛО ІВАНОВИЧ'!$A$73</f>
            </numRef>
          </cat>
          <val>
            <numRef>
              <f>'К18 ФОП "ВАЙДА ГАВРИЛО ІВАНОВИЧ'!$B$73</f>
            </numRef>
          </val>
        </ser>
        <dLbls>
          <numFmt formatCode="#,##0"/>
          <txPr>
            <a:bodyPr vert="horz"/>
            <a:p>
              <a:pPr>
                <a:defRPr sz="900">
                  <a:solidFill>
                    <a:srgbClr val="404040"/>
                  </a:solidFill>
                </a:defRPr>
              </a:pPr>
              <a:endParaRPr sz="900">
                <a:solidFill>
                  <a:srgbClr val="404040"/>
                </a:solidFill>
              </a:endParaRPr>
            </a:p>
          </txPr>
          <dLblPos val="outEnd"/>
          <showLegendKey val="0"/>
          <showVal val="1"/>
          <showCatName val="0"/>
          <showSerName val="0"/>
          <showPercent val="0"/>
          <showBubbleSize val="0"/>
        </dLbls>
        <gapWidth val="150"/>
        <axId val="10"/>
        <axId val="100"/>
      </barChart>
      <catAx>
        <axId val="10"/>
        <scaling>
          <orientation val="maxMin"/>
        </scaling>
        <delete val="0"/>
        <axPos val="l"/>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0"/>
        <lblOffset val="100"/>
      </catAx>
      <valAx>
        <axId val="100"/>
        <scaling>
          <orientation val="minMax"/>
        </scaling>
        <delete val="0"/>
        <axPos val="l"/>
        <majorGridlines>
          <spPr>
            <a:ln>
              <a:solidFill>
                <a:srgbClr val="D9D9D9"/>
              </a:solidFill>
              <a:prstDash val="solid"/>
            </a:ln>
          </spPr>
        </majorGridlines>
        <numFmt formatCode="#,##0" sourceLinked="0"/>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
        <crosses val="max"/>
      </valAx>
    </plotArea>
    <plotVisOnly val="1"/>
    <dispBlanksAs val="gap"/>
  </chart>
  <spPr>
    <a:solidFill>
      <a:srgbClr val="FFFFFF"/>
    </a:solidFill>
    <a:ln>
      <a:noFill/>
      <a:prstDash val="solid"/>
    </a:ln>
  </spPr>
</chartSpace>
</file>

<file path=xl/charts/chart156.xml><?xml version="1.0" encoding="utf-8"?>
<chartSpace xmlns:a="http://schemas.openxmlformats.org/drawingml/2006/main" xmlns="http://schemas.openxmlformats.org/drawingml/2006/chart">
  <chart>
    <title>
      <tx>
        <rich>
          <a:bodyPr/>
          <a:p>
            <a:pPr>
              <a:defRPr sz="1200" b="1">
                <a:solidFill>
                  <a:srgbClr val="1F3864"/>
                </a:solidFill>
              </a:defRPr>
            </a:pPr>
            <a:r>
              <a:t>Динаміка по місяцях</a:t>
            </a:r>
          </a:p>
        </rich>
      </tx>
      <overlay val="0"/>
    </title>
    <plotArea>
      <lineChart>
        <grouping val="standard"/>
        <ser>
          <idx val="0"/>
          <order val="0"/>
          <tx>
            <strRef>
              <f>'К19 ФОП Цяк Валерій Михайлович'!B41</f>
            </strRef>
          </tx>
          <spPr>
            <a:ln w="22000">
              <a:solidFill>
                <a:srgbClr val="3D7EFF"/>
              </a:solidFill>
              <a:prstDash val="solid"/>
            </a:ln>
          </spPr>
          <marker>
            <symbol val="circle"/>
            <size val="5"/>
            <spPr>
              <a:solidFill>
                <a:srgbClr val="3D7EFF"/>
              </a:solidFill>
              <a:ln>
                <a:prstDash val="solid"/>
              </a:ln>
            </spPr>
          </marker>
          <cat>
            <numRef>
              <f>'К19 ФОП Цяк Валерій Михайлович'!$A$42:$A$53</f>
            </numRef>
          </cat>
          <val>
            <numRef>
              <f>'К19 ФОП Цяк Валерій Михайлович'!$B$42:$B$53</f>
            </numRef>
          </val>
          <smooth val="0"/>
        </ser>
        <axId val="10"/>
        <axId val="100"/>
      </lineChart>
      <catAx>
        <axId val="10"/>
        <scaling>
          <orientation val="minMax"/>
        </scaling>
        <delete val="0"/>
        <axPos val="l"/>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0"/>
        <lblOffset val="100"/>
      </catAx>
      <valAx>
        <axId val="100"/>
        <scaling>
          <orientation val="minMax"/>
        </scaling>
        <delete val="0"/>
        <axPos val="l"/>
        <majorGridlines>
          <spPr>
            <a:ln>
              <a:solidFill>
                <a:srgbClr val="D9D9D9"/>
              </a:solidFill>
              <a:prstDash val="solid"/>
            </a:ln>
          </spPr>
        </majorGridlines>
        <numFmt formatCode="#,##0" sourceLinked="0"/>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
      </valAx>
    </plotArea>
    <plotVisOnly val="1"/>
    <dispBlanksAs val="gap"/>
  </chart>
  <spPr>
    <a:solidFill>
      <a:srgbClr val="FFFFFF"/>
    </a:solidFill>
    <a:ln>
      <a:noFill/>
      <a:prstDash val="solid"/>
    </a:ln>
  </spPr>
</chartSpace>
</file>

<file path=xl/charts/chart157.xml><?xml version="1.0" encoding="utf-8"?>
<chartSpace xmlns:a="http://schemas.openxmlformats.org/drawingml/2006/main" xmlns="http://schemas.openxmlformats.org/drawingml/2006/chart">
  <chart>
    <title>
      <tx>
        <rich>
          <a:bodyPr/>
          <a:p>
            <a:pPr>
              <a:defRPr sz="1200" b="1">
                <a:solidFill>
                  <a:srgbClr val="1F3864"/>
                </a:solidFill>
              </a:defRPr>
            </a:pPr>
            <a:r>
              <a:t>Торгові марки у позиціях</a:t>
            </a:r>
          </a:p>
        </rich>
      </tx>
      <overlay val="0"/>
    </title>
    <plotArea>
      <pieChart>
        <varyColors val="1"/>
        <ser>
          <idx val="0"/>
          <order val="0"/>
          <tx>
            <strRef>
              <f>'К19 ФОП Цяк Валерій Михайлович'!B61</f>
            </strRef>
          </tx>
          <spPr>
            <a:ln>
              <a:prstDash val="solid"/>
            </a:ln>
          </spPr>
          <dPt>
            <idx val="0"/>
            <spPr>
              <a:solidFill>
                <a:srgbClr val="3D7EFF"/>
              </a:solidFill>
              <a:ln>
                <a:prstDash val="solid"/>
              </a:ln>
            </spPr>
          </dPt>
          <dPt>
            <idx val="1"/>
            <spPr>
              <a:solidFill>
                <a:srgbClr val="3ECF8E"/>
              </a:solidFill>
              <a:ln>
                <a:prstDash val="solid"/>
              </a:ln>
            </spPr>
          </dPt>
          <dPt>
            <idx val="2"/>
            <spPr>
              <a:solidFill>
                <a:srgbClr val="F0B429"/>
              </a:solidFill>
              <a:ln>
                <a:prstDash val="solid"/>
              </a:ln>
            </spPr>
          </dPt>
          <dPt>
            <idx val="3"/>
            <spPr>
              <a:solidFill>
                <a:srgbClr val="A78BFA"/>
              </a:solidFill>
              <a:ln>
                <a:prstDash val="solid"/>
              </a:ln>
            </spPr>
          </dPt>
          <dPt>
            <idx val="4"/>
            <spPr>
              <a:solidFill>
                <a:srgbClr val="22D3EE"/>
              </a:solidFill>
              <a:ln>
                <a:prstDash val="solid"/>
              </a:ln>
            </spPr>
          </dPt>
          <dPt>
            <idx val="5"/>
            <spPr>
              <a:solidFill>
                <a:srgbClr val="FB923C"/>
              </a:solidFill>
              <a:ln>
                <a:prstDash val="solid"/>
              </a:ln>
            </spPr>
          </dPt>
          <dPt>
            <idx val="6"/>
            <spPr>
              <a:solidFill>
                <a:srgbClr val="F472B6"/>
              </a:solidFill>
              <a:ln>
                <a:prstDash val="solid"/>
              </a:ln>
            </spPr>
          </dPt>
          <dPt>
            <idx val="7"/>
            <spPr>
              <a:solidFill>
                <a:srgbClr val="84CC16"/>
              </a:solidFill>
              <a:ln>
                <a:prstDash val="solid"/>
              </a:ln>
            </spPr>
          </dPt>
          <cat>
            <numRef>
              <f>'К19 ФОП Цяк Валерій Михайлович'!$A$62:$A$69</f>
            </numRef>
          </cat>
          <val>
            <numRef>
              <f>'К19 ФОП Цяк Валерій Михайлович'!$B$62:$B$69</f>
            </numRef>
          </val>
        </ser>
        <dLbls>
          <txPr>
            <a:bodyPr vert="horz"/>
            <a:p>
              <a:pPr>
                <a:defRPr sz="900">
                  <a:solidFill>
                    <a:srgbClr val="404040"/>
                  </a:solidFill>
                </a:defRPr>
              </a:pPr>
              <a:endParaRPr sz="900">
                <a:solidFill>
                  <a:srgbClr val="404040"/>
                </a:solidFill>
              </a:endParaRPr>
            </a:p>
          </txPr>
          <dLblPos val="bestFit"/>
          <showLegendKey val="0"/>
          <showVal val="0"/>
          <showCatName val="0"/>
          <showSerName val="0"/>
          <showPercent val="1"/>
          <showBubbleSize val="0"/>
          <showLeaderLines val="1"/>
        </dLbls>
        <firstSliceAng val="0"/>
      </pieChart>
    </plotArea>
    <legend>
      <legendPos val="b"/>
      <overlay val="0"/>
      <txPr>
        <a:bodyPr vert="horz"/>
        <a:p>
          <a:pPr>
            <a:defRPr sz="900">
              <a:solidFill>
                <a:srgbClr val="404040"/>
              </a:solidFill>
            </a:defRPr>
          </a:pPr>
          <a:endParaRPr sz="900">
            <a:solidFill>
              <a:srgbClr val="404040"/>
            </a:solidFill>
          </a:endParaRPr>
        </a:p>
      </txPr>
    </legend>
    <plotVisOnly val="1"/>
    <dispBlanksAs val="gap"/>
  </chart>
  <spPr>
    <a:solidFill>
      <a:srgbClr val="FFFFFF"/>
    </a:solidFill>
    <a:ln>
      <a:noFill/>
      <a:prstDash val="solid"/>
    </a:ln>
  </spPr>
</chartSpace>
</file>

<file path=xl/charts/chart158.xml><?xml version="1.0" encoding="utf-8"?>
<chartSpace xmlns:a="http://schemas.openxmlformats.org/drawingml/2006/main" xmlns="http://schemas.openxmlformats.org/drawingml/2006/chart">
  <chart>
    <title>
      <tx>
        <rich>
          <a:bodyPr/>
          <a:p>
            <a:pPr>
              <a:defRPr sz="1200" b="1">
                <a:solidFill>
                  <a:srgbClr val="1F3864"/>
                </a:solidFill>
              </a:defRPr>
            </a:pPr>
            <a:r>
              <a:t>Що саме продає</a:t>
            </a:r>
          </a:p>
        </rich>
      </tx>
      <overlay val="0"/>
    </title>
    <plotArea>
      <barChart>
        <barDir val="bar"/>
        <grouping val="clustered"/>
        <ser>
          <idx val="0"/>
          <order val="0"/>
          <tx>
            <strRef>
              <f>'К19 ФОП Цяк Валерій Михайлович'!B81</f>
            </strRef>
          </tx>
          <spPr>
            <a:solidFill>
              <a:srgbClr val="3D7EFF"/>
            </a:solidFill>
            <a:ln>
              <a:noFill/>
              <a:prstDash val="solid"/>
            </a:ln>
          </spPr>
          <cat>
            <numRef>
              <f>'К19 ФОП Цяк Валерій Михайлович'!$A$82:$A$91</f>
            </numRef>
          </cat>
          <val>
            <numRef>
              <f>'К19 ФОП Цяк Валерій Михайлович'!$B$82:$B$91</f>
            </numRef>
          </val>
        </ser>
        <dLbls>
          <numFmt formatCode="#,##0"/>
          <txPr>
            <a:bodyPr vert="horz"/>
            <a:p>
              <a:pPr>
                <a:defRPr sz="900">
                  <a:solidFill>
                    <a:srgbClr val="404040"/>
                  </a:solidFill>
                </a:defRPr>
              </a:pPr>
              <a:endParaRPr sz="900">
                <a:solidFill>
                  <a:srgbClr val="404040"/>
                </a:solidFill>
              </a:endParaRPr>
            </a:p>
          </txPr>
          <dLblPos val="outEnd"/>
          <showLegendKey val="0"/>
          <showVal val="1"/>
          <showCatName val="0"/>
          <showSerName val="0"/>
          <showPercent val="0"/>
          <showBubbleSize val="0"/>
        </dLbls>
        <gapWidth val="60"/>
        <axId val="10"/>
        <axId val="100"/>
      </barChart>
      <catAx>
        <axId val="10"/>
        <scaling>
          <orientation val="maxMin"/>
        </scaling>
        <delete val="0"/>
        <axPos val="l"/>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0"/>
        <lblOffset val="100"/>
      </catAx>
      <valAx>
        <axId val="100"/>
        <scaling>
          <orientation val="minMax"/>
        </scaling>
        <delete val="0"/>
        <axPos val="l"/>
        <majorGridlines>
          <spPr>
            <a:ln>
              <a:solidFill>
                <a:srgbClr val="D9D9D9"/>
              </a:solidFill>
              <a:prstDash val="solid"/>
            </a:ln>
          </spPr>
        </majorGridlines>
        <numFmt formatCode="#,##0" sourceLinked="0"/>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
        <crosses val="max"/>
      </valAx>
    </plotArea>
    <plotVisOnly val="1"/>
    <dispBlanksAs val="gap"/>
  </chart>
  <spPr>
    <a:solidFill>
      <a:srgbClr val="FFFFFF"/>
    </a:solidFill>
    <a:ln>
      <a:noFill/>
      <a:prstDash val="solid"/>
    </a:ln>
  </spPr>
</chartSpace>
</file>

<file path=xl/charts/chart159.xml><?xml version="1.0" encoding="utf-8"?>
<chartSpace xmlns:a="http://schemas.openxmlformats.org/drawingml/2006/main" xmlns="http://schemas.openxmlformats.org/drawingml/2006/chart">
  <chart>
    <title>
      <tx>
        <rich>
          <a:bodyPr/>
          <a:p>
            <a:pPr>
              <a:defRPr sz="1200" b="1">
                <a:solidFill>
                  <a:srgbClr val="1F3864"/>
                </a:solidFill>
              </a:defRPr>
            </a:pPr>
            <a:r>
              <a:t>Ключові замовники</a:t>
            </a:r>
          </a:p>
        </rich>
      </tx>
      <overlay val="0"/>
    </title>
    <plotArea>
      <barChart>
        <barDir val="bar"/>
        <grouping val="clustered"/>
        <ser>
          <idx val="0"/>
          <order val="0"/>
          <tx>
            <strRef>
              <f>'К19 ФОП Цяк Валерій Михайлович'!B99</f>
            </strRef>
          </tx>
          <spPr>
            <a:solidFill>
              <a:srgbClr val="3D7EFF"/>
            </a:solidFill>
            <a:ln>
              <a:noFill/>
              <a:prstDash val="solid"/>
            </a:ln>
          </spPr>
          <cat>
            <numRef>
              <f>'К19 ФОП Цяк Валерій Михайлович'!$A$100:$A$109</f>
            </numRef>
          </cat>
          <val>
            <numRef>
              <f>'К19 ФОП Цяк Валерій Михайлович'!$B$100:$B$109</f>
            </numRef>
          </val>
        </ser>
        <dLbls>
          <numFmt formatCode="#,##0"/>
          <txPr>
            <a:bodyPr vert="horz"/>
            <a:p>
              <a:pPr>
                <a:defRPr sz="900">
                  <a:solidFill>
                    <a:srgbClr val="404040"/>
                  </a:solidFill>
                </a:defRPr>
              </a:pPr>
              <a:endParaRPr sz="900">
                <a:solidFill>
                  <a:srgbClr val="404040"/>
                </a:solidFill>
              </a:endParaRPr>
            </a:p>
          </txPr>
          <dLblPos val="outEnd"/>
          <showLegendKey val="0"/>
          <showVal val="1"/>
          <showCatName val="0"/>
          <showSerName val="0"/>
          <showPercent val="0"/>
          <showBubbleSize val="0"/>
        </dLbls>
        <gapWidth val="60"/>
        <axId val="10"/>
        <axId val="100"/>
      </barChart>
      <catAx>
        <axId val="10"/>
        <scaling>
          <orientation val="maxMin"/>
        </scaling>
        <delete val="0"/>
        <axPos val="l"/>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0"/>
        <lblOffset val="100"/>
      </catAx>
      <valAx>
        <axId val="100"/>
        <scaling>
          <orientation val="minMax"/>
        </scaling>
        <delete val="0"/>
        <axPos val="l"/>
        <majorGridlines>
          <spPr>
            <a:ln>
              <a:solidFill>
                <a:srgbClr val="D9D9D9"/>
              </a:solidFill>
              <a:prstDash val="solid"/>
            </a:ln>
          </spPr>
        </majorGridlines>
        <numFmt formatCode="#,##0" sourceLinked="0"/>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
        <crosses val="max"/>
      </valAx>
    </plotArea>
    <plotVisOnly val="1"/>
    <dispBlanksAs val="gap"/>
  </chart>
  <spPr>
    <a:solidFill>
      <a:srgbClr val="FFFFFF"/>
    </a:solidFill>
    <a:ln>
      <a:noFill/>
      <a:prstDash val="solid"/>
    </a:ln>
  </spPr>
</chartSpace>
</file>

<file path=xl/charts/chart160.xml><?xml version="1.0" encoding="utf-8"?>
<chartSpace xmlns:a="http://schemas.openxmlformats.org/drawingml/2006/main" xmlns="http://schemas.openxmlformats.org/drawingml/2006/chart">
  <chart>
    <title>
      <tx>
        <rich>
          <a:bodyPr/>
          <a:p>
            <a:pPr>
              <a:defRPr sz="1200" b="1">
                <a:solidFill>
                  <a:srgbClr val="1F3864"/>
                </a:solidFill>
              </a:defRPr>
            </a:pPr>
            <a:r>
              <a:t>Динаміка по місяцях</a:t>
            </a:r>
          </a:p>
        </rich>
      </tx>
      <overlay val="0"/>
    </title>
    <plotArea>
      <lineChart>
        <grouping val="standard"/>
        <ser>
          <idx val="0"/>
          <order val="0"/>
          <tx>
            <strRef>
              <f>'К20 ТОВ "ДИДАКТИКЛАБ"'!B39</f>
            </strRef>
          </tx>
          <spPr>
            <a:ln w="22000">
              <a:solidFill>
                <a:srgbClr val="3D7EFF"/>
              </a:solidFill>
              <a:prstDash val="solid"/>
            </a:ln>
          </spPr>
          <marker>
            <symbol val="circle"/>
            <size val="5"/>
            <spPr>
              <a:solidFill>
                <a:srgbClr val="3D7EFF"/>
              </a:solidFill>
              <a:ln>
                <a:prstDash val="solid"/>
              </a:ln>
            </spPr>
          </marker>
          <cat>
            <numRef>
              <f>'К20 ТОВ "ДИДАКТИКЛАБ"'!$A$40:$A$43</f>
            </numRef>
          </cat>
          <val>
            <numRef>
              <f>'К20 ТОВ "ДИДАКТИКЛАБ"'!$B$40:$B$43</f>
            </numRef>
          </val>
          <smooth val="0"/>
        </ser>
        <axId val="10"/>
        <axId val="100"/>
      </lineChart>
      <catAx>
        <axId val="10"/>
        <scaling>
          <orientation val="minMax"/>
        </scaling>
        <delete val="0"/>
        <axPos val="l"/>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0"/>
        <lblOffset val="100"/>
      </catAx>
      <valAx>
        <axId val="100"/>
        <scaling>
          <orientation val="minMax"/>
        </scaling>
        <delete val="0"/>
        <axPos val="l"/>
        <majorGridlines>
          <spPr>
            <a:ln>
              <a:solidFill>
                <a:srgbClr val="D9D9D9"/>
              </a:solidFill>
              <a:prstDash val="solid"/>
            </a:ln>
          </spPr>
        </majorGridlines>
        <numFmt formatCode="#,##0" sourceLinked="0"/>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
      </valAx>
    </plotArea>
    <plotVisOnly val="1"/>
    <dispBlanksAs val="gap"/>
  </chart>
  <spPr>
    <a:solidFill>
      <a:srgbClr val="FFFFFF"/>
    </a:solidFill>
    <a:ln>
      <a:noFill/>
      <a:prstDash val="solid"/>
    </a:ln>
  </spPr>
</chartSpace>
</file>

<file path=xl/charts/chart161.xml><?xml version="1.0" encoding="utf-8"?>
<chartSpace xmlns:a="http://schemas.openxmlformats.org/drawingml/2006/main" xmlns="http://schemas.openxmlformats.org/drawingml/2006/chart">
  <chart>
    <title>
      <tx>
        <rich>
          <a:bodyPr/>
          <a:p>
            <a:pPr>
              <a:defRPr sz="1200" b="1">
                <a:solidFill>
                  <a:srgbClr val="1F3864"/>
                </a:solidFill>
              </a:defRPr>
            </a:pPr>
            <a:r>
              <a:t>Торгові марки у позиціях</a:t>
            </a:r>
          </a:p>
        </rich>
      </tx>
      <overlay val="0"/>
    </title>
    <plotArea>
      <pieChart>
        <varyColors val="1"/>
        <ser>
          <idx val="0"/>
          <order val="0"/>
          <tx>
            <strRef>
              <f>'К20 ТОВ "ДИДАКТИКЛАБ"'!B59</f>
            </strRef>
          </tx>
          <spPr>
            <a:ln>
              <a:prstDash val="solid"/>
            </a:ln>
          </spPr>
          <dPt>
            <idx val="0"/>
            <spPr>
              <a:solidFill>
                <a:srgbClr val="3D7EFF"/>
              </a:solidFill>
              <a:ln>
                <a:prstDash val="solid"/>
              </a:ln>
            </spPr>
          </dPt>
          <dPt>
            <idx val="1"/>
            <spPr>
              <a:solidFill>
                <a:srgbClr val="3ECF8E"/>
              </a:solidFill>
              <a:ln>
                <a:prstDash val="solid"/>
              </a:ln>
            </spPr>
          </dPt>
          <dPt>
            <idx val="2"/>
            <spPr>
              <a:solidFill>
                <a:srgbClr val="F0B429"/>
              </a:solidFill>
              <a:ln>
                <a:prstDash val="solid"/>
              </a:ln>
            </spPr>
          </dPt>
          <dPt>
            <idx val="3"/>
            <spPr>
              <a:solidFill>
                <a:srgbClr val="A78BFA"/>
              </a:solidFill>
              <a:ln>
                <a:prstDash val="solid"/>
              </a:ln>
            </spPr>
          </dPt>
          <cat>
            <numRef>
              <f>'К20 ТОВ "ДИДАКТИКЛАБ"'!$A$60:$A$63</f>
            </numRef>
          </cat>
          <val>
            <numRef>
              <f>'К20 ТОВ "ДИДАКТИКЛАБ"'!$B$60:$B$63</f>
            </numRef>
          </val>
        </ser>
        <dLbls>
          <txPr>
            <a:bodyPr vert="horz"/>
            <a:p>
              <a:pPr>
                <a:defRPr sz="900">
                  <a:solidFill>
                    <a:srgbClr val="404040"/>
                  </a:solidFill>
                </a:defRPr>
              </a:pPr>
              <a:endParaRPr sz="900">
                <a:solidFill>
                  <a:srgbClr val="404040"/>
                </a:solidFill>
              </a:endParaRPr>
            </a:p>
          </txPr>
          <dLblPos val="bestFit"/>
          <showLegendKey val="0"/>
          <showVal val="0"/>
          <showCatName val="0"/>
          <showSerName val="0"/>
          <showPercent val="1"/>
          <showBubbleSize val="0"/>
          <showLeaderLines val="1"/>
        </dLbls>
        <firstSliceAng val="0"/>
      </pieChart>
    </plotArea>
    <legend>
      <legendPos val="b"/>
      <overlay val="0"/>
      <txPr>
        <a:bodyPr vert="horz"/>
        <a:p>
          <a:pPr>
            <a:defRPr sz="900">
              <a:solidFill>
                <a:srgbClr val="404040"/>
              </a:solidFill>
            </a:defRPr>
          </a:pPr>
          <a:endParaRPr sz="900">
            <a:solidFill>
              <a:srgbClr val="404040"/>
            </a:solidFill>
          </a:endParaRPr>
        </a:p>
      </txPr>
    </legend>
    <plotVisOnly val="1"/>
    <dispBlanksAs val="gap"/>
  </chart>
  <spPr>
    <a:solidFill>
      <a:srgbClr val="FFFFFF"/>
    </a:solidFill>
    <a:ln>
      <a:noFill/>
      <a:prstDash val="solid"/>
    </a:ln>
  </spPr>
</chartSpace>
</file>

<file path=xl/charts/chart162.xml><?xml version="1.0" encoding="utf-8"?>
<chartSpace xmlns:a="http://schemas.openxmlformats.org/drawingml/2006/main" xmlns="http://schemas.openxmlformats.org/drawingml/2006/chart">
  <chart>
    <title>
      <tx>
        <rich>
          <a:bodyPr/>
          <a:p>
            <a:pPr>
              <a:defRPr sz="1200" b="1">
                <a:solidFill>
                  <a:srgbClr val="1F3864"/>
                </a:solidFill>
              </a:defRPr>
            </a:pPr>
            <a:r>
              <a:t>Що саме продає</a:t>
            </a:r>
          </a:p>
        </rich>
      </tx>
      <overlay val="0"/>
    </title>
    <plotArea>
      <barChart>
        <barDir val="bar"/>
        <grouping val="clustered"/>
        <ser>
          <idx val="0"/>
          <order val="0"/>
          <tx>
            <strRef>
              <f>'К20 ТОВ "ДИДАКТИКЛАБ"'!B79</f>
            </strRef>
          </tx>
          <spPr>
            <a:solidFill>
              <a:srgbClr val="3D7EFF"/>
            </a:solidFill>
            <a:ln>
              <a:noFill/>
              <a:prstDash val="solid"/>
            </a:ln>
          </spPr>
          <cat>
            <numRef>
              <f>'К20 ТОВ "ДИДАКТИКЛАБ"'!$A$80:$A$82</f>
            </numRef>
          </cat>
          <val>
            <numRef>
              <f>'К20 ТОВ "ДИДАКТИКЛАБ"'!$B$80:$B$82</f>
            </numRef>
          </val>
        </ser>
        <dLbls>
          <numFmt formatCode="#,##0"/>
          <txPr>
            <a:bodyPr vert="horz"/>
            <a:p>
              <a:pPr>
                <a:defRPr sz="900">
                  <a:solidFill>
                    <a:srgbClr val="404040"/>
                  </a:solidFill>
                </a:defRPr>
              </a:pPr>
              <a:endParaRPr sz="900">
                <a:solidFill>
                  <a:srgbClr val="404040"/>
                </a:solidFill>
              </a:endParaRPr>
            </a:p>
          </txPr>
          <dLblPos val="outEnd"/>
          <showLegendKey val="0"/>
          <showVal val="1"/>
          <showCatName val="0"/>
          <showSerName val="0"/>
          <showPercent val="0"/>
          <showBubbleSize val="0"/>
        </dLbls>
        <gapWidth val="150"/>
        <axId val="10"/>
        <axId val="100"/>
      </barChart>
      <catAx>
        <axId val="10"/>
        <scaling>
          <orientation val="maxMin"/>
        </scaling>
        <delete val="0"/>
        <axPos val="l"/>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0"/>
        <lblOffset val="100"/>
      </catAx>
      <valAx>
        <axId val="100"/>
        <scaling>
          <orientation val="minMax"/>
        </scaling>
        <delete val="0"/>
        <axPos val="l"/>
        <majorGridlines>
          <spPr>
            <a:ln>
              <a:solidFill>
                <a:srgbClr val="D9D9D9"/>
              </a:solidFill>
              <a:prstDash val="solid"/>
            </a:ln>
          </spPr>
        </majorGridlines>
        <numFmt formatCode="#,##0" sourceLinked="0"/>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
        <crosses val="max"/>
      </valAx>
    </plotArea>
    <plotVisOnly val="1"/>
    <dispBlanksAs val="gap"/>
  </chart>
  <spPr>
    <a:solidFill>
      <a:srgbClr val="FFFFFF"/>
    </a:solidFill>
    <a:ln>
      <a:noFill/>
      <a:prstDash val="solid"/>
    </a:ln>
  </spPr>
</chartSpace>
</file>

<file path=xl/charts/chart163.xml><?xml version="1.0" encoding="utf-8"?>
<chartSpace xmlns:a="http://schemas.openxmlformats.org/drawingml/2006/main" xmlns="http://schemas.openxmlformats.org/drawingml/2006/chart">
  <chart>
    <title>
      <tx>
        <rich>
          <a:bodyPr/>
          <a:p>
            <a:pPr>
              <a:defRPr sz="1200" b="1">
                <a:solidFill>
                  <a:srgbClr val="1F3864"/>
                </a:solidFill>
              </a:defRPr>
            </a:pPr>
            <a:r>
              <a:t>Ключові замовники</a:t>
            </a:r>
          </a:p>
        </rich>
      </tx>
      <overlay val="0"/>
    </title>
    <plotArea>
      <barChart>
        <barDir val="bar"/>
        <grouping val="clustered"/>
        <ser>
          <idx val="0"/>
          <order val="0"/>
          <tx>
            <strRef>
              <f>'К20 ТОВ "ДИДАКТИКЛАБ"'!B95</f>
            </strRef>
          </tx>
          <spPr>
            <a:solidFill>
              <a:srgbClr val="3D7EFF"/>
            </a:solidFill>
            <a:ln>
              <a:noFill/>
              <a:prstDash val="solid"/>
            </a:ln>
          </spPr>
          <cat>
            <numRef>
              <f>'К20 ТОВ "ДИДАКТИКЛАБ"'!$A$96:$A$104</f>
            </numRef>
          </cat>
          <val>
            <numRef>
              <f>'К20 ТОВ "ДИДАКТИКЛАБ"'!$B$96:$B$104</f>
            </numRef>
          </val>
        </ser>
        <dLbls>
          <numFmt formatCode="#,##0"/>
          <txPr>
            <a:bodyPr vert="horz"/>
            <a:p>
              <a:pPr>
                <a:defRPr sz="900">
                  <a:solidFill>
                    <a:srgbClr val="404040"/>
                  </a:solidFill>
                </a:defRPr>
              </a:pPr>
              <a:endParaRPr sz="900">
                <a:solidFill>
                  <a:srgbClr val="404040"/>
                </a:solidFill>
              </a:endParaRPr>
            </a:p>
          </txPr>
          <dLblPos val="outEnd"/>
          <showLegendKey val="0"/>
          <showVal val="1"/>
          <showCatName val="0"/>
          <showSerName val="0"/>
          <showPercent val="0"/>
          <showBubbleSize val="0"/>
        </dLbls>
        <gapWidth val="60"/>
        <axId val="10"/>
        <axId val="100"/>
      </barChart>
      <catAx>
        <axId val="10"/>
        <scaling>
          <orientation val="maxMin"/>
        </scaling>
        <delete val="0"/>
        <axPos val="l"/>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0"/>
        <lblOffset val="100"/>
      </catAx>
      <valAx>
        <axId val="100"/>
        <scaling>
          <orientation val="minMax"/>
        </scaling>
        <delete val="0"/>
        <axPos val="l"/>
        <majorGridlines>
          <spPr>
            <a:ln>
              <a:solidFill>
                <a:srgbClr val="D9D9D9"/>
              </a:solidFill>
              <a:prstDash val="solid"/>
            </a:ln>
          </spPr>
        </majorGridlines>
        <numFmt formatCode="#,##0" sourceLinked="0"/>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
        <crosses val="max"/>
      </valAx>
    </plotArea>
    <plotVisOnly val="1"/>
    <dispBlanksAs val="gap"/>
  </chart>
  <spPr>
    <a:solidFill>
      <a:srgbClr val="FFFFFF"/>
    </a:solidFill>
    <a:ln>
      <a:noFill/>
      <a:prstDash val="solid"/>
    </a:ln>
  </spPr>
</chartSpace>
</file>

<file path=xl/charts/chart164.xml><?xml version="1.0" encoding="utf-8"?>
<chartSpace xmlns:a="http://schemas.openxmlformats.org/drawingml/2006/main" xmlns="http://schemas.openxmlformats.org/drawingml/2006/chart">
  <chart>
    <title>
      <tx>
        <rich>
          <a:bodyPr/>
          <a:p>
            <a:pPr>
              <a:defRPr sz="1200" b="1">
                <a:solidFill>
                  <a:srgbClr val="1F3864"/>
                </a:solidFill>
              </a:defRPr>
            </a:pPr>
            <a:r>
              <a:t>Процедури</a:t>
            </a:r>
          </a:p>
        </rich>
      </tx>
      <overlay val="0"/>
    </title>
    <plotArea>
      <pieChart>
        <varyColors val="1"/>
        <ser>
          <idx val="0"/>
          <order val="0"/>
          <tx>
            <strRef>
              <f>'К20 ТОВ "ДИДАКТИКЛАБ"'!B112</f>
            </strRef>
          </tx>
          <spPr>
            <a:ln>
              <a:prstDash val="solid"/>
            </a:ln>
          </spPr>
          <dPt>
            <idx val="0"/>
            <spPr>
              <a:solidFill>
                <a:srgbClr val="3D7EFF"/>
              </a:solidFill>
              <a:ln>
                <a:prstDash val="solid"/>
              </a:ln>
            </spPr>
          </dPt>
          <dPt>
            <idx val="1"/>
            <spPr>
              <a:solidFill>
                <a:srgbClr val="3ECF8E"/>
              </a:solidFill>
              <a:ln>
                <a:prstDash val="solid"/>
              </a:ln>
            </spPr>
          </dPt>
          <cat>
            <numRef>
              <f>'К20 ТОВ "ДИДАКТИКЛАБ"'!$A$113:$A$114</f>
            </numRef>
          </cat>
          <val>
            <numRef>
              <f>'К20 ТОВ "ДИДАКТИКЛАБ"'!$B$113:$B$114</f>
            </numRef>
          </val>
        </ser>
        <dLbls>
          <txPr>
            <a:bodyPr vert="horz"/>
            <a:p>
              <a:pPr>
                <a:defRPr sz="900">
                  <a:solidFill>
                    <a:srgbClr val="404040"/>
                  </a:solidFill>
                </a:defRPr>
              </a:pPr>
              <a:endParaRPr sz="900">
                <a:solidFill>
                  <a:srgbClr val="404040"/>
                </a:solidFill>
              </a:endParaRPr>
            </a:p>
          </txPr>
          <dLblPos val="bestFit"/>
          <showLegendKey val="0"/>
          <showVal val="0"/>
          <showCatName val="0"/>
          <showSerName val="0"/>
          <showPercent val="1"/>
          <showBubbleSize val="0"/>
          <showLeaderLines val="1"/>
        </dLbls>
        <firstSliceAng val="0"/>
      </pieChart>
    </plotArea>
    <legend>
      <legendPos val="b"/>
      <overlay val="0"/>
      <txPr>
        <a:bodyPr vert="horz"/>
        <a:p>
          <a:pPr>
            <a:defRPr sz="900">
              <a:solidFill>
                <a:srgbClr val="404040"/>
              </a:solidFill>
            </a:defRPr>
          </a:pPr>
          <a:endParaRPr sz="900">
            <a:solidFill>
              <a:srgbClr val="404040"/>
            </a:solidFill>
          </a:endParaRPr>
        </a:p>
      </txPr>
    </legend>
    <plotVisOnly val="1"/>
    <dispBlanksAs val="gap"/>
  </chart>
  <spPr>
    <a:solidFill>
      <a:srgbClr val="FFFFFF"/>
    </a:solidFill>
    <a:ln>
      <a:noFill/>
      <a:prstDash val="solid"/>
    </a:ln>
  </spPr>
</chartSpace>
</file>

<file path=xl/charts/chart165.xml><?xml version="1.0" encoding="utf-8"?>
<chartSpace xmlns:a="http://schemas.openxmlformats.org/drawingml/2006/main" xmlns="http://schemas.openxmlformats.org/drawingml/2006/chart">
  <chart>
    <title>
      <tx>
        <rich>
          <a:bodyPr/>
          <a:p>
            <a:pPr>
              <a:defRPr sz="1200" b="1">
                <a:solidFill>
                  <a:srgbClr val="1F3864"/>
                </a:solidFill>
              </a:defRPr>
            </a:pPr>
            <a:r>
              <a:t>Динаміка по місяцях</a:t>
            </a:r>
          </a:p>
        </rich>
      </tx>
      <overlay val="0"/>
    </title>
    <plotArea>
      <lineChart>
        <grouping val="standard"/>
        <ser>
          <idx val="0"/>
          <order val="0"/>
          <tx>
            <strRef>
              <f>'К21 ТОВ "НАВІГАТОР СИСТЕМ"'!B40</f>
            </strRef>
          </tx>
          <spPr>
            <a:ln w="22000">
              <a:solidFill>
                <a:srgbClr val="3D7EFF"/>
              </a:solidFill>
              <a:prstDash val="solid"/>
            </a:ln>
          </spPr>
          <marker>
            <symbol val="circle"/>
            <size val="5"/>
            <spPr>
              <a:solidFill>
                <a:srgbClr val="3D7EFF"/>
              </a:solidFill>
              <a:ln>
                <a:prstDash val="solid"/>
              </a:ln>
            </spPr>
          </marker>
          <cat>
            <numRef>
              <f>'К21 ТОВ "НАВІГАТОР СИСТЕМ"'!$A$41:$A$44</f>
            </numRef>
          </cat>
          <val>
            <numRef>
              <f>'К21 ТОВ "НАВІГАТОР СИСТЕМ"'!$B$41:$B$44</f>
            </numRef>
          </val>
          <smooth val="0"/>
        </ser>
        <axId val="10"/>
        <axId val="100"/>
      </lineChart>
      <catAx>
        <axId val="10"/>
        <scaling>
          <orientation val="minMax"/>
        </scaling>
        <delete val="0"/>
        <axPos val="l"/>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0"/>
        <lblOffset val="100"/>
      </catAx>
      <valAx>
        <axId val="100"/>
        <scaling>
          <orientation val="minMax"/>
        </scaling>
        <delete val="0"/>
        <axPos val="l"/>
        <majorGridlines>
          <spPr>
            <a:ln>
              <a:solidFill>
                <a:srgbClr val="D9D9D9"/>
              </a:solidFill>
              <a:prstDash val="solid"/>
            </a:ln>
          </spPr>
        </majorGridlines>
        <numFmt formatCode="#,##0" sourceLinked="0"/>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
      </valAx>
    </plotArea>
    <plotVisOnly val="1"/>
    <dispBlanksAs val="gap"/>
  </chart>
  <spPr>
    <a:solidFill>
      <a:srgbClr val="FFFFFF"/>
    </a:solidFill>
    <a:ln>
      <a:noFill/>
      <a:prstDash val="solid"/>
    </a:ln>
  </spPr>
</chartSpace>
</file>

<file path=xl/charts/chart166.xml><?xml version="1.0" encoding="utf-8"?>
<chartSpace xmlns:a="http://schemas.openxmlformats.org/drawingml/2006/main" xmlns="http://schemas.openxmlformats.org/drawingml/2006/chart">
  <chart>
    <title>
      <tx>
        <rich>
          <a:bodyPr/>
          <a:p>
            <a:pPr>
              <a:defRPr sz="1200" b="1">
                <a:solidFill>
                  <a:srgbClr val="1F3864"/>
                </a:solidFill>
              </a:defRPr>
            </a:pPr>
            <a:r>
              <a:t>Що саме продає</a:t>
            </a:r>
          </a:p>
        </rich>
      </tx>
      <overlay val="0"/>
    </title>
    <plotArea>
      <barChart>
        <barDir val="bar"/>
        <grouping val="clustered"/>
        <ser>
          <idx val="0"/>
          <order val="0"/>
          <tx>
            <strRef>
              <f>'К21 ТОВ "НАВІГАТОР СИСТЕМ"'!B60</f>
            </strRef>
          </tx>
          <spPr>
            <a:solidFill>
              <a:srgbClr val="3D7EFF"/>
            </a:solidFill>
            <a:ln>
              <a:noFill/>
              <a:prstDash val="solid"/>
            </a:ln>
          </spPr>
          <cat>
            <numRef>
              <f>'К21 ТОВ "НАВІГАТОР СИСТЕМ"'!$A$61:$A$63</f>
            </numRef>
          </cat>
          <val>
            <numRef>
              <f>'К21 ТОВ "НАВІГАТОР СИСТЕМ"'!$B$61:$B$63</f>
            </numRef>
          </val>
        </ser>
        <dLbls>
          <numFmt formatCode="#,##0"/>
          <txPr>
            <a:bodyPr vert="horz"/>
            <a:p>
              <a:pPr>
                <a:defRPr sz="900">
                  <a:solidFill>
                    <a:srgbClr val="404040"/>
                  </a:solidFill>
                </a:defRPr>
              </a:pPr>
              <a:endParaRPr sz="900">
                <a:solidFill>
                  <a:srgbClr val="404040"/>
                </a:solidFill>
              </a:endParaRPr>
            </a:p>
          </txPr>
          <dLblPos val="outEnd"/>
          <showLegendKey val="0"/>
          <showVal val="1"/>
          <showCatName val="0"/>
          <showSerName val="0"/>
          <showPercent val="0"/>
          <showBubbleSize val="0"/>
        </dLbls>
        <gapWidth val="150"/>
        <axId val="10"/>
        <axId val="100"/>
      </barChart>
      <catAx>
        <axId val="10"/>
        <scaling>
          <orientation val="maxMin"/>
        </scaling>
        <delete val="0"/>
        <axPos val="l"/>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0"/>
        <lblOffset val="100"/>
      </catAx>
      <valAx>
        <axId val="100"/>
        <scaling>
          <orientation val="minMax"/>
        </scaling>
        <delete val="0"/>
        <axPos val="l"/>
        <majorGridlines>
          <spPr>
            <a:ln>
              <a:solidFill>
                <a:srgbClr val="D9D9D9"/>
              </a:solidFill>
              <a:prstDash val="solid"/>
            </a:ln>
          </spPr>
        </majorGridlines>
        <numFmt formatCode="#,##0" sourceLinked="0"/>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
        <crosses val="max"/>
      </valAx>
    </plotArea>
    <plotVisOnly val="1"/>
    <dispBlanksAs val="gap"/>
  </chart>
  <spPr>
    <a:solidFill>
      <a:srgbClr val="FFFFFF"/>
    </a:solidFill>
    <a:ln>
      <a:noFill/>
      <a:prstDash val="solid"/>
    </a:ln>
  </spPr>
</chartSpace>
</file>

<file path=xl/charts/chart167.xml><?xml version="1.0" encoding="utf-8"?>
<chartSpace xmlns:a="http://schemas.openxmlformats.org/drawingml/2006/main" xmlns="http://schemas.openxmlformats.org/drawingml/2006/chart">
  <chart>
    <title>
      <tx>
        <rich>
          <a:bodyPr/>
          <a:p>
            <a:pPr>
              <a:defRPr sz="1200" b="1">
                <a:solidFill>
                  <a:srgbClr val="1F3864"/>
                </a:solidFill>
              </a:defRPr>
            </a:pPr>
            <a:r>
              <a:t>Ключові замовники</a:t>
            </a:r>
          </a:p>
        </rich>
      </tx>
      <overlay val="0"/>
    </title>
    <plotArea>
      <barChart>
        <barDir val="bar"/>
        <grouping val="clustered"/>
        <ser>
          <idx val="0"/>
          <order val="0"/>
          <tx>
            <strRef>
              <f>'К21 ТОВ "НАВІГАТОР СИСТЕМ"'!B76</f>
            </strRef>
          </tx>
          <spPr>
            <a:solidFill>
              <a:srgbClr val="3D7EFF"/>
            </a:solidFill>
            <a:ln>
              <a:noFill/>
              <a:prstDash val="solid"/>
            </a:ln>
          </spPr>
          <cat>
            <numRef>
              <f>'К21 ТОВ "НАВІГАТОР СИСТЕМ"'!$A$77:$A$80</f>
            </numRef>
          </cat>
          <val>
            <numRef>
              <f>'К21 ТОВ "НАВІГАТОР СИСТЕМ"'!$B$77:$B$80</f>
            </numRef>
          </val>
        </ser>
        <dLbls>
          <numFmt formatCode="#,##0"/>
          <txPr>
            <a:bodyPr vert="horz"/>
            <a:p>
              <a:pPr>
                <a:defRPr sz="900">
                  <a:solidFill>
                    <a:srgbClr val="404040"/>
                  </a:solidFill>
                </a:defRPr>
              </a:pPr>
              <a:endParaRPr sz="900">
                <a:solidFill>
                  <a:srgbClr val="404040"/>
                </a:solidFill>
              </a:endParaRPr>
            </a:p>
          </txPr>
          <dLblPos val="outEnd"/>
          <showLegendKey val="0"/>
          <showVal val="1"/>
          <showCatName val="0"/>
          <showSerName val="0"/>
          <showPercent val="0"/>
          <showBubbleSize val="0"/>
        </dLbls>
        <gapWidth val="150"/>
        <axId val="10"/>
        <axId val="100"/>
      </barChart>
      <catAx>
        <axId val="10"/>
        <scaling>
          <orientation val="maxMin"/>
        </scaling>
        <delete val="0"/>
        <axPos val="l"/>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0"/>
        <lblOffset val="100"/>
      </catAx>
      <valAx>
        <axId val="100"/>
        <scaling>
          <orientation val="minMax"/>
        </scaling>
        <delete val="0"/>
        <axPos val="l"/>
        <majorGridlines>
          <spPr>
            <a:ln>
              <a:solidFill>
                <a:srgbClr val="D9D9D9"/>
              </a:solidFill>
              <a:prstDash val="solid"/>
            </a:ln>
          </spPr>
        </majorGridlines>
        <numFmt formatCode="#,##0" sourceLinked="0"/>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
        <crosses val="max"/>
      </valAx>
    </plotArea>
    <plotVisOnly val="1"/>
    <dispBlanksAs val="gap"/>
  </chart>
  <spPr>
    <a:solidFill>
      <a:srgbClr val="FFFFFF"/>
    </a:solidFill>
    <a:ln>
      <a:noFill/>
      <a:prstDash val="solid"/>
    </a:ln>
  </spPr>
</chartSpace>
</file>

<file path=xl/charts/chart168.xml><?xml version="1.0" encoding="utf-8"?>
<chartSpace xmlns:a="http://schemas.openxmlformats.org/drawingml/2006/main" xmlns="http://schemas.openxmlformats.org/drawingml/2006/chart">
  <chart>
    <title>
      <tx>
        <rich>
          <a:bodyPr/>
          <a:p>
            <a:pPr>
              <a:defRPr sz="1200" b="1">
                <a:solidFill>
                  <a:srgbClr val="1F3864"/>
                </a:solidFill>
              </a:defRPr>
            </a:pPr>
            <a:r>
              <a:t>Процедури</a:t>
            </a:r>
          </a:p>
        </rich>
      </tx>
      <overlay val="0"/>
    </title>
    <plotArea>
      <pieChart>
        <varyColors val="1"/>
        <ser>
          <idx val="0"/>
          <order val="0"/>
          <tx>
            <strRef>
              <f>'К21 ТОВ "НАВІГАТОР СИСТЕМ"'!B92</f>
            </strRef>
          </tx>
          <spPr>
            <a:ln>
              <a:prstDash val="solid"/>
            </a:ln>
          </spPr>
          <dPt>
            <idx val="0"/>
            <spPr>
              <a:solidFill>
                <a:srgbClr val="3D7EFF"/>
              </a:solidFill>
              <a:ln>
                <a:prstDash val="solid"/>
              </a:ln>
            </spPr>
          </dPt>
          <dPt>
            <idx val="1"/>
            <spPr>
              <a:solidFill>
                <a:srgbClr val="3ECF8E"/>
              </a:solidFill>
              <a:ln>
                <a:prstDash val="solid"/>
              </a:ln>
            </spPr>
          </dPt>
          <cat>
            <numRef>
              <f>'К21 ТОВ "НАВІГАТОР СИСТЕМ"'!$A$93:$A$94</f>
            </numRef>
          </cat>
          <val>
            <numRef>
              <f>'К21 ТОВ "НАВІГАТОР СИСТЕМ"'!$B$93:$B$94</f>
            </numRef>
          </val>
        </ser>
        <dLbls>
          <txPr>
            <a:bodyPr vert="horz"/>
            <a:p>
              <a:pPr>
                <a:defRPr sz="900">
                  <a:solidFill>
                    <a:srgbClr val="404040"/>
                  </a:solidFill>
                </a:defRPr>
              </a:pPr>
              <a:endParaRPr sz="900">
                <a:solidFill>
                  <a:srgbClr val="404040"/>
                </a:solidFill>
              </a:endParaRPr>
            </a:p>
          </txPr>
          <dLblPos val="bestFit"/>
          <showLegendKey val="0"/>
          <showVal val="0"/>
          <showCatName val="0"/>
          <showSerName val="0"/>
          <showPercent val="1"/>
          <showBubbleSize val="0"/>
          <showLeaderLines val="1"/>
        </dLbls>
        <firstSliceAng val="0"/>
      </pieChart>
    </plotArea>
    <legend>
      <legendPos val="b"/>
      <overlay val="0"/>
      <txPr>
        <a:bodyPr vert="horz"/>
        <a:p>
          <a:pPr>
            <a:defRPr sz="900">
              <a:solidFill>
                <a:srgbClr val="404040"/>
              </a:solidFill>
            </a:defRPr>
          </a:pPr>
          <a:endParaRPr sz="900">
            <a:solidFill>
              <a:srgbClr val="404040"/>
            </a:solidFill>
          </a:endParaRPr>
        </a:p>
      </txPr>
    </legend>
    <plotVisOnly val="1"/>
    <dispBlanksAs val="gap"/>
  </chart>
  <spPr>
    <a:solidFill>
      <a:srgbClr val="FFFFFF"/>
    </a:solidFill>
    <a:ln>
      <a:noFill/>
      <a:prstDash val="solid"/>
    </a:ln>
  </spPr>
</chartSpace>
</file>

<file path=xl/charts/chart169.xml><?xml version="1.0" encoding="utf-8"?>
<chartSpace xmlns:a="http://schemas.openxmlformats.org/drawingml/2006/main" xmlns="http://schemas.openxmlformats.org/drawingml/2006/chart">
  <chart>
    <title>
      <tx>
        <rich>
          <a:bodyPr/>
          <a:p>
            <a:pPr>
              <a:defRPr sz="1200" b="1">
                <a:solidFill>
                  <a:srgbClr val="1F3864"/>
                </a:solidFill>
              </a:defRPr>
            </a:pPr>
            <a:r>
              <a:t>Динаміка по місяцях</a:t>
            </a:r>
          </a:p>
        </rich>
      </tx>
      <overlay val="0"/>
    </title>
    <plotArea>
      <lineChart>
        <grouping val="standard"/>
        <ser>
          <idx val="0"/>
          <order val="0"/>
          <tx>
            <strRef>
              <f>'К22 ТОВ "КОМЕЛ"'!B38</f>
            </strRef>
          </tx>
          <spPr>
            <a:ln w="22000">
              <a:solidFill>
                <a:srgbClr val="3D7EFF"/>
              </a:solidFill>
              <a:prstDash val="solid"/>
            </a:ln>
          </spPr>
          <marker>
            <symbol val="circle"/>
            <size val="5"/>
            <spPr>
              <a:solidFill>
                <a:srgbClr val="3D7EFF"/>
              </a:solidFill>
              <a:ln>
                <a:prstDash val="solid"/>
              </a:ln>
            </spPr>
          </marker>
          <cat>
            <numRef>
              <f>'К22 ТОВ "КОМЕЛ"'!$A$39:$A$41</f>
            </numRef>
          </cat>
          <val>
            <numRef>
              <f>'К22 ТОВ "КОМЕЛ"'!$B$39:$B$41</f>
            </numRef>
          </val>
          <smooth val="0"/>
        </ser>
        <axId val="10"/>
        <axId val="100"/>
      </lineChart>
      <catAx>
        <axId val="10"/>
        <scaling>
          <orientation val="minMax"/>
        </scaling>
        <delete val="0"/>
        <axPos val="l"/>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0"/>
        <lblOffset val="100"/>
      </catAx>
      <valAx>
        <axId val="100"/>
        <scaling>
          <orientation val="minMax"/>
        </scaling>
        <delete val="0"/>
        <axPos val="l"/>
        <majorGridlines>
          <spPr>
            <a:ln>
              <a:solidFill>
                <a:srgbClr val="D9D9D9"/>
              </a:solidFill>
              <a:prstDash val="solid"/>
            </a:ln>
          </spPr>
        </majorGridlines>
        <numFmt formatCode="#,##0" sourceLinked="0"/>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
      </valAx>
    </plotArea>
    <plotVisOnly val="1"/>
    <dispBlanksAs val="gap"/>
  </chart>
  <spPr>
    <a:solidFill>
      <a:srgbClr val="FFFFFF"/>
    </a:solidFill>
    <a:ln>
      <a:noFill/>
      <a:prstDash val="solid"/>
    </a:ln>
  </spPr>
</chartSpace>
</file>

<file path=xl/charts/chart170.xml><?xml version="1.0" encoding="utf-8"?>
<chartSpace xmlns:a="http://schemas.openxmlformats.org/drawingml/2006/main" xmlns="http://schemas.openxmlformats.org/drawingml/2006/chart">
  <chart>
    <title>
      <tx>
        <rich>
          <a:bodyPr/>
          <a:p>
            <a:pPr>
              <a:defRPr sz="1200" b="1">
                <a:solidFill>
                  <a:srgbClr val="1F3864"/>
                </a:solidFill>
              </a:defRPr>
            </a:pPr>
            <a:r>
              <a:t>Торгові марки у позиціях</a:t>
            </a:r>
          </a:p>
        </rich>
      </tx>
      <overlay val="0"/>
    </title>
    <plotArea>
      <pieChart>
        <varyColors val="1"/>
        <ser>
          <idx val="0"/>
          <order val="0"/>
          <tx>
            <strRef>
              <f>'К22 ТОВ "КОМЕЛ"'!B58</f>
            </strRef>
          </tx>
          <spPr>
            <a:ln>
              <a:prstDash val="solid"/>
            </a:ln>
          </spPr>
          <dPt>
            <idx val="0"/>
            <spPr>
              <a:solidFill>
                <a:srgbClr val="3D7EFF"/>
              </a:solidFill>
              <a:ln>
                <a:prstDash val="solid"/>
              </a:ln>
            </spPr>
          </dPt>
          <dPt>
            <idx val="1"/>
            <spPr>
              <a:solidFill>
                <a:srgbClr val="3ECF8E"/>
              </a:solidFill>
              <a:ln>
                <a:prstDash val="solid"/>
              </a:ln>
            </spPr>
          </dPt>
          <dPt>
            <idx val="2"/>
            <spPr>
              <a:solidFill>
                <a:srgbClr val="F0B429"/>
              </a:solidFill>
              <a:ln>
                <a:prstDash val="solid"/>
              </a:ln>
            </spPr>
          </dPt>
          <cat>
            <numRef>
              <f>'К22 ТОВ "КОМЕЛ"'!$A$59:$A$61</f>
            </numRef>
          </cat>
          <val>
            <numRef>
              <f>'К22 ТОВ "КОМЕЛ"'!$B$59:$B$61</f>
            </numRef>
          </val>
        </ser>
        <dLbls>
          <txPr>
            <a:bodyPr vert="horz"/>
            <a:p>
              <a:pPr>
                <a:defRPr sz="900">
                  <a:solidFill>
                    <a:srgbClr val="404040"/>
                  </a:solidFill>
                </a:defRPr>
              </a:pPr>
              <a:endParaRPr sz="900">
                <a:solidFill>
                  <a:srgbClr val="404040"/>
                </a:solidFill>
              </a:endParaRPr>
            </a:p>
          </txPr>
          <dLblPos val="bestFit"/>
          <showLegendKey val="0"/>
          <showVal val="0"/>
          <showCatName val="0"/>
          <showSerName val="0"/>
          <showPercent val="1"/>
          <showBubbleSize val="0"/>
          <showLeaderLines val="1"/>
        </dLbls>
        <firstSliceAng val="0"/>
      </pieChart>
    </plotArea>
    <legend>
      <legendPos val="b"/>
      <overlay val="0"/>
      <txPr>
        <a:bodyPr vert="horz"/>
        <a:p>
          <a:pPr>
            <a:defRPr sz="900">
              <a:solidFill>
                <a:srgbClr val="404040"/>
              </a:solidFill>
            </a:defRPr>
          </a:pPr>
          <a:endParaRPr sz="900">
            <a:solidFill>
              <a:srgbClr val="404040"/>
            </a:solidFill>
          </a:endParaRPr>
        </a:p>
      </txPr>
    </legend>
    <plotVisOnly val="1"/>
    <dispBlanksAs val="gap"/>
  </chart>
  <spPr>
    <a:solidFill>
      <a:srgbClr val="FFFFFF"/>
    </a:solidFill>
    <a:ln>
      <a:noFill/>
      <a:prstDash val="solid"/>
    </a:ln>
  </spPr>
</chartSpace>
</file>

<file path=xl/charts/chart171.xml><?xml version="1.0" encoding="utf-8"?>
<chartSpace xmlns:a="http://schemas.openxmlformats.org/drawingml/2006/main" xmlns="http://schemas.openxmlformats.org/drawingml/2006/chart">
  <chart>
    <title>
      <tx>
        <rich>
          <a:bodyPr/>
          <a:p>
            <a:pPr>
              <a:defRPr sz="1200" b="1">
                <a:solidFill>
                  <a:srgbClr val="1F3864"/>
                </a:solidFill>
              </a:defRPr>
            </a:pPr>
            <a:r>
              <a:t>Що саме продає</a:t>
            </a:r>
          </a:p>
        </rich>
      </tx>
      <overlay val="0"/>
    </title>
    <plotArea>
      <barChart>
        <barDir val="bar"/>
        <grouping val="clustered"/>
        <ser>
          <idx val="0"/>
          <order val="0"/>
          <tx>
            <strRef>
              <f>'К22 ТОВ "КОМЕЛ"'!B78</f>
            </strRef>
          </tx>
          <spPr>
            <a:solidFill>
              <a:srgbClr val="3D7EFF"/>
            </a:solidFill>
            <a:ln>
              <a:noFill/>
              <a:prstDash val="solid"/>
            </a:ln>
          </spPr>
          <cat>
            <numRef>
              <f>'К22 ТОВ "КОМЕЛ"'!$A$79:$A$83</f>
            </numRef>
          </cat>
          <val>
            <numRef>
              <f>'К22 ТОВ "КОМЕЛ"'!$B$79:$B$83</f>
            </numRef>
          </val>
        </ser>
        <dLbls>
          <numFmt formatCode="#,##0"/>
          <txPr>
            <a:bodyPr vert="horz"/>
            <a:p>
              <a:pPr>
                <a:defRPr sz="900">
                  <a:solidFill>
                    <a:srgbClr val="404040"/>
                  </a:solidFill>
                </a:defRPr>
              </a:pPr>
              <a:endParaRPr sz="900">
                <a:solidFill>
                  <a:srgbClr val="404040"/>
                </a:solidFill>
              </a:endParaRPr>
            </a:p>
          </txPr>
          <dLblPos val="outEnd"/>
          <showLegendKey val="0"/>
          <showVal val="1"/>
          <showCatName val="0"/>
          <showSerName val="0"/>
          <showPercent val="0"/>
          <showBubbleSize val="0"/>
        </dLbls>
        <gapWidth val="60"/>
        <axId val="10"/>
        <axId val="100"/>
      </barChart>
      <catAx>
        <axId val="10"/>
        <scaling>
          <orientation val="maxMin"/>
        </scaling>
        <delete val="0"/>
        <axPos val="l"/>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0"/>
        <lblOffset val="100"/>
      </catAx>
      <valAx>
        <axId val="100"/>
        <scaling>
          <orientation val="minMax"/>
        </scaling>
        <delete val="0"/>
        <axPos val="l"/>
        <majorGridlines>
          <spPr>
            <a:ln>
              <a:solidFill>
                <a:srgbClr val="D9D9D9"/>
              </a:solidFill>
              <a:prstDash val="solid"/>
            </a:ln>
          </spPr>
        </majorGridlines>
        <numFmt formatCode="#,##0" sourceLinked="0"/>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
        <crosses val="max"/>
      </valAx>
    </plotArea>
    <plotVisOnly val="1"/>
    <dispBlanksAs val="gap"/>
  </chart>
  <spPr>
    <a:solidFill>
      <a:srgbClr val="FFFFFF"/>
    </a:solidFill>
    <a:ln>
      <a:noFill/>
      <a:prstDash val="solid"/>
    </a:ln>
  </spPr>
</chartSpace>
</file>

<file path=xl/charts/chart172.xml><?xml version="1.0" encoding="utf-8"?>
<chartSpace xmlns:a="http://schemas.openxmlformats.org/drawingml/2006/main" xmlns="http://schemas.openxmlformats.org/drawingml/2006/chart">
  <chart>
    <title>
      <tx>
        <rich>
          <a:bodyPr/>
          <a:p>
            <a:pPr>
              <a:defRPr sz="1200" b="1">
                <a:solidFill>
                  <a:srgbClr val="1F3864"/>
                </a:solidFill>
              </a:defRPr>
            </a:pPr>
            <a:r>
              <a:t>Ключові замовники</a:t>
            </a:r>
          </a:p>
        </rich>
      </tx>
      <overlay val="0"/>
    </title>
    <plotArea>
      <barChart>
        <barDir val="bar"/>
        <grouping val="clustered"/>
        <ser>
          <idx val="0"/>
          <order val="0"/>
          <tx>
            <strRef>
              <f>'К22 ТОВ "КОМЕЛ"'!B94</f>
            </strRef>
          </tx>
          <spPr>
            <a:solidFill>
              <a:srgbClr val="3D7EFF"/>
            </a:solidFill>
            <a:ln>
              <a:noFill/>
              <a:prstDash val="solid"/>
            </a:ln>
          </spPr>
          <cat>
            <numRef>
              <f>'К22 ТОВ "КОМЕЛ"'!$A$95:$A$97</f>
            </numRef>
          </cat>
          <val>
            <numRef>
              <f>'К22 ТОВ "КОМЕЛ"'!$B$95:$B$97</f>
            </numRef>
          </val>
        </ser>
        <dLbls>
          <numFmt formatCode="#,##0"/>
          <txPr>
            <a:bodyPr vert="horz"/>
            <a:p>
              <a:pPr>
                <a:defRPr sz="900">
                  <a:solidFill>
                    <a:srgbClr val="404040"/>
                  </a:solidFill>
                </a:defRPr>
              </a:pPr>
              <a:endParaRPr sz="900">
                <a:solidFill>
                  <a:srgbClr val="404040"/>
                </a:solidFill>
              </a:endParaRPr>
            </a:p>
          </txPr>
          <dLblPos val="outEnd"/>
          <showLegendKey val="0"/>
          <showVal val="1"/>
          <showCatName val="0"/>
          <showSerName val="0"/>
          <showPercent val="0"/>
          <showBubbleSize val="0"/>
        </dLbls>
        <gapWidth val="150"/>
        <axId val="10"/>
        <axId val="100"/>
      </barChart>
      <catAx>
        <axId val="10"/>
        <scaling>
          <orientation val="maxMin"/>
        </scaling>
        <delete val="0"/>
        <axPos val="l"/>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0"/>
        <lblOffset val="100"/>
      </catAx>
      <valAx>
        <axId val="100"/>
        <scaling>
          <orientation val="minMax"/>
        </scaling>
        <delete val="0"/>
        <axPos val="l"/>
        <majorGridlines>
          <spPr>
            <a:ln>
              <a:solidFill>
                <a:srgbClr val="D9D9D9"/>
              </a:solidFill>
              <a:prstDash val="solid"/>
            </a:ln>
          </spPr>
        </majorGridlines>
        <numFmt formatCode="#,##0" sourceLinked="0"/>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
        <crosses val="max"/>
      </valAx>
    </plotArea>
    <plotVisOnly val="1"/>
    <dispBlanksAs val="gap"/>
  </chart>
  <spPr>
    <a:solidFill>
      <a:srgbClr val="FFFFFF"/>
    </a:solidFill>
    <a:ln>
      <a:noFill/>
      <a:prstDash val="solid"/>
    </a:ln>
  </spPr>
</chartSpace>
</file>

<file path=xl/charts/chart173.xml><?xml version="1.0" encoding="utf-8"?>
<chartSpace xmlns:a="http://schemas.openxmlformats.org/drawingml/2006/main" xmlns="http://schemas.openxmlformats.org/drawingml/2006/chart">
  <chart>
    <title>
      <tx>
        <rich>
          <a:bodyPr/>
          <a:p>
            <a:pPr>
              <a:defRPr sz="1200" b="1">
                <a:solidFill>
                  <a:srgbClr val="1F3864"/>
                </a:solidFill>
              </a:defRPr>
            </a:pPr>
            <a:r>
              <a:t>Динаміка по місяцях</a:t>
            </a:r>
          </a:p>
        </rich>
      </tx>
      <overlay val="0"/>
    </title>
    <plotArea>
      <lineChart>
        <grouping val="standard"/>
        <ser>
          <idx val="0"/>
          <order val="0"/>
          <tx>
            <strRef>
              <f>'К23 ТОВ "ПАВЕРТРЕЙД"'!B40</f>
            </strRef>
          </tx>
          <spPr>
            <a:ln w="22000">
              <a:solidFill>
                <a:srgbClr val="3D7EFF"/>
              </a:solidFill>
              <a:prstDash val="solid"/>
            </a:ln>
          </spPr>
          <marker>
            <symbol val="circle"/>
            <size val="5"/>
            <spPr>
              <a:solidFill>
                <a:srgbClr val="3D7EFF"/>
              </a:solidFill>
              <a:ln>
                <a:prstDash val="solid"/>
              </a:ln>
            </spPr>
          </marker>
          <cat>
            <numRef>
              <f>'К23 ТОВ "ПАВЕРТРЕЙД"'!$A$41:$A$47</f>
            </numRef>
          </cat>
          <val>
            <numRef>
              <f>'К23 ТОВ "ПАВЕРТРЕЙД"'!$B$41:$B$47</f>
            </numRef>
          </val>
          <smooth val="0"/>
        </ser>
        <axId val="10"/>
        <axId val="100"/>
      </lineChart>
      <catAx>
        <axId val="10"/>
        <scaling>
          <orientation val="minMax"/>
        </scaling>
        <delete val="0"/>
        <axPos val="l"/>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0"/>
        <lblOffset val="100"/>
      </catAx>
      <valAx>
        <axId val="100"/>
        <scaling>
          <orientation val="minMax"/>
        </scaling>
        <delete val="0"/>
        <axPos val="l"/>
        <majorGridlines>
          <spPr>
            <a:ln>
              <a:solidFill>
                <a:srgbClr val="D9D9D9"/>
              </a:solidFill>
              <a:prstDash val="solid"/>
            </a:ln>
          </spPr>
        </majorGridlines>
        <numFmt formatCode="#,##0" sourceLinked="0"/>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
      </valAx>
    </plotArea>
    <plotVisOnly val="1"/>
    <dispBlanksAs val="gap"/>
  </chart>
  <spPr>
    <a:solidFill>
      <a:srgbClr val="FFFFFF"/>
    </a:solidFill>
    <a:ln>
      <a:noFill/>
      <a:prstDash val="solid"/>
    </a:ln>
  </spPr>
</chartSpace>
</file>

<file path=xl/charts/chart174.xml><?xml version="1.0" encoding="utf-8"?>
<chartSpace xmlns:a="http://schemas.openxmlformats.org/drawingml/2006/main" xmlns="http://schemas.openxmlformats.org/drawingml/2006/chart">
  <chart>
    <title>
      <tx>
        <rich>
          <a:bodyPr/>
          <a:p>
            <a:pPr>
              <a:defRPr sz="1200" b="1">
                <a:solidFill>
                  <a:srgbClr val="1F3864"/>
                </a:solidFill>
              </a:defRPr>
            </a:pPr>
            <a:r>
              <a:t>Торгові марки у позиціях</a:t>
            </a:r>
          </a:p>
        </rich>
      </tx>
      <overlay val="0"/>
    </title>
    <plotArea>
      <pieChart>
        <varyColors val="1"/>
        <ser>
          <idx val="0"/>
          <order val="0"/>
          <tx>
            <strRef>
              <f>'К23 ТОВ "ПАВЕРТРЕЙД"'!B60</f>
            </strRef>
          </tx>
          <spPr>
            <a:ln>
              <a:prstDash val="solid"/>
            </a:ln>
          </spPr>
          <dPt>
            <idx val="0"/>
            <spPr>
              <a:solidFill>
                <a:srgbClr val="3D7EFF"/>
              </a:solidFill>
              <a:ln>
                <a:prstDash val="solid"/>
              </a:ln>
            </spPr>
          </dPt>
          <dPt>
            <idx val="1"/>
            <spPr>
              <a:solidFill>
                <a:srgbClr val="3ECF8E"/>
              </a:solidFill>
              <a:ln>
                <a:prstDash val="solid"/>
              </a:ln>
            </spPr>
          </dPt>
          <dPt>
            <idx val="2"/>
            <spPr>
              <a:solidFill>
                <a:srgbClr val="F0B429"/>
              </a:solidFill>
              <a:ln>
                <a:prstDash val="solid"/>
              </a:ln>
            </spPr>
          </dPt>
          <cat>
            <numRef>
              <f>'К23 ТОВ "ПАВЕРТРЕЙД"'!$A$61:$A$63</f>
            </numRef>
          </cat>
          <val>
            <numRef>
              <f>'К23 ТОВ "ПАВЕРТРЕЙД"'!$B$61:$B$63</f>
            </numRef>
          </val>
        </ser>
        <dLbls>
          <txPr>
            <a:bodyPr vert="horz"/>
            <a:p>
              <a:pPr>
                <a:defRPr sz="900">
                  <a:solidFill>
                    <a:srgbClr val="404040"/>
                  </a:solidFill>
                </a:defRPr>
              </a:pPr>
              <a:endParaRPr sz="900">
                <a:solidFill>
                  <a:srgbClr val="404040"/>
                </a:solidFill>
              </a:endParaRPr>
            </a:p>
          </txPr>
          <dLblPos val="bestFit"/>
          <showLegendKey val="0"/>
          <showVal val="0"/>
          <showCatName val="0"/>
          <showSerName val="0"/>
          <showPercent val="1"/>
          <showBubbleSize val="0"/>
          <showLeaderLines val="1"/>
        </dLbls>
        <firstSliceAng val="0"/>
      </pieChart>
    </plotArea>
    <legend>
      <legendPos val="b"/>
      <overlay val="0"/>
      <txPr>
        <a:bodyPr vert="horz"/>
        <a:p>
          <a:pPr>
            <a:defRPr sz="900">
              <a:solidFill>
                <a:srgbClr val="404040"/>
              </a:solidFill>
            </a:defRPr>
          </a:pPr>
          <a:endParaRPr sz="900">
            <a:solidFill>
              <a:srgbClr val="404040"/>
            </a:solidFill>
          </a:endParaRPr>
        </a:p>
      </txPr>
    </legend>
    <plotVisOnly val="1"/>
    <dispBlanksAs val="gap"/>
  </chart>
  <spPr>
    <a:solidFill>
      <a:srgbClr val="FFFFFF"/>
    </a:solidFill>
    <a:ln>
      <a:noFill/>
      <a:prstDash val="solid"/>
    </a:ln>
  </spPr>
</chartSpace>
</file>

<file path=xl/charts/chart175.xml><?xml version="1.0" encoding="utf-8"?>
<chartSpace xmlns:a="http://schemas.openxmlformats.org/drawingml/2006/main" xmlns="http://schemas.openxmlformats.org/drawingml/2006/chart">
  <chart>
    <title>
      <tx>
        <rich>
          <a:bodyPr/>
          <a:p>
            <a:pPr>
              <a:defRPr sz="1200" b="1">
                <a:solidFill>
                  <a:srgbClr val="1F3864"/>
                </a:solidFill>
              </a:defRPr>
            </a:pPr>
            <a:r>
              <a:t>Що саме продає</a:t>
            </a:r>
          </a:p>
        </rich>
      </tx>
      <overlay val="0"/>
    </title>
    <plotArea>
      <barChart>
        <barDir val="bar"/>
        <grouping val="clustered"/>
        <ser>
          <idx val="0"/>
          <order val="0"/>
          <tx>
            <strRef>
              <f>'К23 ТОВ "ПАВЕРТРЕЙД"'!B80</f>
            </strRef>
          </tx>
          <spPr>
            <a:solidFill>
              <a:srgbClr val="3D7EFF"/>
            </a:solidFill>
            <a:ln>
              <a:noFill/>
              <a:prstDash val="solid"/>
            </a:ln>
          </spPr>
          <cat>
            <numRef>
              <f>'К23 ТОВ "ПАВЕРТРЕЙД"'!$A$81:$A$90</f>
            </numRef>
          </cat>
          <val>
            <numRef>
              <f>'К23 ТОВ "ПАВЕРТРЕЙД"'!$B$81:$B$90</f>
            </numRef>
          </val>
        </ser>
        <dLbls>
          <numFmt formatCode="#,##0"/>
          <txPr>
            <a:bodyPr vert="horz"/>
            <a:p>
              <a:pPr>
                <a:defRPr sz="900">
                  <a:solidFill>
                    <a:srgbClr val="404040"/>
                  </a:solidFill>
                </a:defRPr>
              </a:pPr>
              <a:endParaRPr sz="900">
                <a:solidFill>
                  <a:srgbClr val="404040"/>
                </a:solidFill>
              </a:endParaRPr>
            </a:p>
          </txPr>
          <dLblPos val="outEnd"/>
          <showLegendKey val="0"/>
          <showVal val="1"/>
          <showCatName val="0"/>
          <showSerName val="0"/>
          <showPercent val="0"/>
          <showBubbleSize val="0"/>
        </dLbls>
        <gapWidth val="60"/>
        <axId val="10"/>
        <axId val="100"/>
      </barChart>
      <catAx>
        <axId val="10"/>
        <scaling>
          <orientation val="maxMin"/>
        </scaling>
        <delete val="0"/>
        <axPos val="l"/>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0"/>
        <lblOffset val="100"/>
      </catAx>
      <valAx>
        <axId val="100"/>
        <scaling>
          <orientation val="minMax"/>
        </scaling>
        <delete val="0"/>
        <axPos val="l"/>
        <majorGridlines>
          <spPr>
            <a:ln>
              <a:solidFill>
                <a:srgbClr val="D9D9D9"/>
              </a:solidFill>
              <a:prstDash val="solid"/>
            </a:ln>
          </spPr>
        </majorGridlines>
        <numFmt formatCode="#,##0" sourceLinked="0"/>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
        <crosses val="max"/>
      </valAx>
    </plotArea>
    <plotVisOnly val="1"/>
    <dispBlanksAs val="gap"/>
  </chart>
  <spPr>
    <a:solidFill>
      <a:srgbClr val="FFFFFF"/>
    </a:solidFill>
    <a:ln>
      <a:noFill/>
      <a:prstDash val="solid"/>
    </a:ln>
  </spPr>
</chartSpace>
</file>

<file path=xl/charts/chart176.xml><?xml version="1.0" encoding="utf-8"?>
<chartSpace xmlns:a="http://schemas.openxmlformats.org/drawingml/2006/main" xmlns="http://schemas.openxmlformats.org/drawingml/2006/chart">
  <chart>
    <title>
      <tx>
        <rich>
          <a:bodyPr/>
          <a:p>
            <a:pPr>
              <a:defRPr sz="1200" b="1">
                <a:solidFill>
                  <a:srgbClr val="1F3864"/>
                </a:solidFill>
              </a:defRPr>
            </a:pPr>
            <a:r>
              <a:t>Ключові замовники</a:t>
            </a:r>
          </a:p>
        </rich>
      </tx>
      <overlay val="0"/>
    </title>
    <plotArea>
      <barChart>
        <barDir val="bar"/>
        <grouping val="clustered"/>
        <ser>
          <idx val="0"/>
          <order val="0"/>
          <tx>
            <strRef>
              <f>'К23 ТОВ "ПАВЕРТРЕЙД"'!B98</f>
            </strRef>
          </tx>
          <spPr>
            <a:solidFill>
              <a:srgbClr val="3D7EFF"/>
            </a:solidFill>
            <a:ln>
              <a:noFill/>
              <a:prstDash val="solid"/>
            </a:ln>
          </spPr>
          <cat>
            <numRef>
              <f>'К23 ТОВ "ПАВЕРТРЕЙД"'!$A$99:$A$108</f>
            </numRef>
          </cat>
          <val>
            <numRef>
              <f>'К23 ТОВ "ПАВЕРТРЕЙД"'!$B$99:$B$108</f>
            </numRef>
          </val>
        </ser>
        <dLbls>
          <numFmt formatCode="#,##0"/>
          <txPr>
            <a:bodyPr vert="horz"/>
            <a:p>
              <a:pPr>
                <a:defRPr sz="900">
                  <a:solidFill>
                    <a:srgbClr val="404040"/>
                  </a:solidFill>
                </a:defRPr>
              </a:pPr>
              <a:endParaRPr sz="900">
                <a:solidFill>
                  <a:srgbClr val="404040"/>
                </a:solidFill>
              </a:endParaRPr>
            </a:p>
          </txPr>
          <dLblPos val="outEnd"/>
          <showLegendKey val="0"/>
          <showVal val="1"/>
          <showCatName val="0"/>
          <showSerName val="0"/>
          <showPercent val="0"/>
          <showBubbleSize val="0"/>
        </dLbls>
        <gapWidth val="60"/>
        <axId val="10"/>
        <axId val="100"/>
      </barChart>
      <catAx>
        <axId val="10"/>
        <scaling>
          <orientation val="maxMin"/>
        </scaling>
        <delete val="0"/>
        <axPos val="l"/>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0"/>
        <lblOffset val="100"/>
      </catAx>
      <valAx>
        <axId val="100"/>
        <scaling>
          <orientation val="minMax"/>
        </scaling>
        <delete val="0"/>
        <axPos val="l"/>
        <majorGridlines>
          <spPr>
            <a:ln>
              <a:solidFill>
                <a:srgbClr val="D9D9D9"/>
              </a:solidFill>
              <a:prstDash val="solid"/>
            </a:ln>
          </spPr>
        </majorGridlines>
        <numFmt formatCode="#,##0" sourceLinked="0"/>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
        <crosses val="max"/>
      </valAx>
    </plotArea>
    <plotVisOnly val="1"/>
    <dispBlanksAs val="gap"/>
  </chart>
  <spPr>
    <a:solidFill>
      <a:srgbClr val="FFFFFF"/>
    </a:solidFill>
    <a:ln>
      <a:noFill/>
      <a:prstDash val="solid"/>
    </a:ln>
  </spPr>
</chartSpace>
</file>

<file path=xl/charts/chart177.xml><?xml version="1.0" encoding="utf-8"?>
<chartSpace xmlns:a="http://schemas.openxmlformats.org/drawingml/2006/main" xmlns="http://schemas.openxmlformats.org/drawingml/2006/chart">
  <chart>
    <title>
      <tx>
        <rich>
          <a:bodyPr/>
          <a:p>
            <a:pPr>
              <a:defRPr sz="1200" b="1">
                <a:solidFill>
                  <a:srgbClr val="1F3864"/>
                </a:solidFill>
              </a:defRPr>
            </a:pPr>
            <a:r>
              <a:t>Процедури</a:t>
            </a:r>
          </a:p>
        </rich>
      </tx>
      <overlay val="0"/>
    </title>
    <plotArea>
      <pieChart>
        <varyColors val="1"/>
        <ser>
          <idx val="0"/>
          <order val="0"/>
          <tx>
            <strRef>
              <f>'К23 ТОВ "ПАВЕРТРЕЙД"'!B116</f>
            </strRef>
          </tx>
          <spPr>
            <a:ln>
              <a:prstDash val="solid"/>
            </a:ln>
          </spPr>
          <dPt>
            <idx val="0"/>
            <spPr>
              <a:solidFill>
                <a:srgbClr val="3D7EFF"/>
              </a:solidFill>
              <a:ln>
                <a:prstDash val="solid"/>
              </a:ln>
            </spPr>
          </dPt>
          <dPt>
            <idx val="1"/>
            <spPr>
              <a:solidFill>
                <a:srgbClr val="3ECF8E"/>
              </a:solidFill>
              <a:ln>
                <a:prstDash val="solid"/>
              </a:ln>
            </spPr>
          </dPt>
          <cat>
            <numRef>
              <f>'К23 ТОВ "ПАВЕРТРЕЙД"'!$A$117:$A$118</f>
            </numRef>
          </cat>
          <val>
            <numRef>
              <f>'К23 ТОВ "ПАВЕРТРЕЙД"'!$B$117:$B$118</f>
            </numRef>
          </val>
        </ser>
        <dLbls>
          <txPr>
            <a:bodyPr vert="horz"/>
            <a:p>
              <a:pPr>
                <a:defRPr sz="900">
                  <a:solidFill>
                    <a:srgbClr val="404040"/>
                  </a:solidFill>
                </a:defRPr>
              </a:pPr>
              <a:endParaRPr sz="900">
                <a:solidFill>
                  <a:srgbClr val="404040"/>
                </a:solidFill>
              </a:endParaRPr>
            </a:p>
          </txPr>
          <dLblPos val="bestFit"/>
          <showLegendKey val="0"/>
          <showVal val="0"/>
          <showCatName val="0"/>
          <showSerName val="0"/>
          <showPercent val="1"/>
          <showBubbleSize val="0"/>
          <showLeaderLines val="1"/>
        </dLbls>
        <firstSliceAng val="0"/>
      </pieChart>
    </plotArea>
    <legend>
      <legendPos val="b"/>
      <overlay val="0"/>
      <txPr>
        <a:bodyPr vert="horz"/>
        <a:p>
          <a:pPr>
            <a:defRPr sz="900">
              <a:solidFill>
                <a:srgbClr val="404040"/>
              </a:solidFill>
            </a:defRPr>
          </a:pPr>
          <a:endParaRPr sz="900">
            <a:solidFill>
              <a:srgbClr val="404040"/>
            </a:solidFill>
          </a:endParaRPr>
        </a:p>
      </txPr>
    </legend>
    <plotVisOnly val="1"/>
    <dispBlanksAs val="gap"/>
  </chart>
  <spPr>
    <a:solidFill>
      <a:srgbClr val="FFFFFF"/>
    </a:solidFill>
    <a:ln>
      <a:noFill/>
      <a:prstDash val="solid"/>
    </a:ln>
  </spPr>
</chartSpace>
</file>

<file path=xl/charts/chart178.xml><?xml version="1.0" encoding="utf-8"?>
<chartSpace xmlns:a="http://schemas.openxmlformats.org/drawingml/2006/main" xmlns="http://schemas.openxmlformats.org/drawingml/2006/chart">
  <chart>
    <title>
      <tx>
        <rich>
          <a:bodyPr/>
          <a:p>
            <a:pPr>
              <a:defRPr sz="1200" b="1">
                <a:solidFill>
                  <a:srgbClr val="1F3864"/>
                </a:solidFill>
              </a:defRPr>
            </a:pPr>
            <a:r>
              <a:t>Динаміка по місяцях</a:t>
            </a:r>
          </a:p>
        </rich>
      </tx>
      <overlay val="0"/>
    </title>
    <plotArea>
      <lineChart>
        <grouping val="standard"/>
        <ser>
          <idx val="0"/>
          <order val="0"/>
          <tx>
            <strRef>
              <f>'К24 ТОВ "КОМПАКОМ"'!B43</f>
            </strRef>
          </tx>
          <spPr>
            <a:ln w="22000">
              <a:solidFill>
                <a:srgbClr val="3D7EFF"/>
              </a:solidFill>
              <a:prstDash val="solid"/>
            </a:ln>
          </spPr>
          <marker>
            <symbol val="circle"/>
            <size val="5"/>
            <spPr>
              <a:solidFill>
                <a:srgbClr val="3D7EFF"/>
              </a:solidFill>
              <a:ln>
                <a:prstDash val="solid"/>
              </a:ln>
            </spPr>
          </marker>
          <cat>
            <numRef>
              <f>'К24 ТОВ "КОМПАКОМ"'!$A$44:$A$48</f>
            </numRef>
          </cat>
          <val>
            <numRef>
              <f>'К24 ТОВ "КОМПАКОМ"'!$B$44:$B$48</f>
            </numRef>
          </val>
          <smooth val="0"/>
        </ser>
        <axId val="10"/>
        <axId val="100"/>
      </lineChart>
      <catAx>
        <axId val="10"/>
        <scaling>
          <orientation val="minMax"/>
        </scaling>
        <delete val="0"/>
        <axPos val="l"/>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0"/>
        <lblOffset val="100"/>
      </catAx>
      <valAx>
        <axId val="100"/>
        <scaling>
          <orientation val="minMax"/>
        </scaling>
        <delete val="0"/>
        <axPos val="l"/>
        <majorGridlines>
          <spPr>
            <a:ln>
              <a:solidFill>
                <a:srgbClr val="D9D9D9"/>
              </a:solidFill>
              <a:prstDash val="solid"/>
            </a:ln>
          </spPr>
        </majorGridlines>
        <numFmt formatCode="#,##0" sourceLinked="0"/>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
      </valAx>
    </plotArea>
    <plotVisOnly val="1"/>
    <dispBlanksAs val="gap"/>
  </chart>
  <spPr>
    <a:solidFill>
      <a:srgbClr val="FFFFFF"/>
    </a:solidFill>
    <a:ln>
      <a:noFill/>
      <a:prstDash val="solid"/>
    </a:ln>
  </spPr>
</chartSpace>
</file>

<file path=xl/charts/chart179.xml><?xml version="1.0" encoding="utf-8"?>
<chartSpace xmlns:a="http://schemas.openxmlformats.org/drawingml/2006/main" xmlns="http://schemas.openxmlformats.org/drawingml/2006/chart">
  <chart>
    <title>
      <tx>
        <rich>
          <a:bodyPr/>
          <a:p>
            <a:pPr>
              <a:defRPr sz="1200" b="1">
                <a:solidFill>
                  <a:srgbClr val="1F3864"/>
                </a:solidFill>
              </a:defRPr>
            </a:pPr>
            <a:r>
              <a:t>Торгові марки у позиціях</a:t>
            </a:r>
          </a:p>
        </rich>
      </tx>
      <overlay val="0"/>
    </title>
    <plotArea>
      <pieChart>
        <varyColors val="1"/>
        <ser>
          <idx val="0"/>
          <order val="0"/>
          <tx>
            <strRef>
              <f>'К24 ТОВ "КОМПАКОМ"'!B63</f>
            </strRef>
          </tx>
          <spPr>
            <a:ln>
              <a:prstDash val="solid"/>
            </a:ln>
          </spPr>
          <dPt>
            <idx val="0"/>
            <spPr>
              <a:solidFill>
                <a:srgbClr val="3D7EFF"/>
              </a:solidFill>
              <a:ln>
                <a:prstDash val="solid"/>
              </a:ln>
            </spPr>
          </dPt>
          <dPt>
            <idx val="1"/>
            <spPr>
              <a:solidFill>
                <a:srgbClr val="3ECF8E"/>
              </a:solidFill>
              <a:ln>
                <a:prstDash val="solid"/>
              </a:ln>
            </spPr>
          </dPt>
          <dPt>
            <idx val="2"/>
            <spPr>
              <a:solidFill>
                <a:srgbClr val="F0B429"/>
              </a:solidFill>
              <a:ln>
                <a:prstDash val="solid"/>
              </a:ln>
            </spPr>
          </dPt>
          <dPt>
            <idx val="3"/>
            <spPr>
              <a:solidFill>
                <a:srgbClr val="A78BFA"/>
              </a:solidFill>
              <a:ln>
                <a:prstDash val="solid"/>
              </a:ln>
            </spPr>
          </dPt>
          <dPt>
            <idx val="4"/>
            <spPr>
              <a:solidFill>
                <a:srgbClr val="22D3EE"/>
              </a:solidFill>
              <a:ln>
                <a:prstDash val="solid"/>
              </a:ln>
            </spPr>
          </dPt>
          <dPt>
            <idx val="5"/>
            <spPr>
              <a:solidFill>
                <a:srgbClr val="FB923C"/>
              </a:solidFill>
              <a:ln>
                <a:prstDash val="solid"/>
              </a:ln>
            </spPr>
          </dPt>
          <dPt>
            <idx val="6"/>
            <spPr>
              <a:solidFill>
                <a:srgbClr val="F472B6"/>
              </a:solidFill>
              <a:ln>
                <a:prstDash val="solid"/>
              </a:ln>
            </spPr>
          </dPt>
          <dPt>
            <idx val="7"/>
            <spPr>
              <a:solidFill>
                <a:srgbClr val="84CC16"/>
              </a:solidFill>
              <a:ln>
                <a:prstDash val="solid"/>
              </a:ln>
            </spPr>
          </dPt>
          <cat>
            <numRef>
              <f>'К24 ТОВ "КОМПАКОМ"'!$A$64:$A$71</f>
            </numRef>
          </cat>
          <val>
            <numRef>
              <f>'К24 ТОВ "КОМПАКОМ"'!$B$64:$B$71</f>
            </numRef>
          </val>
        </ser>
        <dLbls>
          <txPr>
            <a:bodyPr vert="horz"/>
            <a:p>
              <a:pPr>
                <a:defRPr sz="900">
                  <a:solidFill>
                    <a:srgbClr val="404040"/>
                  </a:solidFill>
                </a:defRPr>
              </a:pPr>
              <a:endParaRPr sz="900">
                <a:solidFill>
                  <a:srgbClr val="404040"/>
                </a:solidFill>
              </a:endParaRPr>
            </a:p>
          </txPr>
          <dLblPos val="bestFit"/>
          <showLegendKey val="0"/>
          <showVal val="0"/>
          <showCatName val="0"/>
          <showSerName val="0"/>
          <showPercent val="1"/>
          <showBubbleSize val="0"/>
          <showLeaderLines val="1"/>
        </dLbls>
        <firstSliceAng val="0"/>
      </pieChart>
    </plotArea>
    <legend>
      <legendPos val="b"/>
      <overlay val="0"/>
      <txPr>
        <a:bodyPr vert="horz"/>
        <a:p>
          <a:pPr>
            <a:defRPr sz="900">
              <a:solidFill>
                <a:srgbClr val="404040"/>
              </a:solidFill>
            </a:defRPr>
          </a:pPr>
          <a:endParaRPr sz="900">
            <a:solidFill>
              <a:srgbClr val="404040"/>
            </a:solidFill>
          </a:endParaRPr>
        </a:p>
      </txPr>
    </legend>
    <plotVisOnly val="1"/>
    <dispBlanksAs val="gap"/>
  </chart>
  <spPr>
    <a:solidFill>
      <a:srgbClr val="FFFFFF"/>
    </a:solidFill>
    <a:ln>
      <a:noFill/>
      <a:prstDash val="solid"/>
    </a:ln>
  </spPr>
</chartSpace>
</file>

<file path=xl/charts/chart180.xml><?xml version="1.0" encoding="utf-8"?>
<chartSpace xmlns:a="http://schemas.openxmlformats.org/drawingml/2006/main" xmlns="http://schemas.openxmlformats.org/drawingml/2006/chart">
  <chart>
    <title>
      <tx>
        <rich>
          <a:bodyPr/>
          <a:p>
            <a:pPr>
              <a:defRPr sz="1200" b="1">
                <a:solidFill>
                  <a:srgbClr val="1F3864"/>
                </a:solidFill>
              </a:defRPr>
            </a:pPr>
            <a:r>
              <a:t>Що саме продає</a:t>
            </a:r>
          </a:p>
        </rich>
      </tx>
      <overlay val="0"/>
    </title>
    <plotArea>
      <barChart>
        <barDir val="bar"/>
        <grouping val="clustered"/>
        <ser>
          <idx val="0"/>
          <order val="0"/>
          <tx>
            <strRef>
              <f>'К24 ТОВ "КОМПАКОМ"'!B83</f>
            </strRef>
          </tx>
          <spPr>
            <a:solidFill>
              <a:srgbClr val="3D7EFF"/>
            </a:solidFill>
            <a:ln>
              <a:noFill/>
              <a:prstDash val="solid"/>
            </a:ln>
          </spPr>
          <cat>
            <numRef>
              <f>'К24 ТОВ "КОМПАКОМ"'!$A$84:$A$92</f>
            </numRef>
          </cat>
          <val>
            <numRef>
              <f>'К24 ТОВ "КОМПАКОМ"'!$B$84:$B$92</f>
            </numRef>
          </val>
        </ser>
        <dLbls>
          <numFmt formatCode="#,##0"/>
          <txPr>
            <a:bodyPr vert="horz"/>
            <a:p>
              <a:pPr>
                <a:defRPr sz="900">
                  <a:solidFill>
                    <a:srgbClr val="404040"/>
                  </a:solidFill>
                </a:defRPr>
              </a:pPr>
              <a:endParaRPr sz="900">
                <a:solidFill>
                  <a:srgbClr val="404040"/>
                </a:solidFill>
              </a:endParaRPr>
            </a:p>
          </txPr>
          <dLblPos val="outEnd"/>
          <showLegendKey val="0"/>
          <showVal val="1"/>
          <showCatName val="0"/>
          <showSerName val="0"/>
          <showPercent val="0"/>
          <showBubbleSize val="0"/>
        </dLbls>
        <gapWidth val="60"/>
        <axId val="10"/>
        <axId val="100"/>
      </barChart>
      <catAx>
        <axId val="10"/>
        <scaling>
          <orientation val="maxMin"/>
        </scaling>
        <delete val="0"/>
        <axPos val="l"/>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0"/>
        <lblOffset val="100"/>
      </catAx>
      <valAx>
        <axId val="100"/>
        <scaling>
          <orientation val="minMax"/>
        </scaling>
        <delete val="0"/>
        <axPos val="l"/>
        <majorGridlines>
          <spPr>
            <a:ln>
              <a:solidFill>
                <a:srgbClr val="D9D9D9"/>
              </a:solidFill>
              <a:prstDash val="solid"/>
            </a:ln>
          </spPr>
        </majorGridlines>
        <numFmt formatCode="#,##0" sourceLinked="0"/>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
        <crosses val="max"/>
      </valAx>
    </plotArea>
    <plotVisOnly val="1"/>
    <dispBlanksAs val="gap"/>
  </chart>
  <spPr>
    <a:solidFill>
      <a:srgbClr val="FFFFFF"/>
    </a:solidFill>
    <a:ln>
      <a:noFill/>
      <a:prstDash val="solid"/>
    </a:ln>
  </spPr>
</chartSpace>
</file>

<file path=xl/charts/chart181.xml><?xml version="1.0" encoding="utf-8"?>
<chartSpace xmlns:a="http://schemas.openxmlformats.org/drawingml/2006/main" xmlns="http://schemas.openxmlformats.org/drawingml/2006/chart">
  <chart>
    <title>
      <tx>
        <rich>
          <a:bodyPr/>
          <a:p>
            <a:pPr>
              <a:defRPr sz="1200" b="1">
                <a:solidFill>
                  <a:srgbClr val="1F3864"/>
                </a:solidFill>
              </a:defRPr>
            </a:pPr>
            <a:r>
              <a:t>Ключові замовники</a:t>
            </a:r>
          </a:p>
        </rich>
      </tx>
      <overlay val="0"/>
    </title>
    <plotArea>
      <barChart>
        <barDir val="bar"/>
        <grouping val="clustered"/>
        <ser>
          <idx val="0"/>
          <order val="0"/>
          <tx>
            <strRef>
              <f>'К24 ТОВ "КОМПАКОМ"'!B100</f>
            </strRef>
          </tx>
          <spPr>
            <a:solidFill>
              <a:srgbClr val="3D7EFF"/>
            </a:solidFill>
            <a:ln>
              <a:noFill/>
              <a:prstDash val="solid"/>
            </a:ln>
          </spPr>
          <cat>
            <numRef>
              <f>'К24 ТОВ "КОМПАКОМ"'!$A$101:$A$107</f>
            </numRef>
          </cat>
          <val>
            <numRef>
              <f>'К24 ТОВ "КОМПАКОМ"'!$B$101:$B$107</f>
            </numRef>
          </val>
        </ser>
        <dLbls>
          <numFmt formatCode="#,##0"/>
          <txPr>
            <a:bodyPr vert="horz"/>
            <a:p>
              <a:pPr>
                <a:defRPr sz="900">
                  <a:solidFill>
                    <a:srgbClr val="404040"/>
                  </a:solidFill>
                </a:defRPr>
              </a:pPr>
              <a:endParaRPr sz="900">
                <a:solidFill>
                  <a:srgbClr val="404040"/>
                </a:solidFill>
              </a:endParaRPr>
            </a:p>
          </txPr>
          <dLblPos val="outEnd"/>
          <showLegendKey val="0"/>
          <showVal val="1"/>
          <showCatName val="0"/>
          <showSerName val="0"/>
          <showPercent val="0"/>
          <showBubbleSize val="0"/>
        </dLbls>
        <gapWidth val="60"/>
        <axId val="10"/>
        <axId val="100"/>
      </barChart>
      <catAx>
        <axId val="10"/>
        <scaling>
          <orientation val="maxMin"/>
        </scaling>
        <delete val="0"/>
        <axPos val="l"/>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0"/>
        <lblOffset val="100"/>
      </catAx>
      <valAx>
        <axId val="100"/>
        <scaling>
          <orientation val="minMax"/>
        </scaling>
        <delete val="0"/>
        <axPos val="l"/>
        <majorGridlines>
          <spPr>
            <a:ln>
              <a:solidFill>
                <a:srgbClr val="D9D9D9"/>
              </a:solidFill>
              <a:prstDash val="solid"/>
            </a:ln>
          </spPr>
        </majorGridlines>
        <numFmt formatCode="#,##0" sourceLinked="0"/>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
        <crosses val="max"/>
      </valAx>
    </plotArea>
    <plotVisOnly val="1"/>
    <dispBlanksAs val="gap"/>
  </chart>
  <spPr>
    <a:solidFill>
      <a:srgbClr val="FFFFFF"/>
    </a:solidFill>
    <a:ln>
      <a:noFill/>
      <a:prstDash val="solid"/>
    </a:ln>
  </spPr>
</chartSpace>
</file>

<file path=xl/charts/chart182.xml><?xml version="1.0" encoding="utf-8"?>
<chartSpace xmlns:a="http://schemas.openxmlformats.org/drawingml/2006/main" xmlns="http://schemas.openxmlformats.org/drawingml/2006/chart">
  <chart>
    <title>
      <tx>
        <rich>
          <a:bodyPr/>
          <a:p>
            <a:pPr>
              <a:defRPr sz="1200" b="1">
                <a:solidFill>
                  <a:srgbClr val="1F3864"/>
                </a:solidFill>
              </a:defRPr>
            </a:pPr>
            <a:r>
              <a:t>Процедури</a:t>
            </a:r>
          </a:p>
        </rich>
      </tx>
      <overlay val="0"/>
    </title>
    <plotArea>
      <pieChart>
        <varyColors val="1"/>
        <ser>
          <idx val="0"/>
          <order val="0"/>
          <tx>
            <strRef>
              <f>'К24 ТОВ "КОМПАКОМ"'!B116</f>
            </strRef>
          </tx>
          <spPr>
            <a:ln>
              <a:prstDash val="solid"/>
            </a:ln>
          </spPr>
          <dPt>
            <idx val="0"/>
            <spPr>
              <a:solidFill>
                <a:srgbClr val="3D7EFF"/>
              </a:solidFill>
              <a:ln>
                <a:prstDash val="solid"/>
              </a:ln>
            </spPr>
          </dPt>
          <dPt>
            <idx val="1"/>
            <spPr>
              <a:solidFill>
                <a:srgbClr val="3ECF8E"/>
              </a:solidFill>
              <a:ln>
                <a:prstDash val="solid"/>
              </a:ln>
            </spPr>
          </dPt>
          <cat>
            <numRef>
              <f>'К24 ТОВ "КОМПАКОМ"'!$A$117:$A$118</f>
            </numRef>
          </cat>
          <val>
            <numRef>
              <f>'К24 ТОВ "КОМПАКОМ"'!$B$117:$B$118</f>
            </numRef>
          </val>
        </ser>
        <dLbls>
          <txPr>
            <a:bodyPr vert="horz"/>
            <a:p>
              <a:pPr>
                <a:defRPr sz="900">
                  <a:solidFill>
                    <a:srgbClr val="404040"/>
                  </a:solidFill>
                </a:defRPr>
              </a:pPr>
              <a:endParaRPr sz="900">
                <a:solidFill>
                  <a:srgbClr val="404040"/>
                </a:solidFill>
              </a:endParaRPr>
            </a:p>
          </txPr>
          <dLblPos val="bestFit"/>
          <showLegendKey val="0"/>
          <showVal val="0"/>
          <showCatName val="0"/>
          <showSerName val="0"/>
          <showPercent val="1"/>
          <showBubbleSize val="0"/>
          <showLeaderLines val="1"/>
        </dLbls>
        <firstSliceAng val="0"/>
      </pieChart>
    </plotArea>
    <legend>
      <legendPos val="b"/>
      <overlay val="0"/>
      <txPr>
        <a:bodyPr vert="horz"/>
        <a:p>
          <a:pPr>
            <a:defRPr sz="900">
              <a:solidFill>
                <a:srgbClr val="404040"/>
              </a:solidFill>
            </a:defRPr>
          </a:pPr>
          <a:endParaRPr sz="900">
            <a:solidFill>
              <a:srgbClr val="404040"/>
            </a:solidFill>
          </a:endParaRPr>
        </a:p>
      </txPr>
    </legend>
    <plotVisOnly val="1"/>
    <dispBlanksAs val="gap"/>
  </chart>
  <spPr>
    <a:solidFill>
      <a:srgbClr val="FFFFFF"/>
    </a:solidFill>
    <a:ln>
      <a:noFill/>
      <a:prstDash val="solid"/>
    </a:ln>
  </spPr>
</chartSpace>
</file>

<file path=xl/charts/chart183.xml><?xml version="1.0" encoding="utf-8"?>
<chartSpace xmlns:a="http://schemas.openxmlformats.org/drawingml/2006/main" xmlns="http://schemas.openxmlformats.org/drawingml/2006/chart">
  <chart>
    <title>
      <tx>
        <rich>
          <a:bodyPr/>
          <a:p>
            <a:pPr>
              <a:defRPr sz="1200" b="1">
                <a:solidFill>
                  <a:srgbClr val="1F3864"/>
                </a:solidFill>
              </a:defRPr>
            </a:pPr>
            <a:r>
              <a:t>Динаміка по місяцях</a:t>
            </a:r>
          </a:p>
        </rich>
      </tx>
      <overlay val="0"/>
    </title>
    <plotArea>
      <lineChart>
        <grouping val="standard"/>
        <ser>
          <idx val="0"/>
          <order val="0"/>
          <tx>
            <strRef>
              <f>'К25 ФОП "Гріпіч Тетяна Борисівн'!B40</f>
            </strRef>
          </tx>
          <spPr>
            <a:ln w="22000">
              <a:solidFill>
                <a:srgbClr val="3D7EFF"/>
              </a:solidFill>
              <a:prstDash val="solid"/>
            </a:ln>
          </spPr>
          <marker>
            <symbol val="circle"/>
            <size val="5"/>
            <spPr>
              <a:solidFill>
                <a:srgbClr val="3D7EFF"/>
              </a:solidFill>
              <a:ln>
                <a:prstDash val="solid"/>
              </a:ln>
            </spPr>
          </marker>
          <cat>
            <numRef>
              <f>'К25 ФОП "Гріпіч Тетяна Борисівн'!$A$41:$A$46</f>
            </numRef>
          </cat>
          <val>
            <numRef>
              <f>'К25 ФОП "Гріпіч Тетяна Борисівн'!$B$41:$B$46</f>
            </numRef>
          </val>
          <smooth val="0"/>
        </ser>
        <axId val="10"/>
        <axId val="100"/>
      </lineChart>
      <catAx>
        <axId val="10"/>
        <scaling>
          <orientation val="minMax"/>
        </scaling>
        <delete val="0"/>
        <axPos val="l"/>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0"/>
        <lblOffset val="100"/>
      </catAx>
      <valAx>
        <axId val="100"/>
        <scaling>
          <orientation val="minMax"/>
        </scaling>
        <delete val="0"/>
        <axPos val="l"/>
        <majorGridlines>
          <spPr>
            <a:ln>
              <a:solidFill>
                <a:srgbClr val="D9D9D9"/>
              </a:solidFill>
              <a:prstDash val="solid"/>
            </a:ln>
          </spPr>
        </majorGridlines>
        <numFmt formatCode="#,##0" sourceLinked="0"/>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
      </valAx>
    </plotArea>
    <plotVisOnly val="1"/>
    <dispBlanksAs val="gap"/>
  </chart>
  <spPr>
    <a:solidFill>
      <a:srgbClr val="FFFFFF"/>
    </a:solidFill>
    <a:ln>
      <a:noFill/>
      <a:prstDash val="solid"/>
    </a:ln>
  </spPr>
</chartSpace>
</file>

<file path=xl/charts/chart184.xml><?xml version="1.0" encoding="utf-8"?>
<chartSpace xmlns:a="http://schemas.openxmlformats.org/drawingml/2006/main" xmlns="http://schemas.openxmlformats.org/drawingml/2006/chart">
  <chart>
    <title>
      <tx>
        <rich>
          <a:bodyPr/>
          <a:p>
            <a:pPr>
              <a:defRPr sz="1200" b="1">
                <a:solidFill>
                  <a:srgbClr val="1F3864"/>
                </a:solidFill>
              </a:defRPr>
            </a:pPr>
            <a:r>
              <a:t>Торгові марки у позиціях</a:t>
            </a:r>
          </a:p>
        </rich>
      </tx>
      <overlay val="0"/>
    </title>
    <plotArea>
      <pieChart>
        <varyColors val="1"/>
        <ser>
          <idx val="0"/>
          <order val="0"/>
          <tx>
            <strRef>
              <f>'К25 ФОП "Гріпіч Тетяна Борисівн'!B60</f>
            </strRef>
          </tx>
          <spPr>
            <a:ln>
              <a:prstDash val="solid"/>
            </a:ln>
          </spPr>
          <dPt>
            <idx val="0"/>
            <spPr>
              <a:solidFill>
                <a:srgbClr val="3D7EFF"/>
              </a:solidFill>
              <a:ln>
                <a:prstDash val="solid"/>
              </a:ln>
            </spPr>
          </dPt>
          <cat>
            <numRef>
              <f>'К25 ФОП "Гріпіч Тетяна Борисівн'!$A$61</f>
            </numRef>
          </cat>
          <val>
            <numRef>
              <f>'К25 ФОП "Гріпіч Тетяна Борисівн'!$B$61</f>
            </numRef>
          </val>
        </ser>
        <dLbls>
          <txPr>
            <a:bodyPr vert="horz"/>
            <a:p>
              <a:pPr>
                <a:defRPr sz="900">
                  <a:solidFill>
                    <a:srgbClr val="404040"/>
                  </a:solidFill>
                </a:defRPr>
              </a:pPr>
              <a:endParaRPr sz="900">
                <a:solidFill>
                  <a:srgbClr val="404040"/>
                </a:solidFill>
              </a:endParaRPr>
            </a:p>
          </txPr>
          <dLblPos val="bestFit"/>
          <showLegendKey val="0"/>
          <showVal val="0"/>
          <showCatName val="0"/>
          <showSerName val="0"/>
          <showPercent val="1"/>
          <showBubbleSize val="0"/>
          <showLeaderLines val="1"/>
        </dLbls>
        <firstSliceAng val="0"/>
      </pieChart>
    </plotArea>
    <legend>
      <legendPos val="b"/>
      <overlay val="0"/>
      <txPr>
        <a:bodyPr vert="horz"/>
        <a:p>
          <a:pPr>
            <a:defRPr sz="900">
              <a:solidFill>
                <a:srgbClr val="404040"/>
              </a:solidFill>
            </a:defRPr>
          </a:pPr>
          <a:endParaRPr sz="900">
            <a:solidFill>
              <a:srgbClr val="404040"/>
            </a:solidFill>
          </a:endParaRPr>
        </a:p>
      </txPr>
    </legend>
    <plotVisOnly val="1"/>
    <dispBlanksAs val="gap"/>
  </chart>
  <spPr>
    <a:solidFill>
      <a:srgbClr val="FFFFFF"/>
    </a:solidFill>
    <a:ln>
      <a:noFill/>
      <a:prstDash val="solid"/>
    </a:ln>
  </spPr>
</chartSpace>
</file>

<file path=xl/charts/chart185.xml><?xml version="1.0" encoding="utf-8"?>
<chartSpace xmlns:a="http://schemas.openxmlformats.org/drawingml/2006/main" xmlns="http://schemas.openxmlformats.org/drawingml/2006/chart">
  <chart>
    <title>
      <tx>
        <rich>
          <a:bodyPr/>
          <a:p>
            <a:pPr>
              <a:defRPr sz="1200" b="1">
                <a:solidFill>
                  <a:srgbClr val="1F3864"/>
                </a:solidFill>
              </a:defRPr>
            </a:pPr>
            <a:r>
              <a:t>Що саме продає</a:t>
            </a:r>
          </a:p>
        </rich>
      </tx>
      <overlay val="0"/>
    </title>
    <plotArea>
      <barChart>
        <barDir val="bar"/>
        <grouping val="clustered"/>
        <ser>
          <idx val="0"/>
          <order val="0"/>
          <tx>
            <strRef>
              <f>'К25 ФОП "Гріпіч Тетяна Борисівн'!B80</f>
            </strRef>
          </tx>
          <spPr>
            <a:solidFill>
              <a:srgbClr val="3D7EFF"/>
            </a:solidFill>
            <a:ln>
              <a:noFill/>
              <a:prstDash val="solid"/>
            </a:ln>
          </spPr>
          <cat>
            <numRef>
              <f>'К25 ФОП "Гріпіч Тетяна Борисівн'!$A$81:$A$90</f>
            </numRef>
          </cat>
          <val>
            <numRef>
              <f>'К25 ФОП "Гріпіч Тетяна Борисівн'!$B$81:$B$90</f>
            </numRef>
          </val>
        </ser>
        <dLbls>
          <numFmt formatCode="#,##0"/>
          <txPr>
            <a:bodyPr vert="horz"/>
            <a:p>
              <a:pPr>
                <a:defRPr sz="900">
                  <a:solidFill>
                    <a:srgbClr val="404040"/>
                  </a:solidFill>
                </a:defRPr>
              </a:pPr>
              <a:endParaRPr sz="900">
                <a:solidFill>
                  <a:srgbClr val="404040"/>
                </a:solidFill>
              </a:endParaRPr>
            </a:p>
          </txPr>
          <dLblPos val="outEnd"/>
          <showLegendKey val="0"/>
          <showVal val="1"/>
          <showCatName val="0"/>
          <showSerName val="0"/>
          <showPercent val="0"/>
          <showBubbleSize val="0"/>
        </dLbls>
        <gapWidth val="60"/>
        <axId val="10"/>
        <axId val="100"/>
      </barChart>
      <catAx>
        <axId val="10"/>
        <scaling>
          <orientation val="maxMin"/>
        </scaling>
        <delete val="0"/>
        <axPos val="l"/>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0"/>
        <lblOffset val="100"/>
      </catAx>
      <valAx>
        <axId val="100"/>
        <scaling>
          <orientation val="minMax"/>
        </scaling>
        <delete val="0"/>
        <axPos val="l"/>
        <majorGridlines>
          <spPr>
            <a:ln>
              <a:solidFill>
                <a:srgbClr val="D9D9D9"/>
              </a:solidFill>
              <a:prstDash val="solid"/>
            </a:ln>
          </spPr>
        </majorGridlines>
        <numFmt formatCode="#,##0" sourceLinked="0"/>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
        <crosses val="max"/>
      </valAx>
    </plotArea>
    <plotVisOnly val="1"/>
    <dispBlanksAs val="gap"/>
  </chart>
  <spPr>
    <a:solidFill>
      <a:srgbClr val="FFFFFF"/>
    </a:solidFill>
    <a:ln>
      <a:noFill/>
      <a:prstDash val="solid"/>
    </a:ln>
  </spPr>
</chartSpace>
</file>

<file path=xl/charts/chart186.xml><?xml version="1.0" encoding="utf-8"?>
<chartSpace xmlns:a="http://schemas.openxmlformats.org/drawingml/2006/main" xmlns="http://schemas.openxmlformats.org/drawingml/2006/chart">
  <chart>
    <title>
      <tx>
        <rich>
          <a:bodyPr/>
          <a:p>
            <a:pPr>
              <a:defRPr sz="1200" b="1">
                <a:solidFill>
                  <a:srgbClr val="1F3864"/>
                </a:solidFill>
              </a:defRPr>
            </a:pPr>
            <a:r>
              <a:t>Ключові замовники</a:t>
            </a:r>
          </a:p>
        </rich>
      </tx>
      <overlay val="0"/>
    </title>
    <plotArea>
      <barChart>
        <barDir val="bar"/>
        <grouping val="clustered"/>
        <ser>
          <idx val="0"/>
          <order val="0"/>
          <tx>
            <strRef>
              <f>'К25 ФОП "Гріпіч Тетяна Борисівн'!B98</f>
            </strRef>
          </tx>
          <spPr>
            <a:solidFill>
              <a:srgbClr val="3D7EFF"/>
            </a:solidFill>
            <a:ln>
              <a:noFill/>
              <a:prstDash val="solid"/>
            </a:ln>
          </spPr>
          <cat>
            <numRef>
              <f>'К25 ФОП "Гріпіч Тетяна Борисівн'!$A$99:$A$106</f>
            </numRef>
          </cat>
          <val>
            <numRef>
              <f>'К25 ФОП "Гріпіч Тетяна Борисівн'!$B$99:$B$106</f>
            </numRef>
          </val>
        </ser>
        <dLbls>
          <numFmt formatCode="#,##0"/>
          <txPr>
            <a:bodyPr vert="horz"/>
            <a:p>
              <a:pPr>
                <a:defRPr sz="900">
                  <a:solidFill>
                    <a:srgbClr val="404040"/>
                  </a:solidFill>
                </a:defRPr>
              </a:pPr>
              <a:endParaRPr sz="900">
                <a:solidFill>
                  <a:srgbClr val="404040"/>
                </a:solidFill>
              </a:endParaRPr>
            </a:p>
          </txPr>
          <dLblPos val="outEnd"/>
          <showLegendKey val="0"/>
          <showVal val="1"/>
          <showCatName val="0"/>
          <showSerName val="0"/>
          <showPercent val="0"/>
          <showBubbleSize val="0"/>
        </dLbls>
        <gapWidth val="60"/>
        <axId val="10"/>
        <axId val="100"/>
      </barChart>
      <catAx>
        <axId val="10"/>
        <scaling>
          <orientation val="maxMin"/>
        </scaling>
        <delete val="0"/>
        <axPos val="l"/>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0"/>
        <lblOffset val="100"/>
      </catAx>
      <valAx>
        <axId val="100"/>
        <scaling>
          <orientation val="minMax"/>
        </scaling>
        <delete val="0"/>
        <axPos val="l"/>
        <majorGridlines>
          <spPr>
            <a:ln>
              <a:solidFill>
                <a:srgbClr val="D9D9D9"/>
              </a:solidFill>
              <a:prstDash val="solid"/>
            </a:ln>
          </spPr>
        </majorGridlines>
        <numFmt formatCode="#,##0" sourceLinked="0"/>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
        <crosses val="max"/>
      </valAx>
    </plotArea>
    <plotVisOnly val="1"/>
    <dispBlanksAs val="gap"/>
  </chart>
  <spPr>
    <a:solidFill>
      <a:srgbClr val="FFFFFF"/>
    </a:solidFill>
    <a:ln>
      <a:noFill/>
      <a:prstDash val="solid"/>
    </a:ln>
  </spPr>
</chartSpace>
</file>

<file path=xl/charts/chart187.xml><?xml version="1.0" encoding="utf-8"?>
<chartSpace xmlns:a="http://schemas.openxmlformats.org/drawingml/2006/main" xmlns="http://schemas.openxmlformats.org/drawingml/2006/chart">
  <chart>
    <title>
      <tx>
        <rich>
          <a:bodyPr/>
          <a:p>
            <a:pPr>
              <a:defRPr sz="1200" b="1">
                <a:solidFill>
                  <a:srgbClr val="1F3864"/>
                </a:solidFill>
              </a:defRPr>
            </a:pPr>
            <a:r>
              <a:t>Торгові марки у позиціях</a:t>
            </a:r>
          </a:p>
        </rich>
      </tx>
      <overlay val="0"/>
    </title>
    <plotArea>
      <pieChart>
        <varyColors val="1"/>
        <ser>
          <idx val="0"/>
          <order val="0"/>
          <tx>
            <strRef>
              <f>'К26 ФОП "СРИВКІН СЕРГІЙ БОРИСОВ'!B36</f>
            </strRef>
          </tx>
          <spPr>
            <a:ln>
              <a:prstDash val="solid"/>
            </a:ln>
          </spPr>
          <dPt>
            <idx val="0"/>
            <spPr>
              <a:solidFill>
                <a:srgbClr val="3D7EFF"/>
              </a:solidFill>
              <a:ln>
                <a:prstDash val="solid"/>
              </a:ln>
            </spPr>
          </dPt>
          <dPt>
            <idx val="1"/>
            <spPr>
              <a:solidFill>
                <a:srgbClr val="3ECF8E"/>
              </a:solidFill>
              <a:ln>
                <a:prstDash val="solid"/>
              </a:ln>
            </spPr>
          </dPt>
          <dPt>
            <idx val="2"/>
            <spPr>
              <a:solidFill>
                <a:srgbClr val="F0B429"/>
              </a:solidFill>
              <a:ln>
                <a:prstDash val="solid"/>
              </a:ln>
            </spPr>
          </dPt>
          <cat>
            <numRef>
              <f>'К26 ФОП "СРИВКІН СЕРГІЙ БОРИСОВ'!$A$37:$A$39</f>
            </numRef>
          </cat>
          <val>
            <numRef>
              <f>'К26 ФОП "СРИВКІН СЕРГІЙ БОРИСОВ'!$B$37:$B$39</f>
            </numRef>
          </val>
        </ser>
        <dLbls>
          <txPr>
            <a:bodyPr vert="horz"/>
            <a:p>
              <a:pPr>
                <a:defRPr sz="900">
                  <a:solidFill>
                    <a:srgbClr val="404040"/>
                  </a:solidFill>
                </a:defRPr>
              </a:pPr>
              <a:endParaRPr sz="900">
                <a:solidFill>
                  <a:srgbClr val="404040"/>
                </a:solidFill>
              </a:endParaRPr>
            </a:p>
          </txPr>
          <dLblPos val="bestFit"/>
          <showLegendKey val="0"/>
          <showVal val="0"/>
          <showCatName val="0"/>
          <showSerName val="0"/>
          <showPercent val="1"/>
          <showBubbleSize val="0"/>
          <showLeaderLines val="1"/>
        </dLbls>
        <firstSliceAng val="0"/>
      </pieChart>
    </plotArea>
    <legend>
      <legendPos val="b"/>
      <overlay val="0"/>
      <txPr>
        <a:bodyPr vert="horz"/>
        <a:p>
          <a:pPr>
            <a:defRPr sz="900">
              <a:solidFill>
                <a:srgbClr val="404040"/>
              </a:solidFill>
            </a:defRPr>
          </a:pPr>
          <a:endParaRPr sz="900">
            <a:solidFill>
              <a:srgbClr val="404040"/>
            </a:solidFill>
          </a:endParaRPr>
        </a:p>
      </txPr>
    </legend>
    <plotVisOnly val="1"/>
    <dispBlanksAs val="gap"/>
  </chart>
  <spPr>
    <a:solidFill>
      <a:srgbClr val="FFFFFF"/>
    </a:solidFill>
    <a:ln>
      <a:noFill/>
      <a:prstDash val="solid"/>
    </a:ln>
  </spPr>
</chartSpace>
</file>

<file path=xl/charts/chart188.xml><?xml version="1.0" encoding="utf-8"?>
<chartSpace xmlns:a="http://schemas.openxmlformats.org/drawingml/2006/main" xmlns="http://schemas.openxmlformats.org/drawingml/2006/chart">
  <chart>
    <title>
      <tx>
        <rich>
          <a:bodyPr/>
          <a:p>
            <a:pPr>
              <a:defRPr sz="1200" b="1">
                <a:solidFill>
                  <a:srgbClr val="1F3864"/>
                </a:solidFill>
              </a:defRPr>
            </a:pPr>
            <a:r>
              <a:t>Що саме продає</a:t>
            </a:r>
          </a:p>
        </rich>
      </tx>
      <overlay val="0"/>
    </title>
    <plotArea>
      <barChart>
        <barDir val="bar"/>
        <grouping val="clustered"/>
        <ser>
          <idx val="0"/>
          <order val="0"/>
          <tx>
            <strRef>
              <f>'К26 ФОП "СРИВКІН СЕРГІЙ БОРИСОВ'!B56</f>
            </strRef>
          </tx>
          <spPr>
            <a:solidFill>
              <a:srgbClr val="3D7EFF"/>
            </a:solidFill>
            <a:ln>
              <a:noFill/>
              <a:prstDash val="solid"/>
            </a:ln>
          </spPr>
          <cat>
            <numRef>
              <f>'К26 ФОП "СРИВКІН СЕРГІЙ БОРИСОВ'!$A$57:$A$66</f>
            </numRef>
          </cat>
          <val>
            <numRef>
              <f>'К26 ФОП "СРИВКІН СЕРГІЙ БОРИСОВ'!$B$57:$B$66</f>
            </numRef>
          </val>
        </ser>
        <dLbls>
          <numFmt formatCode="#,##0"/>
          <txPr>
            <a:bodyPr vert="horz"/>
            <a:p>
              <a:pPr>
                <a:defRPr sz="900">
                  <a:solidFill>
                    <a:srgbClr val="404040"/>
                  </a:solidFill>
                </a:defRPr>
              </a:pPr>
              <a:endParaRPr sz="900">
                <a:solidFill>
                  <a:srgbClr val="404040"/>
                </a:solidFill>
              </a:endParaRPr>
            </a:p>
          </txPr>
          <dLblPos val="outEnd"/>
          <showLegendKey val="0"/>
          <showVal val="1"/>
          <showCatName val="0"/>
          <showSerName val="0"/>
          <showPercent val="0"/>
          <showBubbleSize val="0"/>
        </dLbls>
        <gapWidth val="60"/>
        <axId val="10"/>
        <axId val="100"/>
      </barChart>
      <catAx>
        <axId val="10"/>
        <scaling>
          <orientation val="maxMin"/>
        </scaling>
        <delete val="0"/>
        <axPos val="l"/>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0"/>
        <lblOffset val="100"/>
      </catAx>
      <valAx>
        <axId val="100"/>
        <scaling>
          <orientation val="minMax"/>
        </scaling>
        <delete val="0"/>
        <axPos val="l"/>
        <majorGridlines>
          <spPr>
            <a:ln>
              <a:solidFill>
                <a:srgbClr val="D9D9D9"/>
              </a:solidFill>
              <a:prstDash val="solid"/>
            </a:ln>
          </spPr>
        </majorGridlines>
        <numFmt formatCode="#,##0" sourceLinked="0"/>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
        <crosses val="max"/>
      </valAx>
    </plotArea>
    <plotVisOnly val="1"/>
    <dispBlanksAs val="gap"/>
  </chart>
  <spPr>
    <a:solidFill>
      <a:srgbClr val="FFFFFF"/>
    </a:solidFill>
    <a:ln>
      <a:noFill/>
      <a:prstDash val="solid"/>
    </a:ln>
  </spPr>
</chartSpace>
</file>

<file path=xl/charts/chart189.xml><?xml version="1.0" encoding="utf-8"?>
<chartSpace xmlns:a="http://schemas.openxmlformats.org/drawingml/2006/main" xmlns="http://schemas.openxmlformats.org/drawingml/2006/chart">
  <chart>
    <title>
      <tx>
        <rich>
          <a:bodyPr/>
          <a:p>
            <a:pPr>
              <a:defRPr sz="1200" b="1">
                <a:solidFill>
                  <a:srgbClr val="1F3864"/>
                </a:solidFill>
              </a:defRPr>
            </a:pPr>
            <a:r>
              <a:t>Динаміка по місяцях</a:t>
            </a:r>
          </a:p>
        </rich>
      </tx>
      <overlay val="0"/>
    </title>
    <plotArea>
      <lineChart>
        <grouping val="standard"/>
        <ser>
          <idx val="0"/>
          <order val="0"/>
          <tx>
            <strRef>
              <f>'К27 ФОП СІНЬКЕВИЧ ОЛЕКСАНДР АНА'!B38</f>
            </strRef>
          </tx>
          <spPr>
            <a:ln w="22000">
              <a:solidFill>
                <a:srgbClr val="3D7EFF"/>
              </a:solidFill>
              <a:prstDash val="solid"/>
            </a:ln>
          </spPr>
          <marker>
            <symbol val="circle"/>
            <size val="5"/>
            <spPr>
              <a:solidFill>
                <a:srgbClr val="3D7EFF"/>
              </a:solidFill>
              <a:ln>
                <a:prstDash val="solid"/>
              </a:ln>
            </spPr>
          </marker>
          <cat>
            <numRef>
              <f>'К27 ФОП СІНЬКЕВИЧ ОЛЕКСАНДР АНА'!$A$39:$A$41</f>
            </numRef>
          </cat>
          <val>
            <numRef>
              <f>'К27 ФОП СІНЬКЕВИЧ ОЛЕКСАНДР АНА'!$B$39:$B$41</f>
            </numRef>
          </val>
          <smooth val="0"/>
        </ser>
        <axId val="10"/>
        <axId val="100"/>
      </lineChart>
      <catAx>
        <axId val="10"/>
        <scaling>
          <orientation val="minMax"/>
        </scaling>
        <delete val="0"/>
        <axPos val="l"/>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0"/>
        <lblOffset val="100"/>
      </catAx>
      <valAx>
        <axId val="100"/>
        <scaling>
          <orientation val="minMax"/>
        </scaling>
        <delete val="0"/>
        <axPos val="l"/>
        <majorGridlines>
          <spPr>
            <a:ln>
              <a:solidFill>
                <a:srgbClr val="D9D9D9"/>
              </a:solidFill>
              <a:prstDash val="solid"/>
            </a:ln>
          </spPr>
        </majorGridlines>
        <numFmt formatCode="#,##0" sourceLinked="0"/>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
      </valAx>
    </plotArea>
    <plotVisOnly val="1"/>
    <dispBlanksAs val="gap"/>
  </chart>
  <spPr>
    <a:solidFill>
      <a:srgbClr val="FFFFFF"/>
    </a:solidFill>
    <a:ln>
      <a:noFill/>
      <a:prstDash val="solid"/>
    </a:ln>
  </spPr>
</chartSpace>
</file>

<file path=xl/charts/chart190.xml><?xml version="1.0" encoding="utf-8"?>
<chartSpace xmlns:a="http://schemas.openxmlformats.org/drawingml/2006/main" xmlns="http://schemas.openxmlformats.org/drawingml/2006/chart">
  <chart>
    <title>
      <tx>
        <rich>
          <a:bodyPr/>
          <a:p>
            <a:pPr>
              <a:defRPr sz="1200" b="1">
                <a:solidFill>
                  <a:srgbClr val="1F3864"/>
                </a:solidFill>
              </a:defRPr>
            </a:pPr>
            <a:r>
              <a:t>Що саме продає</a:t>
            </a:r>
          </a:p>
        </rich>
      </tx>
      <overlay val="0"/>
    </title>
    <plotArea>
      <barChart>
        <barDir val="bar"/>
        <grouping val="clustered"/>
        <ser>
          <idx val="0"/>
          <order val="0"/>
          <tx>
            <strRef>
              <f>'К27 ФОП СІНЬКЕВИЧ ОЛЕКСАНДР АНА'!B58</f>
            </strRef>
          </tx>
          <spPr>
            <a:solidFill>
              <a:srgbClr val="3D7EFF"/>
            </a:solidFill>
            <a:ln>
              <a:noFill/>
              <a:prstDash val="solid"/>
            </a:ln>
          </spPr>
          <cat>
            <numRef>
              <f>'К27 ФОП СІНЬКЕВИЧ ОЛЕКСАНДР АНА'!$A$59:$A$67</f>
            </numRef>
          </cat>
          <val>
            <numRef>
              <f>'К27 ФОП СІНЬКЕВИЧ ОЛЕКСАНДР АНА'!$B$59:$B$67</f>
            </numRef>
          </val>
        </ser>
        <dLbls>
          <numFmt formatCode="#,##0"/>
          <txPr>
            <a:bodyPr vert="horz"/>
            <a:p>
              <a:pPr>
                <a:defRPr sz="900">
                  <a:solidFill>
                    <a:srgbClr val="404040"/>
                  </a:solidFill>
                </a:defRPr>
              </a:pPr>
              <a:endParaRPr sz="900">
                <a:solidFill>
                  <a:srgbClr val="404040"/>
                </a:solidFill>
              </a:endParaRPr>
            </a:p>
          </txPr>
          <dLblPos val="outEnd"/>
          <showLegendKey val="0"/>
          <showVal val="1"/>
          <showCatName val="0"/>
          <showSerName val="0"/>
          <showPercent val="0"/>
          <showBubbleSize val="0"/>
        </dLbls>
        <gapWidth val="60"/>
        <axId val="10"/>
        <axId val="100"/>
      </barChart>
      <catAx>
        <axId val="10"/>
        <scaling>
          <orientation val="maxMin"/>
        </scaling>
        <delete val="0"/>
        <axPos val="l"/>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0"/>
        <lblOffset val="100"/>
      </catAx>
      <valAx>
        <axId val="100"/>
        <scaling>
          <orientation val="minMax"/>
        </scaling>
        <delete val="0"/>
        <axPos val="l"/>
        <majorGridlines>
          <spPr>
            <a:ln>
              <a:solidFill>
                <a:srgbClr val="D9D9D9"/>
              </a:solidFill>
              <a:prstDash val="solid"/>
            </a:ln>
          </spPr>
        </majorGridlines>
        <numFmt formatCode="#,##0" sourceLinked="0"/>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
        <crosses val="max"/>
      </valAx>
    </plotArea>
    <plotVisOnly val="1"/>
    <dispBlanksAs val="gap"/>
  </chart>
  <spPr>
    <a:solidFill>
      <a:srgbClr val="FFFFFF"/>
    </a:solidFill>
    <a:ln>
      <a:noFill/>
      <a:prstDash val="solid"/>
    </a:ln>
  </spPr>
</chartSpace>
</file>

<file path=xl/charts/chart191.xml><?xml version="1.0" encoding="utf-8"?>
<chartSpace xmlns:a="http://schemas.openxmlformats.org/drawingml/2006/main" xmlns="http://schemas.openxmlformats.org/drawingml/2006/chart">
  <chart>
    <title>
      <tx>
        <rich>
          <a:bodyPr/>
          <a:p>
            <a:pPr>
              <a:defRPr sz="1200" b="1">
                <a:solidFill>
                  <a:srgbClr val="1F3864"/>
                </a:solidFill>
              </a:defRPr>
            </a:pPr>
            <a:r>
              <a:t>Ключові замовники</a:t>
            </a:r>
          </a:p>
        </rich>
      </tx>
      <overlay val="0"/>
    </title>
    <plotArea>
      <barChart>
        <barDir val="bar"/>
        <grouping val="clustered"/>
        <ser>
          <idx val="0"/>
          <order val="0"/>
          <tx>
            <strRef>
              <f>'К27 ФОП СІНЬКЕВИЧ ОЛЕКСАНДР АНА'!B75</f>
            </strRef>
          </tx>
          <spPr>
            <a:solidFill>
              <a:srgbClr val="3D7EFF"/>
            </a:solidFill>
            <a:ln>
              <a:noFill/>
              <a:prstDash val="solid"/>
            </a:ln>
          </spPr>
          <cat>
            <numRef>
              <f>'К27 ФОП СІНЬКЕВИЧ ОЛЕКСАНДР АНА'!$A$76:$A$80</f>
            </numRef>
          </cat>
          <val>
            <numRef>
              <f>'К27 ФОП СІНЬКЕВИЧ ОЛЕКСАНДР АНА'!$B$76:$B$80</f>
            </numRef>
          </val>
        </ser>
        <dLbls>
          <numFmt formatCode="#,##0"/>
          <txPr>
            <a:bodyPr vert="horz"/>
            <a:p>
              <a:pPr>
                <a:defRPr sz="900">
                  <a:solidFill>
                    <a:srgbClr val="404040"/>
                  </a:solidFill>
                </a:defRPr>
              </a:pPr>
              <a:endParaRPr sz="900">
                <a:solidFill>
                  <a:srgbClr val="404040"/>
                </a:solidFill>
              </a:endParaRPr>
            </a:p>
          </txPr>
          <dLblPos val="outEnd"/>
          <showLegendKey val="0"/>
          <showVal val="1"/>
          <showCatName val="0"/>
          <showSerName val="0"/>
          <showPercent val="0"/>
          <showBubbleSize val="0"/>
        </dLbls>
        <gapWidth val="60"/>
        <axId val="10"/>
        <axId val="100"/>
      </barChart>
      <catAx>
        <axId val="10"/>
        <scaling>
          <orientation val="maxMin"/>
        </scaling>
        <delete val="0"/>
        <axPos val="l"/>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0"/>
        <lblOffset val="100"/>
      </catAx>
      <valAx>
        <axId val="100"/>
        <scaling>
          <orientation val="minMax"/>
        </scaling>
        <delete val="0"/>
        <axPos val="l"/>
        <majorGridlines>
          <spPr>
            <a:ln>
              <a:solidFill>
                <a:srgbClr val="D9D9D9"/>
              </a:solidFill>
              <a:prstDash val="solid"/>
            </a:ln>
          </spPr>
        </majorGridlines>
        <numFmt formatCode="#,##0" sourceLinked="0"/>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
        <crosses val="max"/>
      </valAx>
    </plotArea>
    <plotVisOnly val="1"/>
    <dispBlanksAs val="gap"/>
  </chart>
  <spPr>
    <a:solidFill>
      <a:srgbClr val="FFFFFF"/>
    </a:solidFill>
    <a:ln>
      <a:noFill/>
      <a:prstDash val="solid"/>
    </a:ln>
  </spPr>
</chartSpace>
</file>

<file path=xl/charts/chart192.xml><?xml version="1.0" encoding="utf-8"?>
<chartSpace xmlns:a="http://schemas.openxmlformats.org/drawingml/2006/main" xmlns="http://schemas.openxmlformats.org/drawingml/2006/chart">
  <chart>
    <title>
      <tx>
        <rich>
          <a:bodyPr/>
          <a:p>
            <a:pPr>
              <a:defRPr sz="1200" b="1">
                <a:solidFill>
                  <a:srgbClr val="1F3864"/>
                </a:solidFill>
              </a:defRPr>
            </a:pPr>
            <a:r>
              <a:t>Динаміка по місяцях</a:t>
            </a:r>
          </a:p>
        </rich>
      </tx>
      <overlay val="0"/>
    </title>
    <plotArea>
      <lineChart>
        <grouping val="standard"/>
        <ser>
          <idx val="0"/>
          <order val="0"/>
          <tx>
            <strRef>
              <f>'К28 ТОВ "Епіцентр К"'!B39</f>
            </strRef>
          </tx>
          <spPr>
            <a:ln w="22000">
              <a:solidFill>
                <a:srgbClr val="3D7EFF"/>
              </a:solidFill>
              <a:prstDash val="solid"/>
            </a:ln>
          </spPr>
          <marker>
            <symbol val="circle"/>
            <size val="5"/>
            <spPr>
              <a:solidFill>
                <a:srgbClr val="3D7EFF"/>
              </a:solidFill>
              <a:ln>
                <a:prstDash val="solid"/>
              </a:ln>
            </spPr>
          </marker>
          <cat>
            <numRef>
              <f>'К28 ТОВ "Епіцентр К"'!$A$40:$A$44</f>
            </numRef>
          </cat>
          <val>
            <numRef>
              <f>'К28 ТОВ "Епіцентр К"'!$B$40:$B$44</f>
            </numRef>
          </val>
          <smooth val="0"/>
        </ser>
        <axId val="10"/>
        <axId val="100"/>
      </lineChart>
      <catAx>
        <axId val="10"/>
        <scaling>
          <orientation val="minMax"/>
        </scaling>
        <delete val="0"/>
        <axPos val="l"/>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0"/>
        <lblOffset val="100"/>
      </catAx>
      <valAx>
        <axId val="100"/>
        <scaling>
          <orientation val="minMax"/>
        </scaling>
        <delete val="0"/>
        <axPos val="l"/>
        <majorGridlines>
          <spPr>
            <a:ln>
              <a:solidFill>
                <a:srgbClr val="D9D9D9"/>
              </a:solidFill>
              <a:prstDash val="solid"/>
            </a:ln>
          </spPr>
        </majorGridlines>
        <numFmt formatCode="#,##0" sourceLinked="0"/>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
      </valAx>
    </plotArea>
    <plotVisOnly val="1"/>
    <dispBlanksAs val="gap"/>
  </chart>
  <spPr>
    <a:solidFill>
      <a:srgbClr val="FFFFFF"/>
    </a:solidFill>
    <a:ln>
      <a:noFill/>
      <a:prstDash val="solid"/>
    </a:ln>
  </spPr>
</chartSpace>
</file>

<file path=xl/charts/chart193.xml><?xml version="1.0" encoding="utf-8"?>
<chartSpace xmlns:a="http://schemas.openxmlformats.org/drawingml/2006/main" xmlns="http://schemas.openxmlformats.org/drawingml/2006/chart">
  <chart>
    <title>
      <tx>
        <rich>
          <a:bodyPr/>
          <a:p>
            <a:pPr>
              <a:defRPr sz="1200" b="1">
                <a:solidFill>
                  <a:srgbClr val="1F3864"/>
                </a:solidFill>
              </a:defRPr>
            </a:pPr>
            <a:r>
              <a:t>Торгові марки у позиціях</a:t>
            </a:r>
          </a:p>
        </rich>
      </tx>
      <overlay val="0"/>
    </title>
    <plotArea>
      <pieChart>
        <varyColors val="1"/>
        <ser>
          <idx val="0"/>
          <order val="0"/>
          <tx>
            <strRef>
              <f>'К28 ТОВ "Епіцентр К"'!B59</f>
            </strRef>
          </tx>
          <spPr>
            <a:ln>
              <a:prstDash val="solid"/>
            </a:ln>
          </spPr>
          <dPt>
            <idx val="0"/>
            <spPr>
              <a:solidFill>
                <a:srgbClr val="3D7EFF"/>
              </a:solidFill>
              <a:ln>
                <a:prstDash val="solid"/>
              </a:ln>
            </spPr>
          </dPt>
          <cat>
            <numRef>
              <f>'К28 ТОВ "Епіцентр К"'!$A$60</f>
            </numRef>
          </cat>
          <val>
            <numRef>
              <f>'К28 ТОВ "Епіцентр К"'!$B$60</f>
            </numRef>
          </val>
        </ser>
        <dLbls>
          <txPr>
            <a:bodyPr vert="horz"/>
            <a:p>
              <a:pPr>
                <a:defRPr sz="900">
                  <a:solidFill>
                    <a:srgbClr val="404040"/>
                  </a:solidFill>
                </a:defRPr>
              </a:pPr>
              <a:endParaRPr sz="900">
                <a:solidFill>
                  <a:srgbClr val="404040"/>
                </a:solidFill>
              </a:endParaRPr>
            </a:p>
          </txPr>
          <dLblPos val="bestFit"/>
          <showLegendKey val="0"/>
          <showVal val="0"/>
          <showCatName val="0"/>
          <showSerName val="0"/>
          <showPercent val="1"/>
          <showBubbleSize val="0"/>
          <showLeaderLines val="1"/>
        </dLbls>
        <firstSliceAng val="0"/>
      </pieChart>
    </plotArea>
    <legend>
      <legendPos val="b"/>
      <overlay val="0"/>
      <txPr>
        <a:bodyPr vert="horz"/>
        <a:p>
          <a:pPr>
            <a:defRPr sz="900">
              <a:solidFill>
                <a:srgbClr val="404040"/>
              </a:solidFill>
            </a:defRPr>
          </a:pPr>
          <a:endParaRPr sz="900">
            <a:solidFill>
              <a:srgbClr val="404040"/>
            </a:solidFill>
          </a:endParaRPr>
        </a:p>
      </txPr>
    </legend>
    <plotVisOnly val="1"/>
    <dispBlanksAs val="gap"/>
  </chart>
  <spPr>
    <a:solidFill>
      <a:srgbClr val="FFFFFF"/>
    </a:solidFill>
    <a:ln>
      <a:noFill/>
      <a:prstDash val="solid"/>
    </a:ln>
  </spPr>
</chartSpace>
</file>

<file path=xl/charts/chart194.xml><?xml version="1.0" encoding="utf-8"?>
<chartSpace xmlns:a="http://schemas.openxmlformats.org/drawingml/2006/main" xmlns="http://schemas.openxmlformats.org/drawingml/2006/chart">
  <chart>
    <title>
      <tx>
        <rich>
          <a:bodyPr/>
          <a:p>
            <a:pPr>
              <a:defRPr sz="1200" b="1">
                <a:solidFill>
                  <a:srgbClr val="1F3864"/>
                </a:solidFill>
              </a:defRPr>
            </a:pPr>
            <a:r>
              <a:t>Що саме продає</a:t>
            </a:r>
          </a:p>
        </rich>
      </tx>
      <overlay val="0"/>
    </title>
    <plotArea>
      <barChart>
        <barDir val="bar"/>
        <grouping val="clustered"/>
        <ser>
          <idx val="0"/>
          <order val="0"/>
          <tx>
            <strRef>
              <f>'К28 ТОВ "Епіцентр К"'!B79</f>
            </strRef>
          </tx>
          <spPr>
            <a:solidFill>
              <a:srgbClr val="3D7EFF"/>
            </a:solidFill>
            <a:ln>
              <a:noFill/>
              <a:prstDash val="solid"/>
            </a:ln>
          </spPr>
          <cat>
            <numRef>
              <f>'К28 ТОВ "Епіцентр К"'!$A$80:$A$88</f>
            </numRef>
          </cat>
          <val>
            <numRef>
              <f>'К28 ТОВ "Епіцентр К"'!$B$80:$B$88</f>
            </numRef>
          </val>
        </ser>
        <dLbls>
          <numFmt formatCode="#,##0"/>
          <txPr>
            <a:bodyPr vert="horz"/>
            <a:p>
              <a:pPr>
                <a:defRPr sz="900">
                  <a:solidFill>
                    <a:srgbClr val="404040"/>
                  </a:solidFill>
                </a:defRPr>
              </a:pPr>
              <a:endParaRPr sz="900">
                <a:solidFill>
                  <a:srgbClr val="404040"/>
                </a:solidFill>
              </a:endParaRPr>
            </a:p>
          </txPr>
          <dLblPos val="outEnd"/>
          <showLegendKey val="0"/>
          <showVal val="1"/>
          <showCatName val="0"/>
          <showSerName val="0"/>
          <showPercent val="0"/>
          <showBubbleSize val="0"/>
        </dLbls>
        <gapWidth val="60"/>
        <axId val="10"/>
        <axId val="100"/>
      </barChart>
      <catAx>
        <axId val="10"/>
        <scaling>
          <orientation val="maxMin"/>
        </scaling>
        <delete val="0"/>
        <axPos val="l"/>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0"/>
        <lblOffset val="100"/>
      </catAx>
      <valAx>
        <axId val="100"/>
        <scaling>
          <orientation val="minMax"/>
        </scaling>
        <delete val="0"/>
        <axPos val="l"/>
        <majorGridlines>
          <spPr>
            <a:ln>
              <a:solidFill>
                <a:srgbClr val="D9D9D9"/>
              </a:solidFill>
              <a:prstDash val="solid"/>
            </a:ln>
          </spPr>
        </majorGridlines>
        <numFmt formatCode="#,##0" sourceLinked="0"/>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
        <crosses val="max"/>
      </valAx>
    </plotArea>
    <plotVisOnly val="1"/>
    <dispBlanksAs val="gap"/>
  </chart>
  <spPr>
    <a:solidFill>
      <a:srgbClr val="FFFFFF"/>
    </a:solidFill>
    <a:ln>
      <a:noFill/>
      <a:prstDash val="solid"/>
    </a:ln>
  </spPr>
</chartSpace>
</file>

<file path=xl/charts/chart195.xml><?xml version="1.0" encoding="utf-8"?>
<chartSpace xmlns:a="http://schemas.openxmlformats.org/drawingml/2006/main" xmlns="http://schemas.openxmlformats.org/drawingml/2006/chart">
  <chart>
    <title>
      <tx>
        <rich>
          <a:bodyPr/>
          <a:p>
            <a:pPr>
              <a:defRPr sz="1200" b="1">
                <a:solidFill>
                  <a:srgbClr val="1F3864"/>
                </a:solidFill>
              </a:defRPr>
            </a:pPr>
            <a:r>
              <a:t>Ключові замовники</a:t>
            </a:r>
          </a:p>
        </rich>
      </tx>
      <overlay val="0"/>
    </title>
    <plotArea>
      <barChart>
        <barDir val="bar"/>
        <grouping val="clustered"/>
        <ser>
          <idx val="0"/>
          <order val="0"/>
          <tx>
            <strRef>
              <f>'К28 ТОВ "Епіцентр К"'!B96</f>
            </strRef>
          </tx>
          <spPr>
            <a:solidFill>
              <a:srgbClr val="3D7EFF"/>
            </a:solidFill>
            <a:ln>
              <a:noFill/>
              <a:prstDash val="solid"/>
            </a:ln>
          </spPr>
          <cat>
            <numRef>
              <f>'К28 ТОВ "Епіцентр К"'!$A$97:$A$103</f>
            </numRef>
          </cat>
          <val>
            <numRef>
              <f>'К28 ТОВ "Епіцентр К"'!$B$97:$B$103</f>
            </numRef>
          </val>
        </ser>
        <dLbls>
          <numFmt formatCode="#,##0"/>
          <txPr>
            <a:bodyPr vert="horz"/>
            <a:p>
              <a:pPr>
                <a:defRPr sz="900">
                  <a:solidFill>
                    <a:srgbClr val="404040"/>
                  </a:solidFill>
                </a:defRPr>
              </a:pPr>
              <a:endParaRPr sz="900">
                <a:solidFill>
                  <a:srgbClr val="404040"/>
                </a:solidFill>
              </a:endParaRPr>
            </a:p>
          </txPr>
          <dLblPos val="outEnd"/>
          <showLegendKey val="0"/>
          <showVal val="1"/>
          <showCatName val="0"/>
          <showSerName val="0"/>
          <showPercent val="0"/>
          <showBubbleSize val="0"/>
        </dLbls>
        <gapWidth val="60"/>
        <axId val="10"/>
        <axId val="100"/>
      </barChart>
      <catAx>
        <axId val="10"/>
        <scaling>
          <orientation val="maxMin"/>
        </scaling>
        <delete val="0"/>
        <axPos val="l"/>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0"/>
        <lblOffset val="100"/>
      </catAx>
      <valAx>
        <axId val="100"/>
        <scaling>
          <orientation val="minMax"/>
        </scaling>
        <delete val="0"/>
        <axPos val="l"/>
        <majorGridlines>
          <spPr>
            <a:ln>
              <a:solidFill>
                <a:srgbClr val="D9D9D9"/>
              </a:solidFill>
              <a:prstDash val="solid"/>
            </a:ln>
          </spPr>
        </majorGridlines>
        <numFmt formatCode="#,##0" sourceLinked="0"/>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
        <crosses val="max"/>
      </valAx>
    </plotArea>
    <plotVisOnly val="1"/>
    <dispBlanksAs val="gap"/>
  </chart>
  <spPr>
    <a:solidFill>
      <a:srgbClr val="FFFFFF"/>
    </a:solidFill>
    <a:ln>
      <a:noFill/>
      <a:prstDash val="solid"/>
    </a:ln>
  </spPr>
</chartSpace>
</file>

<file path=xl/charts/chart196.xml><?xml version="1.0" encoding="utf-8"?>
<chartSpace xmlns:a="http://schemas.openxmlformats.org/drawingml/2006/main" xmlns="http://schemas.openxmlformats.org/drawingml/2006/chart">
  <chart>
    <title>
      <tx>
        <rich>
          <a:bodyPr/>
          <a:p>
            <a:pPr>
              <a:defRPr sz="1200" b="1">
                <a:solidFill>
                  <a:srgbClr val="1F3864"/>
                </a:solidFill>
              </a:defRPr>
            </a:pPr>
            <a:r>
              <a:t>Процедури</a:t>
            </a:r>
          </a:p>
        </rich>
      </tx>
      <overlay val="0"/>
    </title>
    <plotArea>
      <pieChart>
        <varyColors val="1"/>
        <ser>
          <idx val="0"/>
          <order val="0"/>
          <tx>
            <strRef>
              <f>'К28 ТОВ "Епіцентр К"'!B112</f>
            </strRef>
          </tx>
          <spPr>
            <a:ln>
              <a:prstDash val="solid"/>
            </a:ln>
          </spPr>
          <dPt>
            <idx val="0"/>
            <spPr>
              <a:solidFill>
                <a:srgbClr val="3D7EFF"/>
              </a:solidFill>
              <a:ln>
                <a:prstDash val="solid"/>
              </a:ln>
            </spPr>
          </dPt>
          <dPt>
            <idx val="1"/>
            <spPr>
              <a:solidFill>
                <a:srgbClr val="3ECF8E"/>
              </a:solidFill>
              <a:ln>
                <a:prstDash val="solid"/>
              </a:ln>
            </spPr>
          </dPt>
          <cat>
            <numRef>
              <f>'К28 ТОВ "Епіцентр К"'!$A$113:$A$114</f>
            </numRef>
          </cat>
          <val>
            <numRef>
              <f>'К28 ТОВ "Епіцентр К"'!$B$113:$B$114</f>
            </numRef>
          </val>
        </ser>
        <dLbls>
          <txPr>
            <a:bodyPr vert="horz"/>
            <a:p>
              <a:pPr>
                <a:defRPr sz="900">
                  <a:solidFill>
                    <a:srgbClr val="404040"/>
                  </a:solidFill>
                </a:defRPr>
              </a:pPr>
              <a:endParaRPr sz="900">
                <a:solidFill>
                  <a:srgbClr val="404040"/>
                </a:solidFill>
              </a:endParaRPr>
            </a:p>
          </txPr>
          <dLblPos val="bestFit"/>
          <showLegendKey val="0"/>
          <showVal val="0"/>
          <showCatName val="0"/>
          <showSerName val="0"/>
          <showPercent val="1"/>
          <showBubbleSize val="0"/>
          <showLeaderLines val="1"/>
        </dLbls>
        <firstSliceAng val="0"/>
      </pieChart>
    </plotArea>
    <legend>
      <legendPos val="b"/>
      <overlay val="0"/>
      <txPr>
        <a:bodyPr vert="horz"/>
        <a:p>
          <a:pPr>
            <a:defRPr sz="900">
              <a:solidFill>
                <a:srgbClr val="404040"/>
              </a:solidFill>
            </a:defRPr>
          </a:pPr>
          <a:endParaRPr sz="900">
            <a:solidFill>
              <a:srgbClr val="404040"/>
            </a:solidFill>
          </a:endParaRPr>
        </a:p>
      </txPr>
    </legend>
    <plotVisOnly val="1"/>
    <dispBlanksAs val="gap"/>
  </chart>
  <spPr>
    <a:solidFill>
      <a:srgbClr val="FFFFFF"/>
    </a:solidFill>
    <a:ln>
      <a:noFill/>
      <a:prstDash val="solid"/>
    </a:ln>
  </spPr>
</chartSpace>
</file>

<file path=xl/charts/chart197.xml><?xml version="1.0" encoding="utf-8"?>
<chartSpace xmlns:a="http://schemas.openxmlformats.org/drawingml/2006/main" xmlns="http://schemas.openxmlformats.org/drawingml/2006/chart">
  <chart>
    <title>
      <tx>
        <rich>
          <a:bodyPr/>
          <a:p>
            <a:pPr>
              <a:defRPr sz="1200" b="1">
                <a:solidFill>
                  <a:srgbClr val="1F3864"/>
                </a:solidFill>
              </a:defRPr>
            </a:pPr>
            <a:r>
              <a:t>Динаміка по місяцях</a:t>
            </a:r>
          </a:p>
        </rich>
      </tx>
      <overlay val="0"/>
    </title>
    <plotArea>
      <lineChart>
        <grouping val="standard"/>
        <ser>
          <idx val="0"/>
          <order val="0"/>
          <tx>
            <strRef>
              <f>'К29 ТОВ "ДІАВЕСТЕНД КОМПЛЕКСНІ'!B43</f>
            </strRef>
          </tx>
          <spPr>
            <a:ln w="22000">
              <a:solidFill>
                <a:srgbClr val="3D7EFF"/>
              </a:solidFill>
              <a:prstDash val="solid"/>
            </a:ln>
          </spPr>
          <marker>
            <symbol val="circle"/>
            <size val="5"/>
            <spPr>
              <a:solidFill>
                <a:srgbClr val="3D7EFF"/>
              </a:solidFill>
              <a:ln>
                <a:prstDash val="solid"/>
              </a:ln>
            </spPr>
          </marker>
          <cat>
            <numRef>
              <f>'К29 ТОВ "ДІАВЕСТЕНД КОМПЛЕКСНІ'!$A$44:$A$47</f>
            </numRef>
          </cat>
          <val>
            <numRef>
              <f>'К29 ТОВ "ДІАВЕСТЕНД КОМПЛЕКСНІ'!$B$44:$B$47</f>
            </numRef>
          </val>
          <smooth val="0"/>
        </ser>
        <axId val="10"/>
        <axId val="100"/>
      </lineChart>
      <catAx>
        <axId val="10"/>
        <scaling>
          <orientation val="minMax"/>
        </scaling>
        <delete val="0"/>
        <axPos val="l"/>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0"/>
        <lblOffset val="100"/>
      </catAx>
      <valAx>
        <axId val="100"/>
        <scaling>
          <orientation val="minMax"/>
        </scaling>
        <delete val="0"/>
        <axPos val="l"/>
        <majorGridlines>
          <spPr>
            <a:ln>
              <a:solidFill>
                <a:srgbClr val="D9D9D9"/>
              </a:solidFill>
              <a:prstDash val="solid"/>
            </a:ln>
          </spPr>
        </majorGridlines>
        <numFmt formatCode="#,##0" sourceLinked="0"/>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
      </valAx>
    </plotArea>
    <plotVisOnly val="1"/>
    <dispBlanksAs val="gap"/>
  </chart>
  <spPr>
    <a:solidFill>
      <a:srgbClr val="FFFFFF"/>
    </a:solidFill>
    <a:ln>
      <a:noFill/>
      <a:prstDash val="solid"/>
    </a:ln>
  </spPr>
</chartSpace>
</file>

<file path=xl/charts/chart198.xml><?xml version="1.0" encoding="utf-8"?>
<chartSpace xmlns:a="http://schemas.openxmlformats.org/drawingml/2006/main" xmlns="http://schemas.openxmlformats.org/drawingml/2006/chart">
  <chart>
    <title>
      <tx>
        <rich>
          <a:bodyPr/>
          <a:p>
            <a:pPr>
              <a:defRPr sz="1200" b="1">
                <a:solidFill>
                  <a:srgbClr val="1F3864"/>
                </a:solidFill>
              </a:defRPr>
            </a:pPr>
            <a:r>
              <a:t>Торгові марки у позиціях</a:t>
            </a:r>
          </a:p>
        </rich>
      </tx>
      <overlay val="0"/>
    </title>
    <plotArea>
      <pieChart>
        <varyColors val="1"/>
        <ser>
          <idx val="0"/>
          <order val="0"/>
          <tx>
            <strRef>
              <f>'К29 ТОВ "ДІАВЕСТЕНД КОМПЛЕКСНІ'!B63</f>
            </strRef>
          </tx>
          <spPr>
            <a:ln>
              <a:prstDash val="solid"/>
            </a:ln>
          </spPr>
          <dPt>
            <idx val="0"/>
            <spPr>
              <a:solidFill>
                <a:srgbClr val="3D7EFF"/>
              </a:solidFill>
              <a:ln>
                <a:prstDash val="solid"/>
              </a:ln>
            </spPr>
          </dPt>
          <dPt>
            <idx val="1"/>
            <spPr>
              <a:solidFill>
                <a:srgbClr val="3ECF8E"/>
              </a:solidFill>
              <a:ln>
                <a:prstDash val="solid"/>
              </a:ln>
            </spPr>
          </dPt>
          <dPt>
            <idx val="2"/>
            <spPr>
              <a:solidFill>
                <a:srgbClr val="F0B429"/>
              </a:solidFill>
              <a:ln>
                <a:prstDash val="solid"/>
              </a:ln>
            </spPr>
          </dPt>
          <dPt>
            <idx val="3"/>
            <spPr>
              <a:solidFill>
                <a:srgbClr val="A78BFA"/>
              </a:solidFill>
              <a:ln>
                <a:prstDash val="solid"/>
              </a:ln>
            </spPr>
          </dPt>
          <dPt>
            <idx val="4"/>
            <spPr>
              <a:solidFill>
                <a:srgbClr val="22D3EE"/>
              </a:solidFill>
              <a:ln>
                <a:prstDash val="solid"/>
              </a:ln>
            </spPr>
          </dPt>
          <dPt>
            <idx val="5"/>
            <spPr>
              <a:solidFill>
                <a:srgbClr val="FB923C"/>
              </a:solidFill>
              <a:ln>
                <a:prstDash val="solid"/>
              </a:ln>
            </spPr>
          </dPt>
          <dPt>
            <idx val="6"/>
            <spPr>
              <a:solidFill>
                <a:srgbClr val="F472B6"/>
              </a:solidFill>
              <a:ln>
                <a:prstDash val="solid"/>
              </a:ln>
            </spPr>
          </dPt>
          <dPt>
            <idx val="7"/>
            <spPr>
              <a:solidFill>
                <a:srgbClr val="84CC16"/>
              </a:solidFill>
              <a:ln>
                <a:prstDash val="solid"/>
              </a:ln>
            </spPr>
          </dPt>
          <cat>
            <numRef>
              <f>'К29 ТОВ "ДІАВЕСТЕНД КОМПЛЕКСНІ'!$A$64:$A$71</f>
            </numRef>
          </cat>
          <val>
            <numRef>
              <f>'К29 ТОВ "ДІАВЕСТЕНД КОМПЛЕКСНІ'!$B$64:$B$71</f>
            </numRef>
          </val>
        </ser>
        <dLbls>
          <txPr>
            <a:bodyPr vert="horz"/>
            <a:p>
              <a:pPr>
                <a:defRPr sz="900">
                  <a:solidFill>
                    <a:srgbClr val="404040"/>
                  </a:solidFill>
                </a:defRPr>
              </a:pPr>
              <a:endParaRPr sz="900">
                <a:solidFill>
                  <a:srgbClr val="404040"/>
                </a:solidFill>
              </a:endParaRPr>
            </a:p>
          </txPr>
          <dLblPos val="bestFit"/>
          <showLegendKey val="0"/>
          <showVal val="0"/>
          <showCatName val="0"/>
          <showSerName val="0"/>
          <showPercent val="1"/>
          <showBubbleSize val="0"/>
          <showLeaderLines val="1"/>
        </dLbls>
        <firstSliceAng val="0"/>
      </pieChart>
    </plotArea>
    <legend>
      <legendPos val="b"/>
      <overlay val="0"/>
      <txPr>
        <a:bodyPr vert="horz"/>
        <a:p>
          <a:pPr>
            <a:defRPr sz="900">
              <a:solidFill>
                <a:srgbClr val="404040"/>
              </a:solidFill>
            </a:defRPr>
          </a:pPr>
          <a:endParaRPr sz="900">
            <a:solidFill>
              <a:srgbClr val="404040"/>
            </a:solidFill>
          </a:endParaRPr>
        </a:p>
      </txPr>
    </legend>
    <plotVisOnly val="1"/>
    <dispBlanksAs val="gap"/>
  </chart>
  <spPr>
    <a:solidFill>
      <a:srgbClr val="FFFFFF"/>
    </a:solidFill>
    <a:ln>
      <a:noFill/>
      <a:prstDash val="solid"/>
    </a:ln>
  </spPr>
</chartSpace>
</file>

<file path=xl/charts/chart199.xml><?xml version="1.0" encoding="utf-8"?>
<chartSpace xmlns:a="http://schemas.openxmlformats.org/drawingml/2006/main" xmlns="http://schemas.openxmlformats.org/drawingml/2006/chart">
  <chart>
    <title>
      <tx>
        <rich>
          <a:bodyPr/>
          <a:p>
            <a:pPr>
              <a:defRPr sz="1200" b="1">
                <a:solidFill>
                  <a:srgbClr val="1F3864"/>
                </a:solidFill>
              </a:defRPr>
            </a:pPr>
            <a:r>
              <a:t>Що саме продає</a:t>
            </a:r>
          </a:p>
        </rich>
      </tx>
      <overlay val="0"/>
    </title>
    <plotArea>
      <barChart>
        <barDir val="bar"/>
        <grouping val="clustered"/>
        <ser>
          <idx val="0"/>
          <order val="0"/>
          <tx>
            <strRef>
              <f>'К29 ТОВ "ДІАВЕСТЕНД КОМПЛЕКСНІ'!B83</f>
            </strRef>
          </tx>
          <spPr>
            <a:solidFill>
              <a:srgbClr val="3D7EFF"/>
            </a:solidFill>
            <a:ln>
              <a:noFill/>
              <a:prstDash val="solid"/>
            </a:ln>
          </spPr>
          <cat>
            <numRef>
              <f>'К29 ТОВ "ДІАВЕСТЕНД КОМПЛЕКСНІ'!$A$84:$A$93</f>
            </numRef>
          </cat>
          <val>
            <numRef>
              <f>'К29 ТОВ "ДІАВЕСТЕНД КОМПЛЕКСНІ'!$B$84:$B$93</f>
            </numRef>
          </val>
        </ser>
        <dLbls>
          <numFmt formatCode="#,##0"/>
          <txPr>
            <a:bodyPr vert="horz"/>
            <a:p>
              <a:pPr>
                <a:defRPr sz="900">
                  <a:solidFill>
                    <a:srgbClr val="404040"/>
                  </a:solidFill>
                </a:defRPr>
              </a:pPr>
              <a:endParaRPr sz="900">
                <a:solidFill>
                  <a:srgbClr val="404040"/>
                </a:solidFill>
              </a:endParaRPr>
            </a:p>
          </txPr>
          <dLblPos val="outEnd"/>
          <showLegendKey val="0"/>
          <showVal val="1"/>
          <showCatName val="0"/>
          <showSerName val="0"/>
          <showPercent val="0"/>
          <showBubbleSize val="0"/>
        </dLbls>
        <gapWidth val="60"/>
        <axId val="10"/>
        <axId val="100"/>
      </barChart>
      <catAx>
        <axId val="10"/>
        <scaling>
          <orientation val="maxMin"/>
        </scaling>
        <delete val="0"/>
        <axPos val="l"/>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0"/>
        <lblOffset val="100"/>
      </catAx>
      <valAx>
        <axId val="100"/>
        <scaling>
          <orientation val="minMax"/>
        </scaling>
        <delete val="0"/>
        <axPos val="l"/>
        <majorGridlines>
          <spPr>
            <a:ln>
              <a:solidFill>
                <a:srgbClr val="D9D9D9"/>
              </a:solidFill>
              <a:prstDash val="solid"/>
            </a:ln>
          </spPr>
        </majorGridlines>
        <numFmt formatCode="#,##0" sourceLinked="0"/>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
        <crosses val="max"/>
      </valAx>
    </plotArea>
    <plotVisOnly val="1"/>
    <dispBlanksAs val="gap"/>
  </chart>
  <spPr>
    <a:solidFill>
      <a:srgbClr val="FFFFFF"/>
    </a:solidFill>
    <a:ln>
      <a:noFill/>
      <a:prstDash val="solid"/>
    </a:ln>
  </spPr>
</chartSpace>
</file>

<file path=xl/charts/chart200.xml><?xml version="1.0" encoding="utf-8"?>
<chartSpace xmlns:a="http://schemas.openxmlformats.org/drawingml/2006/main" xmlns="http://schemas.openxmlformats.org/drawingml/2006/chart">
  <chart>
    <title>
      <tx>
        <rich>
          <a:bodyPr/>
          <a:p>
            <a:pPr>
              <a:defRPr sz="1200" b="1">
                <a:solidFill>
                  <a:srgbClr val="1F3864"/>
                </a:solidFill>
              </a:defRPr>
            </a:pPr>
            <a:r>
              <a:t>Ключові замовники</a:t>
            </a:r>
          </a:p>
        </rich>
      </tx>
      <overlay val="0"/>
    </title>
    <plotArea>
      <barChart>
        <barDir val="bar"/>
        <grouping val="clustered"/>
        <ser>
          <idx val="0"/>
          <order val="0"/>
          <tx>
            <strRef>
              <f>'К29 ТОВ "ДІАВЕСТЕНД КОМПЛЕКСНІ'!B101</f>
            </strRef>
          </tx>
          <spPr>
            <a:solidFill>
              <a:srgbClr val="3D7EFF"/>
            </a:solidFill>
            <a:ln>
              <a:noFill/>
              <a:prstDash val="solid"/>
            </a:ln>
          </spPr>
          <cat>
            <numRef>
              <f>'К29 ТОВ "ДІАВЕСТЕНД КОМПЛЕКСНІ'!$A$102:$A$106</f>
            </numRef>
          </cat>
          <val>
            <numRef>
              <f>'К29 ТОВ "ДІАВЕСТЕНД КОМПЛЕКСНІ'!$B$102:$B$106</f>
            </numRef>
          </val>
        </ser>
        <dLbls>
          <numFmt formatCode="#,##0"/>
          <txPr>
            <a:bodyPr vert="horz"/>
            <a:p>
              <a:pPr>
                <a:defRPr sz="900">
                  <a:solidFill>
                    <a:srgbClr val="404040"/>
                  </a:solidFill>
                </a:defRPr>
              </a:pPr>
              <a:endParaRPr sz="900">
                <a:solidFill>
                  <a:srgbClr val="404040"/>
                </a:solidFill>
              </a:endParaRPr>
            </a:p>
          </txPr>
          <dLblPos val="outEnd"/>
          <showLegendKey val="0"/>
          <showVal val="1"/>
          <showCatName val="0"/>
          <showSerName val="0"/>
          <showPercent val="0"/>
          <showBubbleSize val="0"/>
        </dLbls>
        <gapWidth val="60"/>
        <axId val="10"/>
        <axId val="100"/>
      </barChart>
      <catAx>
        <axId val="10"/>
        <scaling>
          <orientation val="maxMin"/>
        </scaling>
        <delete val="0"/>
        <axPos val="l"/>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0"/>
        <lblOffset val="100"/>
      </catAx>
      <valAx>
        <axId val="100"/>
        <scaling>
          <orientation val="minMax"/>
        </scaling>
        <delete val="0"/>
        <axPos val="l"/>
        <majorGridlines>
          <spPr>
            <a:ln>
              <a:solidFill>
                <a:srgbClr val="D9D9D9"/>
              </a:solidFill>
              <a:prstDash val="solid"/>
            </a:ln>
          </spPr>
        </majorGridlines>
        <numFmt formatCode="#,##0" sourceLinked="0"/>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
        <crosses val="max"/>
      </valAx>
    </plotArea>
    <plotVisOnly val="1"/>
    <dispBlanksAs val="gap"/>
  </chart>
  <spPr>
    <a:solidFill>
      <a:srgbClr val="FFFFFF"/>
    </a:solidFill>
    <a:ln>
      <a:noFill/>
      <a:prstDash val="solid"/>
    </a:ln>
  </spPr>
</chartSpace>
</file>

<file path=xl/charts/chart201.xml><?xml version="1.0" encoding="utf-8"?>
<chartSpace xmlns:a="http://schemas.openxmlformats.org/drawingml/2006/main" xmlns="http://schemas.openxmlformats.org/drawingml/2006/chart">
  <chart>
    <title>
      <tx>
        <rich>
          <a:bodyPr/>
          <a:p>
            <a:pPr>
              <a:defRPr sz="1200" b="1">
                <a:solidFill>
                  <a:srgbClr val="1F3864"/>
                </a:solidFill>
              </a:defRPr>
            </a:pPr>
            <a:r>
              <a:t>Процедури</a:t>
            </a:r>
          </a:p>
        </rich>
      </tx>
      <overlay val="0"/>
    </title>
    <plotArea>
      <pieChart>
        <varyColors val="1"/>
        <ser>
          <idx val="0"/>
          <order val="0"/>
          <tx>
            <strRef>
              <f>'К29 ТОВ "ДІАВЕСТЕНД КОМПЛЕКСНІ'!B117</f>
            </strRef>
          </tx>
          <spPr>
            <a:ln>
              <a:prstDash val="solid"/>
            </a:ln>
          </spPr>
          <dPt>
            <idx val="0"/>
            <spPr>
              <a:solidFill>
                <a:srgbClr val="3D7EFF"/>
              </a:solidFill>
              <a:ln>
                <a:prstDash val="solid"/>
              </a:ln>
            </spPr>
          </dPt>
          <dPt>
            <idx val="1"/>
            <spPr>
              <a:solidFill>
                <a:srgbClr val="3ECF8E"/>
              </a:solidFill>
              <a:ln>
                <a:prstDash val="solid"/>
              </a:ln>
            </spPr>
          </dPt>
          <dPt>
            <idx val="2"/>
            <spPr>
              <a:solidFill>
                <a:srgbClr val="F0B429"/>
              </a:solidFill>
              <a:ln>
                <a:prstDash val="solid"/>
              </a:ln>
            </spPr>
          </dPt>
          <cat>
            <numRef>
              <f>'К29 ТОВ "ДІАВЕСТЕНД КОМПЛЕКСНІ'!$A$118:$A$120</f>
            </numRef>
          </cat>
          <val>
            <numRef>
              <f>'К29 ТОВ "ДІАВЕСТЕНД КОМПЛЕКСНІ'!$B$118:$B$120</f>
            </numRef>
          </val>
        </ser>
        <dLbls>
          <txPr>
            <a:bodyPr vert="horz"/>
            <a:p>
              <a:pPr>
                <a:defRPr sz="900">
                  <a:solidFill>
                    <a:srgbClr val="404040"/>
                  </a:solidFill>
                </a:defRPr>
              </a:pPr>
              <a:endParaRPr sz="900">
                <a:solidFill>
                  <a:srgbClr val="404040"/>
                </a:solidFill>
              </a:endParaRPr>
            </a:p>
          </txPr>
          <dLblPos val="bestFit"/>
          <showLegendKey val="0"/>
          <showVal val="0"/>
          <showCatName val="0"/>
          <showSerName val="0"/>
          <showPercent val="1"/>
          <showBubbleSize val="0"/>
          <showLeaderLines val="1"/>
        </dLbls>
        <firstSliceAng val="0"/>
      </pieChart>
    </plotArea>
    <legend>
      <legendPos val="b"/>
      <overlay val="0"/>
      <txPr>
        <a:bodyPr vert="horz"/>
        <a:p>
          <a:pPr>
            <a:defRPr sz="900">
              <a:solidFill>
                <a:srgbClr val="404040"/>
              </a:solidFill>
            </a:defRPr>
          </a:pPr>
          <a:endParaRPr sz="900">
            <a:solidFill>
              <a:srgbClr val="404040"/>
            </a:solidFill>
          </a:endParaRPr>
        </a:p>
      </txPr>
    </legend>
    <plotVisOnly val="1"/>
    <dispBlanksAs val="gap"/>
  </chart>
  <spPr>
    <a:solidFill>
      <a:srgbClr val="FFFFFF"/>
    </a:solidFill>
    <a:ln>
      <a:noFill/>
      <a:prstDash val="solid"/>
    </a:ln>
  </spPr>
</chartSpace>
</file>

<file path=xl/charts/chart202.xml><?xml version="1.0" encoding="utf-8"?>
<chartSpace xmlns:a="http://schemas.openxmlformats.org/drawingml/2006/main" xmlns="http://schemas.openxmlformats.org/drawingml/2006/chart">
  <chart>
    <title>
      <tx>
        <rich>
          <a:bodyPr/>
          <a:p>
            <a:pPr>
              <a:defRPr sz="1200" b="1">
                <a:solidFill>
                  <a:srgbClr val="1F3864"/>
                </a:solidFill>
              </a:defRPr>
            </a:pPr>
            <a:r>
              <a:t>Динаміка по місяцях</a:t>
            </a:r>
          </a:p>
        </rich>
      </tx>
      <overlay val="0"/>
    </title>
    <plotArea>
      <lineChart>
        <grouping val="standard"/>
        <ser>
          <idx val="0"/>
          <order val="0"/>
          <tx>
            <strRef>
              <f>'К30 ТОВ "КУБІК ГРУП"'!B40</f>
            </strRef>
          </tx>
          <spPr>
            <a:ln w="22000">
              <a:solidFill>
                <a:srgbClr val="3D7EFF"/>
              </a:solidFill>
              <a:prstDash val="solid"/>
            </a:ln>
          </spPr>
          <marker>
            <symbol val="circle"/>
            <size val="5"/>
            <spPr>
              <a:solidFill>
                <a:srgbClr val="3D7EFF"/>
              </a:solidFill>
              <a:ln>
                <a:prstDash val="solid"/>
              </a:ln>
            </spPr>
          </marker>
          <cat>
            <numRef>
              <f>'К30 ТОВ "КУБІК ГРУП"'!$A$41:$A$44</f>
            </numRef>
          </cat>
          <val>
            <numRef>
              <f>'К30 ТОВ "КУБІК ГРУП"'!$B$41:$B$44</f>
            </numRef>
          </val>
          <smooth val="0"/>
        </ser>
        <axId val="10"/>
        <axId val="100"/>
      </lineChart>
      <catAx>
        <axId val="10"/>
        <scaling>
          <orientation val="minMax"/>
        </scaling>
        <delete val="0"/>
        <axPos val="l"/>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0"/>
        <lblOffset val="100"/>
      </catAx>
      <valAx>
        <axId val="100"/>
        <scaling>
          <orientation val="minMax"/>
        </scaling>
        <delete val="0"/>
        <axPos val="l"/>
        <majorGridlines>
          <spPr>
            <a:ln>
              <a:solidFill>
                <a:srgbClr val="D9D9D9"/>
              </a:solidFill>
              <a:prstDash val="solid"/>
            </a:ln>
          </spPr>
        </majorGridlines>
        <numFmt formatCode="#,##0" sourceLinked="0"/>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
      </valAx>
    </plotArea>
    <plotVisOnly val="1"/>
    <dispBlanksAs val="gap"/>
  </chart>
  <spPr>
    <a:solidFill>
      <a:srgbClr val="FFFFFF"/>
    </a:solidFill>
    <a:ln>
      <a:noFill/>
      <a:prstDash val="solid"/>
    </a:ln>
  </spPr>
</chartSpace>
</file>

<file path=xl/charts/chart203.xml><?xml version="1.0" encoding="utf-8"?>
<chartSpace xmlns:a="http://schemas.openxmlformats.org/drawingml/2006/main" xmlns="http://schemas.openxmlformats.org/drawingml/2006/chart">
  <chart>
    <title>
      <tx>
        <rich>
          <a:bodyPr/>
          <a:p>
            <a:pPr>
              <a:defRPr sz="1200" b="1">
                <a:solidFill>
                  <a:srgbClr val="1F3864"/>
                </a:solidFill>
              </a:defRPr>
            </a:pPr>
            <a:r>
              <a:t>Що саме продає</a:t>
            </a:r>
          </a:p>
        </rich>
      </tx>
      <overlay val="0"/>
    </title>
    <plotArea>
      <barChart>
        <barDir val="bar"/>
        <grouping val="clustered"/>
        <ser>
          <idx val="0"/>
          <order val="0"/>
          <tx>
            <strRef>
              <f>'К30 ТОВ "КУБІК ГРУП"'!B60</f>
            </strRef>
          </tx>
          <spPr>
            <a:solidFill>
              <a:srgbClr val="3D7EFF"/>
            </a:solidFill>
            <a:ln>
              <a:noFill/>
              <a:prstDash val="solid"/>
            </a:ln>
          </spPr>
          <cat>
            <numRef>
              <f>'К30 ТОВ "КУБІК ГРУП"'!$A$61:$A$70</f>
            </numRef>
          </cat>
          <val>
            <numRef>
              <f>'К30 ТОВ "КУБІК ГРУП"'!$B$61:$B$70</f>
            </numRef>
          </val>
        </ser>
        <dLbls>
          <numFmt formatCode="#,##0"/>
          <txPr>
            <a:bodyPr vert="horz"/>
            <a:p>
              <a:pPr>
                <a:defRPr sz="900">
                  <a:solidFill>
                    <a:srgbClr val="404040"/>
                  </a:solidFill>
                </a:defRPr>
              </a:pPr>
              <a:endParaRPr sz="900">
                <a:solidFill>
                  <a:srgbClr val="404040"/>
                </a:solidFill>
              </a:endParaRPr>
            </a:p>
          </txPr>
          <dLblPos val="outEnd"/>
          <showLegendKey val="0"/>
          <showVal val="1"/>
          <showCatName val="0"/>
          <showSerName val="0"/>
          <showPercent val="0"/>
          <showBubbleSize val="0"/>
        </dLbls>
        <gapWidth val="60"/>
        <axId val="10"/>
        <axId val="100"/>
      </barChart>
      <catAx>
        <axId val="10"/>
        <scaling>
          <orientation val="maxMin"/>
        </scaling>
        <delete val="0"/>
        <axPos val="l"/>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0"/>
        <lblOffset val="100"/>
      </catAx>
      <valAx>
        <axId val="100"/>
        <scaling>
          <orientation val="minMax"/>
        </scaling>
        <delete val="0"/>
        <axPos val="l"/>
        <majorGridlines>
          <spPr>
            <a:ln>
              <a:solidFill>
                <a:srgbClr val="D9D9D9"/>
              </a:solidFill>
              <a:prstDash val="solid"/>
            </a:ln>
          </spPr>
        </majorGridlines>
        <numFmt formatCode="#,##0" sourceLinked="0"/>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
        <crosses val="max"/>
      </valAx>
    </plotArea>
    <plotVisOnly val="1"/>
    <dispBlanksAs val="gap"/>
  </chart>
  <spPr>
    <a:solidFill>
      <a:srgbClr val="FFFFFF"/>
    </a:solidFill>
    <a:ln>
      <a:noFill/>
      <a:prstDash val="solid"/>
    </a:ln>
  </spPr>
</chartSpace>
</file>

<file path=xl/charts/chart204.xml><?xml version="1.0" encoding="utf-8"?>
<chartSpace xmlns:a="http://schemas.openxmlformats.org/drawingml/2006/main" xmlns="http://schemas.openxmlformats.org/drawingml/2006/chart">
  <chart>
    <title>
      <tx>
        <rich>
          <a:bodyPr/>
          <a:p>
            <a:pPr>
              <a:defRPr sz="1200" b="1">
                <a:solidFill>
                  <a:srgbClr val="1F3864"/>
                </a:solidFill>
              </a:defRPr>
            </a:pPr>
            <a:r>
              <a:t>Ключові замовники</a:t>
            </a:r>
          </a:p>
        </rich>
      </tx>
      <overlay val="0"/>
    </title>
    <plotArea>
      <barChart>
        <barDir val="bar"/>
        <grouping val="clustered"/>
        <ser>
          <idx val="0"/>
          <order val="0"/>
          <tx>
            <strRef>
              <f>'К30 ТОВ "КУБІК ГРУП"'!B78</f>
            </strRef>
          </tx>
          <spPr>
            <a:solidFill>
              <a:srgbClr val="3D7EFF"/>
            </a:solidFill>
            <a:ln>
              <a:noFill/>
              <a:prstDash val="solid"/>
            </a:ln>
          </spPr>
          <cat>
            <numRef>
              <f>'К30 ТОВ "КУБІК ГРУП"'!$A$79:$A$82</f>
            </numRef>
          </cat>
          <val>
            <numRef>
              <f>'К30 ТОВ "КУБІК ГРУП"'!$B$79:$B$82</f>
            </numRef>
          </val>
        </ser>
        <dLbls>
          <numFmt formatCode="#,##0"/>
          <txPr>
            <a:bodyPr vert="horz"/>
            <a:p>
              <a:pPr>
                <a:defRPr sz="900">
                  <a:solidFill>
                    <a:srgbClr val="404040"/>
                  </a:solidFill>
                </a:defRPr>
              </a:pPr>
              <a:endParaRPr sz="900">
                <a:solidFill>
                  <a:srgbClr val="404040"/>
                </a:solidFill>
              </a:endParaRPr>
            </a:p>
          </txPr>
          <dLblPos val="outEnd"/>
          <showLegendKey val="0"/>
          <showVal val="1"/>
          <showCatName val="0"/>
          <showSerName val="0"/>
          <showPercent val="0"/>
          <showBubbleSize val="0"/>
        </dLbls>
        <gapWidth val="150"/>
        <axId val="10"/>
        <axId val="100"/>
      </barChart>
      <catAx>
        <axId val="10"/>
        <scaling>
          <orientation val="maxMin"/>
        </scaling>
        <delete val="0"/>
        <axPos val="l"/>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0"/>
        <lblOffset val="100"/>
      </catAx>
      <valAx>
        <axId val="100"/>
        <scaling>
          <orientation val="minMax"/>
        </scaling>
        <delete val="0"/>
        <axPos val="l"/>
        <majorGridlines>
          <spPr>
            <a:ln>
              <a:solidFill>
                <a:srgbClr val="D9D9D9"/>
              </a:solidFill>
              <a:prstDash val="solid"/>
            </a:ln>
          </spPr>
        </majorGridlines>
        <numFmt formatCode="#,##0" sourceLinked="0"/>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
        <crosses val="max"/>
      </valAx>
    </plotArea>
    <plotVisOnly val="1"/>
    <dispBlanksAs val="gap"/>
  </chart>
  <spPr>
    <a:solidFill>
      <a:srgbClr val="FFFFFF"/>
    </a:solidFill>
    <a:ln>
      <a:noFill/>
      <a:prstDash val="solid"/>
    </a:ln>
  </spPr>
</chartSpace>
</file>

<file path=xl/charts/chart205.xml><?xml version="1.0" encoding="utf-8"?>
<chartSpace xmlns:a="http://schemas.openxmlformats.org/drawingml/2006/main" xmlns="http://schemas.openxmlformats.org/drawingml/2006/chart">
  <chart>
    <title>
      <tx>
        <rich>
          <a:bodyPr/>
          <a:p>
            <a:pPr>
              <a:defRPr sz="1200" b="1">
                <a:solidFill>
                  <a:srgbClr val="1F3864"/>
                </a:solidFill>
              </a:defRPr>
            </a:pPr>
            <a:r>
              <a:t>Динаміка по місяцях</a:t>
            </a:r>
          </a:p>
        </rich>
      </tx>
      <overlay val="0"/>
    </title>
    <plotArea>
      <lineChart>
        <grouping val="standard"/>
        <ser>
          <idx val="0"/>
          <order val="0"/>
          <tx>
            <strRef>
              <f>'К31 ТОВ "СІНТ-ДНІПРОПЕТРОВСЬК"'!B39</f>
            </strRef>
          </tx>
          <spPr>
            <a:ln w="22000">
              <a:solidFill>
                <a:srgbClr val="3D7EFF"/>
              </a:solidFill>
              <a:prstDash val="solid"/>
            </a:ln>
          </spPr>
          <marker>
            <symbol val="circle"/>
            <size val="5"/>
            <spPr>
              <a:solidFill>
                <a:srgbClr val="3D7EFF"/>
              </a:solidFill>
              <a:ln>
                <a:prstDash val="solid"/>
              </a:ln>
            </spPr>
          </marker>
          <cat>
            <numRef>
              <f>'К31 ТОВ "СІНТ-ДНІПРОПЕТРОВСЬК"'!$A$40:$A$44</f>
            </numRef>
          </cat>
          <val>
            <numRef>
              <f>'К31 ТОВ "СІНТ-ДНІПРОПЕТРОВСЬК"'!$B$40:$B$44</f>
            </numRef>
          </val>
          <smooth val="0"/>
        </ser>
        <axId val="10"/>
        <axId val="100"/>
      </lineChart>
      <catAx>
        <axId val="10"/>
        <scaling>
          <orientation val="minMax"/>
        </scaling>
        <delete val="0"/>
        <axPos val="l"/>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0"/>
        <lblOffset val="100"/>
      </catAx>
      <valAx>
        <axId val="100"/>
        <scaling>
          <orientation val="minMax"/>
        </scaling>
        <delete val="0"/>
        <axPos val="l"/>
        <majorGridlines>
          <spPr>
            <a:ln>
              <a:solidFill>
                <a:srgbClr val="D9D9D9"/>
              </a:solidFill>
              <a:prstDash val="solid"/>
            </a:ln>
          </spPr>
        </majorGridlines>
        <numFmt formatCode="#,##0" sourceLinked="0"/>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
      </valAx>
    </plotArea>
    <plotVisOnly val="1"/>
    <dispBlanksAs val="gap"/>
  </chart>
  <spPr>
    <a:solidFill>
      <a:srgbClr val="FFFFFF"/>
    </a:solidFill>
    <a:ln>
      <a:noFill/>
      <a:prstDash val="solid"/>
    </a:ln>
  </spPr>
</chartSpace>
</file>

<file path=xl/charts/chart206.xml><?xml version="1.0" encoding="utf-8"?>
<chartSpace xmlns:a="http://schemas.openxmlformats.org/drawingml/2006/main" xmlns="http://schemas.openxmlformats.org/drawingml/2006/chart">
  <chart>
    <title>
      <tx>
        <rich>
          <a:bodyPr/>
          <a:p>
            <a:pPr>
              <a:defRPr sz="1200" b="1">
                <a:solidFill>
                  <a:srgbClr val="1F3864"/>
                </a:solidFill>
              </a:defRPr>
            </a:pPr>
            <a:r>
              <a:t>Що саме продає</a:t>
            </a:r>
          </a:p>
        </rich>
      </tx>
      <overlay val="0"/>
    </title>
    <plotArea>
      <barChart>
        <barDir val="bar"/>
        <grouping val="clustered"/>
        <ser>
          <idx val="0"/>
          <order val="0"/>
          <tx>
            <strRef>
              <f>'К31 ТОВ "СІНТ-ДНІПРОПЕТРОВСЬК"'!B59</f>
            </strRef>
          </tx>
          <spPr>
            <a:solidFill>
              <a:srgbClr val="3D7EFF"/>
            </a:solidFill>
            <a:ln>
              <a:noFill/>
              <a:prstDash val="solid"/>
            </a:ln>
          </spPr>
          <cat>
            <numRef>
              <f>'К31 ТОВ "СІНТ-ДНІПРОПЕТРОВСЬК"'!$A$60:$A$69</f>
            </numRef>
          </cat>
          <val>
            <numRef>
              <f>'К31 ТОВ "СІНТ-ДНІПРОПЕТРОВСЬК"'!$B$60:$B$69</f>
            </numRef>
          </val>
        </ser>
        <dLbls>
          <numFmt formatCode="#,##0"/>
          <txPr>
            <a:bodyPr vert="horz"/>
            <a:p>
              <a:pPr>
                <a:defRPr sz="900">
                  <a:solidFill>
                    <a:srgbClr val="404040"/>
                  </a:solidFill>
                </a:defRPr>
              </a:pPr>
              <a:endParaRPr sz="900">
                <a:solidFill>
                  <a:srgbClr val="404040"/>
                </a:solidFill>
              </a:endParaRPr>
            </a:p>
          </txPr>
          <dLblPos val="outEnd"/>
          <showLegendKey val="0"/>
          <showVal val="1"/>
          <showCatName val="0"/>
          <showSerName val="0"/>
          <showPercent val="0"/>
          <showBubbleSize val="0"/>
        </dLbls>
        <gapWidth val="60"/>
        <axId val="10"/>
        <axId val="100"/>
      </barChart>
      <catAx>
        <axId val="10"/>
        <scaling>
          <orientation val="maxMin"/>
        </scaling>
        <delete val="0"/>
        <axPos val="l"/>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0"/>
        <lblOffset val="100"/>
      </catAx>
      <valAx>
        <axId val="100"/>
        <scaling>
          <orientation val="minMax"/>
        </scaling>
        <delete val="0"/>
        <axPos val="l"/>
        <majorGridlines>
          <spPr>
            <a:ln>
              <a:solidFill>
                <a:srgbClr val="D9D9D9"/>
              </a:solidFill>
              <a:prstDash val="solid"/>
            </a:ln>
          </spPr>
        </majorGridlines>
        <numFmt formatCode="#,##0" sourceLinked="0"/>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
        <crosses val="max"/>
      </valAx>
    </plotArea>
    <plotVisOnly val="1"/>
    <dispBlanksAs val="gap"/>
  </chart>
  <spPr>
    <a:solidFill>
      <a:srgbClr val="FFFFFF"/>
    </a:solidFill>
    <a:ln>
      <a:noFill/>
      <a:prstDash val="solid"/>
    </a:ln>
  </spPr>
</chartSpace>
</file>

<file path=xl/charts/chart207.xml><?xml version="1.0" encoding="utf-8"?>
<chartSpace xmlns:a="http://schemas.openxmlformats.org/drawingml/2006/main" xmlns="http://schemas.openxmlformats.org/drawingml/2006/chart">
  <chart>
    <title>
      <tx>
        <rich>
          <a:bodyPr/>
          <a:p>
            <a:pPr>
              <a:defRPr sz="1200" b="1">
                <a:solidFill>
                  <a:srgbClr val="1F3864"/>
                </a:solidFill>
              </a:defRPr>
            </a:pPr>
            <a:r>
              <a:t>Ключові замовники</a:t>
            </a:r>
          </a:p>
        </rich>
      </tx>
      <overlay val="0"/>
    </title>
    <plotArea>
      <barChart>
        <barDir val="bar"/>
        <grouping val="clustered"/>
        <ser>
          <idx val="0"/>
          <order val="0"/>
          <tx>
            <strRef>
              <f>'К31 ТОВ "СІНТ-ДНІПРОПЕТРОВСЬК"'!B77</f>
            </strRef>
          </tx>
          <spPr>
            <a:solidFill>
              <a:srgbClr val="3D7EFF"/>
            </a:solidFill>
            <a:ln>
              <a:noFill/>
              <a:prstDash val="solid"/>
            </a:ln>
          </spPr>
          <cat>
            <numRef>
              <f>'К31 ТОВ "СІНТ-ДНІПРОПЕТРОВСЬК"'!$A$78:$A$83</f>
            </numRef>
          </cat>
          <val>
            <numRef>
              <f>'К31 ТОВ "СІНТ-ДНІПРОПЕТРОВСЬК"'!$B$78:$B$83</f>
            </numRef>
          </val>
        </ser>
        <dLbls>
          <numFmt formatCode="#,##0"/>
          <txPr>
            <a:bodyPr vert="horz"/>
            <a:p>
              <a:pPr>
                <a:defRPr sz="900">
                  <a:solidFill>
                    <a:srgbClr val="404040"/>
                  </a:solidFill>
                </a:defRPr>
              </a:pPr>
              <a:endParaRPr sz="900">
                <a:solidFill>
                  <a:srgbClr val="404040"/>
                </a:solidFill>
              </a:endParaRPr>
            </a:p>
          </txPr>
          <dLblPos val="outEnd"/>
          <showLegendKey val="0"/>
          <showVal val="1"/>
          <showCatName val="0"/>
          <showSerName val="0"/>
          <showPercent val="0"/>
          <showBubbleSize val="0"/>
        </dLbls>
        <gapWidth val="60"/>
        <axId val="10"/>
        <axId val="100"/>
      </barChart>
      <catAx>
        <axId val="10"/>
        <scaling>
          <orientation val="maxMin"/>
        </scaling>
        <delete val="0"/>
        <axPos val="l"/>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0"/>
        <lblOffset val="100"/>
      </catAx>
      <valAx>
        <axId val="100"/>
        <scaling>
          <orientation val="minMax"/>
        </scaling>
        <delete val="0"/>
        <axPos val="l"/>
        <majorGridlines>
          <spPr>
            <a:ln>
              <a:solidFill>
                <a:srgbClr val="D9D9D9"/>
              </a:solidFill>
              <a:prstDash val="solid"/>
            </a:ln>
          </spPr>
        </majorGridlines>
        <numFmt formatCode="#,##0" sourceLinked="0"/>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
        <crosses val="max"/>
      </valAx>
    </plotArea>
    <plotVisOnly val="1"/>
    <dispBlanksAs val="gap"/>
  </chart>
  <spPr>
    <a:solidFill>
      <a:srgbClr val="FFFFFF"/>
    </a:solidFill>
    <a:ln>
      <a:noFill/>
      <a:prstDash val="solid"/>
    </a:ln>
  </spPr>
</chartSpace>
</file>

<file path=xl/charts/chart208.xml><?xml version="1.0" encoding="utf-8"?>
<chartSpace xmlns:a="http://schemas.openxmlformats.org/drawingml/2006/main" xmlns="http://schemas.openxmlformats.org/drawingml/2006/chart">
  <chart>
    <title>
      <tx>
        <rich>
          <a:bodyPr/>
          <a:p>
            <a:pPr>
              <a:defRPr sz="1200" b="1">
                <a:solidFill>
                  <a:srgbClr val="1F3864"/>
                </a:solidFill>
              </a:defRPr>
            </a:pPr>
            <a:r>
              <a:t>Що саме продає</a:t>
            </a:r>
          </a:p>
        </rich>
      </tx>
      <overlay val="0"/>
    </title>
    <plotArea>
      <barChart>
        <barDir val="bar"/>
        <grouping val="clustered"/>
        <ser>
          <idx val="0"/>
          <order val="0"/>
          <tx>
            <strRef>
              <f>'К32 ТОВ "КПІ-МАРКЕТ"'!B37</f>
            </strRef>
          </tx>
          <spPr>
            <a:solidFill>
              <a:srgbClr val="3D7EFF"/>
            </a:solidFill>
            <a:ln>
              <a:noFill/>
              <a:prstDash val="solid"/>
            </a:ln>
          </spPr>
          <cat>
            <numRef>
              <f>'К32 ТОВ "КПІ-МАРКЕТ"'!$A$38:$A$46</f>
            </numRef>
          </cat>
          <val>
            <numRef>
              <f>'К32 ТОВ "КПІ-МАРКЕТ"'!$B$38:$B$46</f>
            </numRef>
          </val>
        </ser>
        <dLbls>
          <numFmt formatCode="#,##0"/>
          <txPr>
            <a:bodyPr vert="horz"/>
            <a:p>
              <a:pPr>
                <a:defRPr sz="900">
                  <a:solidFill>
                    <a:srgbClr val="404040"/>
                  </a:solidFill>
                </a:defRPr>
              </a:pPr>
              <a:endParaRPr sz="900">
                <a:solidFill>
                  <a:srgbClr val="404040"/>
                </a:solidFill>
              </a:endParaRPr>
            </a:p>
          </txPr>
          <dLblPos val="outEnd"/>
          <showLegendKey val="0"/>
          <showVal val="1"/>
          <showCatName val="0"/>
          <showSerName val="0"/>
          <showPercent val="0"/>
          <showBubbleSize val="0"/>
        </dLbls>
        <gapWidth val="60"/>
        <axId val="10"/>
        <axId val="100"/>
      </barChart>
      <catAx>
        <axId val="10"/>
        <scaling>
          <orientation val="maxMin"/>
        </scaling>
        <delete val="0"/>
        <axPos val="l"/>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0"/>
        <lblOffset val="100"/>
      </catAx>
      <valAx>
        <axId val="100"/>
        <scaling>
          <orientation val="minMax"/>
        </scaling>
        <delete val="0"/>
        <axPos val="l"/>
        <majorGridlines>
          <spPr>
            <a:ln>
              <a:solidFill>
                <a:srgbClr val="D9D9D9"/>
              </a:solidFill>
              <a:prstDash val="solid"/>
            </a:ln>
          </spPr>
        </majorGridlines>
        <numFmt formatCode="#,##0" sourceLinked="0"/>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
        <crosses val="max"/>
      </valAx>
    </plotArea>
    <plotVisOnly val="1"/>
    <dispBlanksAs val="gap"/>
  </chart>
  <spPr>
    <a:solidFill>
      <a:srgbClr val="FFFFFF"/>
    </a:solidFill>
    <a:ln>
      <a:noFill/>
      <a:prstDash val="solid"/>
    </a:ln>
  </spPr>
</chartSpace>
</file>

<file path=xl/charts/chart209.xml><?xml version="1.0" encoding="utf-8"?>
<chartSpace xmlns:a="http://schemas.openxmlformats.org/drawingml/2006/main" xmlns="http://schemas.openxmlformats.org/drawingml/2006/chart">
  <chart>
    <title>
      <tx>
        <rich>
          <a:bodyPr/>
          <a:p>
            <a:pPr>
              <a:defRPr sz="1200" b="1">
                <a:solidFill>
                  <a:srgbClr val="1F3864"/>
                </a:solidFill>
              </a:defRPr>
            </a:pPr>
            <a:r>
              <a:t>Ключові замовники</a:t>
            </a:r>
          </a:p>
        </rich>
      </tx>
      <overlay val="0"/>
    </title>
    <plotArea>
      <barChart>
        <barDir val="bar"/>
        <grouping val="clustered"/>
        <ser>
          <idx val="0"/>
          <order val="0"/>
          <tx>
            <strRef>
              <f>'К32 ТОВ "КПІ-МАРКЕТ"'!B54</f>
            </strRef>
          </tx>
          <spPr>
            <a:solidFill>
              <a:srgbClr val="3D7EFF"/>
            </a:solidFill>
            <a:ln>
              <a:noFill/>
              <a:prstDash val="solid"/>
            </a:ln>
          </spPr>
          <cat>
            <numRef>
              <f>'К32 ТОВ "КПІ-МАРКЕТ"'!$A$55</f>
            </numRef>
          </cat>
          <val>
            <numRef>
              <f>'К32 ТОВ "КПІ-МАРКЕТ"'!$B$55</f>
            </numRef>
          </val>
        </ser>
        <dLbls>
          <numFmt formatCode="#,##0"/>
          <txPr>
            <a:bodyPr vert="horz"/>
            <a:p>
              <a:pPr>
                <a:defRPr sz="900">
                  <a:solidFill>
                    <a:srgbClr val="404040"/>
                  </a:solidFill>
                </a:defRPr>
              </a:pPr>
              <a:endParaRPr sz="900">
                <a:solidFill>
                  <a:srgbClr val="404040"/>
                </a:solidFill>
              </a:endParaRPr>
            </a:p>
          </txPr>
          <dLblPos val="outEnd"/>
          <showLegendKey val="0"/>
          <showVal val="1"/>
          <showCatName val="0"/>
          <showSerName val="0"/>
          <showPercent val="0"/>
          <showBubbleSize val="0"/>
        </dLbls>
        <gapWidth val="150"/>
        <axId val="10"/>
        <axId val="100"/>
      </barChart>
      <catAx>
        <axId val="10"/>
        <scaling>
          <orientation val="maxMin"/>
        </scaling>
        <delete val="0"/>
        <axPos val="l"/>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0"/>
        <lblOffset val="100"/>
      </catAx>
      <valAx>
        <axId val="100"/>
        <scaling>
          <orientation val="minMax"/>
        </scaling>
        <delete val="0"/>
        <axPos val="l"/>
        <majorGridlines>
          <spPr>
            <a:ln>
              <a:solidFill>
                <a:srgbClr val="D9D9D9"/>
              </a:solidFill>
              <a:prstDash val="solid"/>
            </a:ln>
          </spPr>
        </majorGridlines>
        <numFmt formatCode="#,##0" sourceLinked="0"/>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
        <crosses val="max"/>
      </valAx>
    </plotArea>
    <plotVisOnly val="1"/>
    <dispBlanksAs val="gap"/>
  </chart>
  <spPr>
    <a:solidFill>
      <a:srgbClr val="FFFFFF"/>
    </a:solidFill>
    <a:ln>
      <a:noFill/>
      <a:prstDash val="solid"/>
    </a:ln>
  </spPr>
</chartSpace>
</file>

<file path=xl/charts/chart210.xml><?xml version="1.0" encoding="utf-8"?>
<chartSpace xmlns:a="http://schemas.openxmlformats.org/drawingml/2006/main" xmlns="http://schemas.openxmlformats.org/drawingml/2006/chart">
  <chart>
    <title>
      <tx>
        <rich>
          <a:bodyPr/>
          <a:p>
            <a:pPr>
              <a:defRPr sz="1200" b="1">
                <a:solidFill>
                  <a:srgbClr val="1F3864"/>
                </a:solidFill>
              </a:defRPr>
            </a:pPr>
            <a:r>
              <a:t>Динаміка по місяцях</a:t>
            </a:r>
          </a:p>
        </rich>
      </tx>
      <overlay val="0"/>
    </title>
    <plotArea>
      <lineChart>
        <grouping val="standard"/>
        <ser>
          <idx val="0"/>
          <order val="0"/>
          <tx>
            <strRef>
              <f>'К33 ФОП Козловський Сергій Павл'!B43</f>
            </strRef>
          </tx>
          <spPr>
            <a:ln w="22000">
              <a:solidFill>
                <a:srgbClr val="3D7EFF"/>
              </a:solidFill>
              <a:prstDash val="solid"/>
            </a:ln>
          </spPr>
          <marker>
            <symbol val="circle"/>
            <size val="5"/>
            <spPr>
              <a:solidFill>
                <a:srgbClr val="3D7EFF"/>
              </a:solidFill>
              <a:ln>
                <a:prstDash val="solid"/>
              </a:ln>
            </spPr>
          </marker>
          <cat>
            <numRef>
              <f>'К33 ФОП Козловський Сергій Павл'!$A$44:$A$46</f>
            </numRef>
          </cat>
          <val>
            <numRef>
              <f>'К33 ФОП Козловський Сергій Павл'!$B$44:$B$46</f>
            </numRef>
          </val>
          <smooth val="0"/>
        </ser>
        <axId val="10"/>
        <axId val="100"/>
      </lineChart>
      <catAx>
        <axId val="10"/>
        <scaling>
          <orientation val="minMax"/>
        </scaling>
        <delete val="0"/>
        <axPos val="l"/>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0"/>
        <lblOffset val="100"/>
      </catAx>
      <valAx>
        <axId val="100"/>
        <scaling>
          <orientation val="minMax"/>
        </scaling>
        <delete val="0"/>
        <axPos val="l"/>
        <majorGridlines>
          <spPr>
            <a:ln>
              <a:solidFill>
                <a:srgbClr val="D9D9D9"/>
              </a:solidFill>
              <a:prstDash val="solid"/>
            </a:ln>
          </spPr>
        </majorGridlines>
        <numFmt formatCode="#,##0" sourceLinked="0"/>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
      </valAx>
    </plotArea>
    <plotVisOnly val="1"/>
    <dispBlanksAs val="gap"/>
  </chart>
  <spPr>
    <a:solidFill>
      <a:srgbClr val="FFFFFF"/>
    </a:solidFill>
    <a:ln>
      <a:noFill/>
      <a:prstDash val="solid"/>
    </a:ln>
  </spPr>
</chartSpace>
</file>

<file path=xl/charts/chart211.xml><?xml version="1.0" encoding="utf-8"?>
<chartSpace xmlns:a="http://schemas.openxmlformats.org/drawingml/2006/main" xmlns="http://schemas.openxmlformats.org/drawingml/2006/chart">
  <chart>
    <title>
      <tx>
        <rich>
          <a:bodyPr/>
          <a:p>
            <a:pPr>
              <a:defRPr sz="1200" b="1">
                <a:solidFill>
                  <a:srgbClr val="1F3864"/>
                </a:solidFill>
              </a:defRPr>
            </a:pPr>
            <a:r>
              <a:t>Торгові марки у позиціях</a:t>
            </a:r>
          </a:p>
        </rich>
      </tx>
      <overlay val="0"/>
    </title>
    <plotArea>
      <pieChart>
        <varyColors val="1"/>
        <ser>
          <idx val="0"/>
          <order val="0"/>
          <tx>
            <strRef>
              <f>'К33 ФОП Козловський Сергій Павл'!B63</f>
            </strRef>
          </tx>
          <spPr>
            <a:ln>
              <a:prstDash val="solid"/>
            </a:ln>
          </spPr>
          <dPt>
            <idx val="0"/>
            <spPr>
              <a:solidFill>
                <a:srgbClr val="3D7EFF"/>
              </a:solidFill>
              <a:ln>
                <a:prstDash val="solid"/>
              </a:ln>
            </spPr>
          </dPt>
          <cat>
            <numRef>
              <f>'К33 ФОП Козловський Сергій Павл'!$A$64</f>
            </numRef>
          </cat>
          <val>
            <numRef>
              <f>'К33 ФОП Козловський Сергій Павл'!$B$64</f>
            </numRef>
          </val>
        </ser>
        <dLbls>
          <txPr>
            <a:bodyPr vert="horz"/>
            <a:p>
              <a:pPr>
                <a:defRPr sz="900">
                  <a:solidFill>
                    <a:srgbClr val="404040"/>
                  </a:solidFill>
                </a:defRPr>
              </a:pPr>
              <a:endParaRPr sz="900">
                <a:solidFill>
                  <a:srgbClr val="404040"/>
                </a:solidFill>
              </a:endParaRPr>
            </a:p>
          </txPr>
          <dLblPos val="bestFit"/>
          <showLegendKey val="0"/>
          <showVal val="0"/>
          <showCatName val="0"/>
          <showSerName val="0"/>
          <showPercent val="1"/>
          <showBubbleSize val="0"/>
          <showLeaderLines val="1"/>
        </dLbls>
        <firstSliceAng val="0"/>
      </pieChart>
    </plotArea>
    <legend>
      <legendPos val="b"/>
      <overlay val="0"/>
      <txPr>
        <a:bodyPr vert="horz"/>
        <a:p>
          <a:pPr>
            <a:defRPr sz="900">
              <a:solidFill>
                <a:srgbClr val="404040"/>
              </a:solidFill>
            </a:defRPr>
          </a:pPr>
          <a:endParaRPr sz="900">
            <a:solidFill>
              <a:srgbClr val="404040"/>
            </a:solidFill>
          </a:endParaRPr>
        </a:p>
      </txPr>
    </legend>
    <plotVisOnly val="1"/>
    <dispBlanksAs val="gap"/>
  </chart>
  <spPr>
    <a:solidFill>
      <a:srgbClr val="FFFFFF"/>
    </a:solidFill>
    <a:ln>
      <a:noFill/>
      <a:prstDash val="solid"/>
    </a:ln>
  </spPr>
</chartSpace>
</file>

<file path=xl/charts/chart212.xml><?xml version="1.0" encoding="utf-8"?>
<chartSpace xmlns:a="http://schemas.openxmlformats.org/drawingml/2006/main" xmlns="http://schemas.openxmlformats.org/drawingml/2006/chart">
  <chart>
    <title>
      <tx>
        <rich>
          <a:bodyPr/>
          <a:p>
            <a:pPr>
              <a:defRPr sz="1200" b="1">
                <a:solidFill>
                  <a:srgbClr val="1F3864"/>
                </a:solidFill>
              </a:defRPr>
            </a:pPr>
            <a:r>
              <a:t>Що саме продає</a:t>
            </a:r>
          </a:p>
        </rich>
      </tx>
      <overlay val="0"/>
    </title>
    <plotArea>
      <barChart>
        <barDir val="bar"/>
        <grouping val="clustered"/>
        <ser>
          <idx val="0"/>
          <order val="0"/>
          <tx>
            <strRef>
              <f>'К33 ФОП Козловський Сергій Павл'!B83</f>
            </strRef>
          </tx>
          <spPr>
            <a:solidFill>
              <a:srgbClr val="3D7EFF"/>
            </a:solidFill>
            <a:ln>
              <a:noFill/>
              <a:prstDash val="solid"/>
            </a:ln>
          </spPr>
          <cat>
            <numRef>
              <f>'К33 ФОП Козловський Сергій Павл'!$A$84:$A$93</f>
            </numRef>
          </cat>
          <val>
            <numRef>
              <f>'К33 ФОП Козловський Сергій Павл'!$B$84:$B$93</f>
            </numRef>
          </val>
        </ser>
        <dLbls>
          <numFmt formatCode="#,##0"/>
          <txPr>
            <a:bodyPr vert="horz"/>
            <a:p>
              <a:pPr>
                <a:defRPr sz="900">
                  <a:solidFill>
                    <a:srgbClr val="404040"/>
                  </a:solidFill>
                </a:defRPr>
              </a:pPr>
              <a:endParaRPr sz="900">
                <a:solidFill>
                  <a:srgbClr val="404040"/>
                </a:solidFill>
              </a:endParaRPr>
            </a:p>
          </txPr>
          <dLblPos val="outEnd"/>
          <showLegendKey val="0"/>
          <showVal val="1"/>
          <showCatName val="0"/>
          <showSerName val="0"/>
          <showPercent val="0"/>
          <showBubbleSize val="0"/>
        </dLbls>
        <gapWidth val="60"/>
        <axId val="10"/>
        <axId val="100"/>
      </barChart>
      <catAx>
        <axId val="10"/>
        <scaling>
          <orientation val="maxMin"/>
        </scaling>
        <delete val="0"/>
        <axPos val="l"/>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0"/>
        <lblOffset val="100"/>
      </catAx>
      <valAx>
        <axId val="100"/>
        <scaling>
          <orientation val="minMax"/>
        </scaling>
        <delete val="0"/>
        <axPos val="l"/>
        <majorGridlines>
          <spPr>
            <a:ln>
              <a:solidFill>
                <a:srgbClr val="D9D9D9"/>
              </a:solidFill>
              <a:prstDash val="solid"/>
            </a:ln>
          </spPr>
        </majorGridlines>
        <numFmt formatCode="#,##0" sourceLinked="0"/>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
        <crosses val="max"/>
      </valAx>
    </plotArea>
    <plotVisOnly val="1"/>
    <dispBlanksAs val="gap"/>
  </chart>
  <spPr>
    <a:solidFill>
      <a:srgbClr val="FFFFFF"/>
    </a:solidFill>
    <a:ln>
      <a:noFill/>
      <a:prstDash val="solid"/>
    </a:ln>
  </spPr>
</chartSpace>
</file>

<file path=xl/charts/chart213.xml><?xml version="1.0" encoding="utf-8"?>
<chartSpace xmlns:a="http://schemas.openxmlformats.org/drawingml/2006/main" xmlns="http://schemas.openxmlformats.org/drawingml/2006/chart">
  <chart>
    <title>
      <tx>
        <rich>
          <a:bodyPr/>
          <a:p>
            <a:pPr>
              <a:defRPr sz="1200" b="1">
                <a:solidFill>
                  <a:srgbClr val="1F3864"/>
                </a:solidFill>
              </a:defRPr>
            </a:pPr>
            <a:r>
              <a:t>Ключові замовники</a:t>
            </a:r>
          </a:p>
        </rich>
      </tx>
      <overlay val="0"/>
    </title>
    <plotArea>
      <barChart>
        <barDir val="bar"/>
        <grouping val="clustered"/>
        <ser>
          <idx val="0"/>
          <order val="0"/>
          <tx>
            <strRef>
              <f>'К33 ФОП Козловський Сергій Павл'!B101</f>
            </strRef>
          </tx>
          <spPr>
            <a:solidFill>
              <a:srgbClr val="3D7EFF"/>
            </a:solidFill>
            <a:ln>
              <a:noFill/>
              <a:prstDash val="solid"/>
            </a:ln>
          </spPr>
          <cat>
            <numRef>
              <f>'К33 ФОП Козловський Сергій Павл'!$A$102:$A$105</f>
            </numRef>
          </cat>
          <val>
            <numRef>
              <f>'К33 ФОП Козловський Сергій Павл'!$B$102:$B$105</f>
            </numRef>
          </val>
        </ser>
        <dLbls>
          <numFmt formatCode="#,##0"/>
          <txPr>
            <a:bodyPr vert="horz"/>
            <a:p>
              <a:pPr>
                <a:defRPr sz="900">
                  <a:solidFill>
                    <a:srgbClr val="404040"/>
                  </a:solidFill>
                </a:defRPr>
              </a:pPr>
              <a:endParaRPr sz="900">
                <a:solidFill>
                  <a:srgbClr val="404040"/>
                </a:solidFill>
              </a:endParaRPr>
            </a:p>
          </txPr>
          <dLblPos val="outEnd"/>
          <showLegendKey val="0"/>
          <showVal val="1"/>
          <showCatName val="0"/>
          <showSerName val="0"/>
          <showPercent val="0"/>
          <showBubbleSize val="0"/>
        </dLbls>
        <gapWidth val="150"/>
        <axId val="10"/>
        <axId val="100"/>
      </barChart>
      <catAx>
        <axId val="10"/>
        <scaling>
          <orientation val="maxMin"/>
        </scaling>
        <delete val="0"/>
        <axPos val="l"/>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0"/>
        <lblOffset val="100"/>
      </catAx>
      <valAx>
        <axId val="100"/>
        <scaling>
          <orientation val="minMax"/>
        </scaling>
        <delete val="0"/>
        <axPos val="l"/>
        <majorGridlines>
          <spPr>
            <a:ln>
              <a:solidFill>
                <a:srgbClr val="D9D9D9"/>
              </a:solidFill>
              <a:prstDash val="solid"/>
            </a:ln>
          </spPr>
        </majorGridlines>
        <numFmt formatCode="#,##0" sourceLinked="0"/>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
        <crosses val="max"/>
      </valAx>
    </plotArea>
    <plotVisOnly val="1"/>
    <dispBlanksAs val="gap"/>
  </chart>
  <spPr>
    <a:solidFill>
      <a:srgbClr val="FFFFFF"/>
    </a:solidFill>
    <a:ln>
      <a:noFill/>
      <a:prstDash val="solid"/>
    </a:ln>
  </spPr>
</chartSpace>
</file>

<file path=xl/charts/chart214.xml><?xml version="1.0" encoding="utf-8"?>
<chartSpace xmlns:a="http://schemas.openxmlformats.org/drawingml/2006/main" xmlns="http://schemas.openxmlformats.org/drawingml/2006/chart">
  <chart>
    <title>
      <tx>
        <rich>
          <a:bodyPr/>
          <a:p>
            <a:pPr>
              <a:defRPr sz="1200" b="1">
                <a:solidFill>
                  <a:srgbClr val="1F3864"/>
                </a:solidFill>
              </a:defRPr>
            </a:pPr>
            <a:r>
              <a:t>Динаміка по місяцях</a:t>
            </a:r>
          </a:p>
        </rich>
      </tx>
      <overlay val="0"/>
    </title>
    <plotArea>
      <lineChart>
        <grouping val="standard"/>
        <ser>
          <idx val="0"/>
          <order val="0"/>
          <tx>
            <strRef>
              <f>'К34 ФОП ПРІСИЧ ДМИТРО МИКОЛАЙОВ'!B38</f>
            </strRef>
          </tx>
          <spPr>
            <a:ln w="22000">
              <a:solidFill>
                <a:srgbClr val="3D7EFF"/>
              </a:solidFill>
              <a:prstDash val="solid"/>
            </a:ln>
          </spPr>
          <marker>
            <symbol val="circle"/>
            <size val="5"/>
            <spPr>
              <a:solidFill>
                <a:srgbClr val="3D7EFF"/>
              </a:solidFill>
              <a:ln>
                <a:prstDash val="solid"/>
              </a:ln>
            </spPr>
          </marker>
          <cat>
            <numRef>
              <f>'К34 ФОП ПРІСИЧ ДМИТРО МИКОЛАЙОВ'!$A$39:$A$40</f>
            </numRef>
          </cat>
          <val>
            <numRef>
              <f>'К34 ФОП ПРІСИЧ ДМИТРО МИКОЛАЙОВ'!$B$39:$B$40</f>
            </numRef>
          </val>
          <smooth val="0"/>
        </ser>
        <axId val="10"/>
        <axId val="100"/>
      </lineChart>
      <catAx>
        <axId val="10"/>
        <scaling>
          <orientation val="minMax"/>
        </scaling>
        <delete val="0"/>
        <axPos val="l"/>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0"/>
        <lblOffset val="100"/>
      </catAx>
      <valAx>
        <axId val="100"/>
        <scaling>
          <orientation val="minMax"/>
        </scaling>
        <delete val="0"/>
        <axPos val="l"/>
        <majorGridlines>
          <spPr>
            <a:ln>
              <a:solidFill>
                <a:srgbClr val="D9D9D9"/>
              </a:solidFill>
              <a:prstDash val="solid"/>
            </a:ln>
          </spPr>
        </majorGridlines>
        <numFmt formatCode="#,##0" sourceLinked="0"/>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
      </valAx>
    </plotArea>
    <plotVisOnly val="1"/>
    <dispBlanksAs val="gap"/>
  </chart>
  <spPr>
    <a:solidFill>
      <a:srgbClr val="FFFFFF"/>
    </a:solidFill>
    <a:ln>
      <a:noFill/>
      <a:prstDash val="solid"/>
    </a:ln>
  </spPr>
</chartSpace>
</file>

<file path=xl/charts/chart215.xml><?xml version="1.0" encoding="utf-8"?>
<chartSpace xmlns:a="http://schemas.openxmlformats.org/drawingml/2006/main" xmlns="http://schemas.openxmlformats.org/drawingml/2006/chart">
  <chart>
    <title>
      <tx>
        <rich>
          <a:bodyPr/>
          <a:p>
            <a:pPr>
              <a:defRPr sz="1200" b="1">
                <a:solidFill>
                  <a:srgbClr val="1F3864"/>
                </a:solidFill>
              </a:defRPr>
            </a:pPr>
            <a:r>
              <a:t>Торгові марки у позиціях</a:t>
            </a:r>
          </a:p>
        </rich>
      </tx>
      <overlay val="0"/>
    </title>
    <plotArea>
      <pieChart>
        <varyColors val="1"/>
        <ser>
          <idx val="0"/>
          <order val="0"/>
          <tx>
            <strRef>
              <f>'К34 ФОП ПРІСИЧ ДМИТРО МИКОЛАЙОВ'!B58</f>
            </strRef>
          </tx>
          <spPr>
            <a:ln>
              <a:prstDash val="solid"/>
            </a:ln>
          </spPr>
          <dPt>
            <idx val="0"/>
            <spPr>
              <a:solidFill>
                <a:srgbClr val="3D7EFF"/>
              </a:solidFill>
              <a:ln>
                <a:prstDash val="solid"/>
              </a:ln>
            </spPr>
          </dPt>
          <dPt>
            <idx val="1"/>
            <spPr>
              <a:solidFill>
                <a:srgbClr val="3ECF8E"/>
              </a:solidFill>
              <a:ln>
                <a:prstDash val="solid"/>
              </a:ln>
            </spPr>
          </dPt>
          <dPt>
            <idx val="2"/>
            <spPr>
              <a:solidFill>
                <a:srgbClr val="F0B429"/>
              </a:solidFill>
              <a:ln>
                <a:prstDash val="solid"/>
              </a:ln>
            </spPr>
          </dPt>
          <cat>
            <numRef>
              <f>'К34 ФОП ПРІСИЧ ДМИТРО МИКОЛАЙОВ'!$A$59:$A$61</f>
            </numRef>
          </cat>
          <val>
            <numRef>
              <f>'К34 ФОП ПРІСИЧ ДМИТРО МИКОЛАЙОВ'!$B$59:$B$61</f>
            </numRef>
          </val>
        </ser>
        <dLbls>
          <txPr>
            <a:bodyPr vert="horz"/>
            <a:p>
              <a:pPr>
                <a:defRPr sz="900">
                  <a:solidFill>
                    <a:srgbClr val="404040"/>
                  </a:solidFill>
                </a:defRPr>
              </a:pPr>
              <a:endParaRPr sz="900">
                <a:solidFill>
                  <a:srgbClr val="404040"/>
                </a:solidFill>
              </a:endParaRPr>
            </a:p>
          </txPr>
          <dLblPos val="bestFit"/>
          <showLegendKey val="0"/>
          <showVal val="0"/>
          <showCatName val="0"/>
          <showSerName val="0"/>
          <showPercent val="1"/>
          <showBubbleSize val="0"/>
          <showLeaderLines val="1"/>
        </dLbls>
        <firstSliceAng val="0"/>
      </pieChart>
    </plotArea>
    <legend>
      <legendPos val="b"/>
      <overlay val="0"/>
      <txPr>
        <a:bodyPr vert="horz"/>
        <a:p>
          <a:pPr>
            <a:defRPr sz="900">
              <a:solidFill>
                <a:srgbClr val="404040"/>
              </a:solidFill>
            </a:defRPr>
          </a:pPr>
          <a:endParaRPr sz="900">
            <a:solidFill>
              <a:srgbClr val="404040"/>
            </a:solidFill>
          </a:endParaRPr>
        </a:p>
      </txPr>
    </legend>
    <plotVisOnly val="1"/>
    <dispBlanksAs val="gap"/>
  </chart>
  <spPr>
    <a:solidFill>
      <a:srgbClr val="FFFFFF"/>
    </a:solidFill>
    <a:ln>
      <a:noFill/>
      <a:prstDash val="solid"/>
    </a:ln>
  </spPr>
</chartSpace>
</file>

<file path=xl/charts/chart216.xml><?xml version="1.0" encoding="utf-8"?>
<chartSpace xmlns:a="http://schemas.openxmlformats.org/drawingml/2006/main" xmlns="http://schemas.openxmlformats.org/drawingml/2006/chart">
  <chart>
    <title>
      <tx>
        <rich>
          <a:bodyPr/>
          <a:p>
            <a:pPr>
              <a:defRPr sz="1200" b="1">
                <a:solidFill>
                  <a:srgbClr val="1F3864"/>
                </a:solidFill>
              </a:defRPr>
            </a:pPr>
            <a:r>
              <a:t>Що саме продає</a:t>
            </a:r>
          </a:p>
        </rich>
      </tx>
      <overlay val="0"/>
    </title>
    <plotArea>
      <barChart>
        <barDir val="bar"/>
        <grouping val="clustered"/>
        <ser>
          <idx val="0"/>
          <order val="0"/>
          <tx>
            <strRef>
              <f>'К34 ФОП ПРІСИЧ ДМИТРО МИКОЛАЙОВ'!B78</f>
            </strRef>
          </tx>
          <spPr>
            <a:solidFill>
              <a:srgbClr val="3D7EFF"/>
            </a:solidFill>
            <a:ln>
              <a:noFill/>
              <a:prstDash val="solid"/>
            </a:ln>
          </spPr>
          <cat>
            <numRef>
              <f>'К34 ФОП ПРІСИЧ ДМИТРО МИКОЛАЙОВ'!$A$79:$A$85</f>
            </numRef>
          </cat>
          <val>
            <numRef>
              <f>'К34 ФОП ПРІСИЧ ДМИТРО МИКОЛАЙОВ'!$B$79:$B$85</f>
            </numRef>
          </val>
        </ser>
        <dLbls>
          <numFmt formatCode="#,##0"/>
          <txPr>
            <a:bodyPr vert="horz"/>
            <a:p>
              <a:pPr>
                <a:defRPr sz="900">
                  <a:solidFill>
                    <a:srgbClr val="404040"/>
                  </a:solidFill>
                </a:defRPr>
              </a:pPr>
              <a:endParaRPr sz="900">
                <a:solidFill>
                  <a:srgbClr val="404040"/>
                </a:solidFill>
              </a:endParaRPr>
            </a:p>
          </txPr>
          <dLblPos val="outEnd"/>
          <showLegendKey val="0"/>
          <showVal val="1"/>
          <showCatName val="0"/>
          <showSerName val="0"/>
          <showPercent val="0"/>
          <showBubbleSize val="0"/>
        </dLbls>
        <gapWidth val="60"/>
        <axId val="10"/>
        <axId val="100"/>
      </barChart>
      <catAx>
        <axId val="10"/>
        <scaling>
          <orientation val="maxMin"/>
        </scaling>
        <delete val="0"/>
        <axPos val="l"/>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0"/>
        <lblOffset val="100"/>
      </catAx>
      <valAx>
        <axId val="100"/>
        <scaling>
          <orientation val="minMax"/>
        </scaling>
        <delete val="0"/>
        <axPos val="l"/>
        <majorGridlines>
          <spPr>
            <a:ln>
              <a:solidFill>
                <a:srgbClr val="D9D9D9"/>
              </a:solidFill>
              <a:prstDash val="solid"/>
            </a:ln>
          </spPr>
        </majorGridlines>
        <numFmt formatCode="#,##0" sourceLinked="0"/>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
        <crosses val="max"/>
      </valAx>
    </plotArea>
    <plotVisOnly val="1"/>
    <dispBlanksAs val="gap"/>
  </chart>
  <spPr>
    <a:solidFill>
      <a:srgbClr val="FFFFFF"/>
    </a:solidFill>
    <a:ln>
      <a:noFill/>
      <a:prstDash val="solid"/>
    </a:ln>
  </spPr>
</chartSpace>
</file>

<file path=xl/charts/chart217.xml><?xml version="1.0" encoding="utf-8"?>
<chartSpace xmlns:a="http://schemas.openxmlformats.org/drawingml/2006/main" xmlns="http://schemas.openxmlformats.org/drawingml/2006/chart">
  <chart>
    <title>
      <tx>
        <rich>
          <a:bodyPr/>
          <a:p>
            <a:pPr>
              <a:defRPr sz="1200" b="1">
                <a:solidFill>
                  <a:srgbClr val="1F3864"/>
                </a:solidFill>
              </a:defRPr>
            </a:pPr>
            <a:r>
              <a:t>Ключові замовники</a:t>
            </a:r>
          </a:p>
        </rich>
      </tx>
      <overlay val="0"/>
    </title>
    <plotArea>
      <barChart>
        <barDir val="bar"/>
        <grouping val="clustered"/>
        <ser>
          <idx val="0"/>
          <order val="0"/>
          <tx>
            <strRef>
              <f>'К34 ФОП ПРІСИЧ ДМИТРО МИКОЛАЙОВ'!B94</f>
            </strRef>
          </tx>
          <spPr>
            <a:solidFill>
              <a:srgbClr val="3D7EFF"/>
            </a:solidFill>
            <a:ln>
              <a:noFill/>
              <a:prstDash val="solid"/>
            </a:ln>
          </spPr>
          <cat>
            <numRef>
              <f>'К34 ФОП ПРІСИЧ ДМИТРО МИКОЛАЙОВ'!$A$95:$A$96</f>
            </numRef>
          </cat>
          <val>
            <numRef>
              <f>'К34 ФОП ПРІСИЧ ДМИТРО МИКОЛАЙОВ'!$B$95:$B$96</f>
            </numRef>
          </val>
        </ser>
        <dLbls>
          <numFmt formatCode="#,##0"/>
          <txPr>
            <a:bodyPr vert="horz"/>
            <a:p>
              <a:pPr>
                <a:defRPr sz="900">
                  <a:solidFill>
                    <a:srgbClr val="404040"/>
                  </a:solidFill>
                </a:defRPr>
              </a:pPr>
              <a:endParaRPr sz="900">
                <a:solidFill>
                  <a:srgbClr val="404040"/>
                </a:solidFill>
              </a:endParaRPr>
            </a:p>
          </txPr>
          <dLblPos val="outEnd"/>
          <showLegendKey val="0"/>
          <showVal val="1"/>
          <showCatName val="0"/>
          <showSerName val="0"/>
          <showPercent val="0"/>
          <showBubbleSize val="0"/>
        </dLbls>
        <gapWidth val="150"/>
        <axId val="10"/>
        <axId val="100"/>
      </barChart>
      <catAx>
        <axId val="10"/>
        <scaling>
          <orientation val="maxMin"/>
        </scaling>
        <delete val="0"/>
        <axPos val="l"/>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0"/>
        <lblOffset val="100"/>
      </catAx>
      <valAx>
        <axId val="100"/>
        <scaling>
          <orientation val="minMax"/>
        </scaling>
        <delete val="0"/>
        <axPos val="l"/>
        <majorGridlines>
          <spPr>
            <a:ln>
              <a:solidFill>
                <a:srgbClr val="D9D9D9"/>
              </a:solidFill>
              <a:prstDash val="solid"/>
            </a:ln>
          </spPr>
        </majorGridlines>
        <numFmt formatCode="#,##0" sourceLinked="0"/>
        <majorTickMark val="out"/>
        <minorTickMark val="none"/>
        <spPr>
          <a:ln>
            <a:solidFill>
              <a:srgbClr val="BFBFBF"/>
            </a:solidFill>
            <a:prstDash val="solid"/>
          </a:ln>
        </spPr>
        <txPr>
          <a:bodyPr vert="horz"/>
          <a:p>
            <a:pPr>
              <a:defRPr sz="900">
                <a:solidFill>
                  <a:srgbClr val="404040"/>
                </a:solidFill>
              </a:defRPr>
            </a:pPr>
            <a:endParaRPr sz="900">
              <a:solidFill>
                <a:srgbClr val="404040"/>
              </a:solidFill>
            </a:endParaRPr>
          </a:p>
        </txPr>
        <crossAx val="10"/>
        <crosses val="max"/>
      </valAx>
    </plotArea>
    <plotVisOnly val="1"/>
    <dispBlanksAs val="gap"/>
  </chart>
  <spPr>
    <a:solidFill>
      <a:srgbClr val="FFFFFF"/>
    </a:solidFill>
    <a:ln>
      <a:noFill/>
      <a:prstDash val="solid"/>
    </a:ln>
  </spPr>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 Type="http://schemas.openxmlformats.org/officeDocument/2006/relationships/chart" Target="/xl/charts/chart6.xml" Id="rId6" /><Relationship Type="http://schemas.openxmlformats.org/officeDocument/2006/relationships/chart" Target="/xl/charts/chart7.xml" Id="rId7" /><Relationship Type="http://schemas.openxmlformats.org/officeDocument/2006/relationships/chart" Target="/xl/charts/chart8.xml" Id="rId8" /><Relationship Type="http://schemas.openxmlformats.org/officeDocument/2006/relationships/chart" Target="/xl/charts/chart9.xml" Id="rId9" /><Relationship Type="http://schemas.openxmlformats.org/officeDocument/2006/relationships/chart" Target="/xl/charts/chart10.xml" Id="rId10" /><Relationship Type="http://schemas.openxmlformats.org/officeDocument/2006/relationships/chart" Target="/xl/charts/chart11.xml" Id="rId11" /><Relationship Type="http://schemas.openxmlformats.org/officeDocument/2006/relationships/chart" Target="/xl/charts/chart12.xml" Id="rId12" /><Relationship Type="http://schemas.openxmlformats.org/officeDocument/2006/relationships/chart" Target="/xl/charts/chart13.xml" Id="rId13" /><Relationship Type="http://schemas.openxmlformats.org/officeDocument/2006/relationships/chart" Target="/xl/charts/chart14.xml" Id="rId14" /><Relationship Type="http://schemas.openxmlformats.org/officeDocument/2006/relationships/chart" Target="/xl/charts/chart15.xml" Id="rId15" /><Relationship Type="http://schemas.openxmlformats.org/officeDocument/2006/relationships/chart" Target="/xl/charts/chart16.xml" Id="rId16" /><Relationship Type="http://schemas.openxmlformats.org/officeDocument/2006/relationships/chart" Target="/xl/charts/chart17.xml" Id="rId17" /><Relationship Type="http://schemas.openxmlformats.org/officeDocument/2006/relationships/chart" Target="/xl/charts/chart18.xml" Id="rId18" /><Relationship Type="http://schemas.openxmlformats.org/officeDocument/2006/relationships/chart" Target="/xl/charts/chart19.xml" Id="rId19" /><Relationship Type="http://schemas.openxmlformats.org/officeDocument/2006/relationships/chart" Target="/xl/charts/chart20.xml" Id="rId20" /><Relationship Type="http://schemas.openxmlformats.org/officeDocument/2006/relationships/chart" Target="/xl/charts/chart21.xml" Id="rId21" /><Relationship Type="http://schemas.openxmlformats.org/officeDocument/2006/relationships/chart" Target="/xl/charts/chart22.xml" Id="rId22" /><Relationship Type="http://schemas.openxmlformats.org/officeDocument/2006/relationships/chart" Target="/xl/charts/chart23.xml" Id="rId23" /><Relationship Type="http://schemas.openxmlformats.org/officeDocument/2006/relationships/chart" Target="/xl/charts/chart24.xml" Id="rId24" /><Relationship Type="http://schemas.openxmlformats.org/officeDocument/2006/relationships/chart" Target="/xl/charts/chart25.xml" Id="rId25" /><Relationship Type="http://schemas.openxmlformats.org/officeDocument/2006/relationships/chart" Target="/xl/charts/chart26.xml" Id="rId26" /><Relationship Type="http://schemas.openxmlformats.org/officeDocument/2006/relationships/chart" Target="/xl/charts/chart27.xml" Id="rId27" /><Relationship Type="http://schemas.openxmlformats.org/officeDocument/2006/relationships/chart" Target="/xl/charts/chart28.xml" Id="rId28" /><Relationship Type="http://schemas.openxmlformats.org/officeDocument/2006/relationships/chart" Target="/xl/charts/chart29.xml" Id="rId29" /><Relationship Type="http://schemas.openxmlformats.org/officeDocument/2006/relationships/chart" Target="/xl/charts/chart30.xml" Id="rId30" /><Relationship Type="http://schemas.openxmlformats.org/officeDocument/2006/relationships/chart" Target="/xl/charts/chart31.xml" Id="rId31" /><Relationship Type="http://schemas.openxmlformats.org/officeDocument/2006/relationships/chart" Target="/xl/charts/chart32.xml" Id="rId32" /><Relationship Type="http://schemas.openxmlformats.org/officeDocument/2006/relationships/chart" Target="/xl/charts/chart33.xml" Id="rId33" /><Relationship Type="http://schemas.openxmlformats.org/officeDocument/2006/relationships/chart" Target="/xl/charts/chart34.xml" Id="rId34" /><Relationship Type="http://schemas.openxmlformats.org/officeDocument/2006/relationships/chart" Target="/xl/charts/chart35.xml" Id="rId35" /><Relationship Type="http://schemas.openxmlformats.org/officeDocument/2006/relationships/chart" Target="/xl/charts/chart36.xml" Id="rId36" /></Relationships>
</file>

<file path=xl/drawings/_rels/drawing2.xml.rels><Relationships xmlns="http://schemas.openxmlformats.org/package/2006/relationships"><Relationship Type="http://schemas.openxmlformats.org/officeDocument/2006/relationships/chart" Target="/xl/charts/chart37.xml" Id="rId1" /><Relationship Type="http://schemas.openxmlformats.org/officeDocument/2006/relationships/chart" Target="/xl/charts/chart38.xml" Id="rId2" /><Relationship Type="http://schemas.openxmlformats.org/officeDocument/2006/relationships/chart" Target="/xl/charts/chart39.xml" Id="rId3" /><Relationship Type="http://schemas.openxmlformats.org/officeDocument/2006/relationships/chart" Target="/xl/charts/chart40.xml" Id="rId4" /></Relationships>
</file>

<file path=xl/drawings/_rels/drawing3.xml.rels><Relationships xmlns="http://schemas.openxmlformats.org/package/2006/relationships"><Relationship Type="http://schemas.openxmlformats.org/officeDocument/2006/relationships/chart" Target="/xl/charts/chart41.xml" Id="rId1" /><Relationship Type="http://schemas.openxmlformats.org/officeDocument/2006/relationships/chart" Target="/xl/charts/chart42.xml" Id="rId2" /><Relationship Type="http://schemas.openxmlformats.org/officeDocument/2006/relationships/chart" Target="/xl/charts/chart43.xml" Id="rId3" /></Relationships>
</file>

<file path=xl/drawings/_rels/drawing4.xml.rels><Relationships xmlns="http://schemas.openxmlformats.org/package/2006/relationships"><Relationship Type="http://schemas.openxmlformats.org/officeDocument/2006/relationships/chart" Target="/xl/charts/chart44.xml" Id="rId1" /><Relationship Type="http://schemas.openxmlformats.org/officeDocument/2006/relationships/chart" Target="/xl/charts/chart45.xml" Id="rId2" /><Relationship Type="http://schemas.openxmlformats.org/officeDocument/2006/relationships/chart" Target="/xl/charts/chart46.xml" Id="rId3" /><Relationship Type="http://schemas.openxmlformats.org/officeDocument/2006/relationships/chart" Target="/xl/charts/chart47.xml" Id="rId4" /><Relationship Type="http://schemas.openxmlformats.org/officeDocument/2006/relationships/chart" Target="/xl/charts/chart48.xml" Id="rId5" /><Relationship Type="http://schemas.openxmlformats.org/officeDocument/2006/relationships/chart" Target="/xl/charts/chart49.xml" Id="rId6" /><Relationship Type="http://schemas.openxmlformats.org/officeDocument/2006/relationships/chart" Target="/xl/charts/chart50.xml" Id="rId7" /><Relationship Type="http://schemas.openxmlformats.org/officeDocument/2006/relationships/chart" Target="/xl/charts/chart51.xml" Id="rId8" /><Relationship Type="http://schemas.openxmlformats.org/officeDocument/2006/relationships/chart" Target="/xl/charts/chart52.xml" Id="rId9" /></Relationships>
</file>

<file path=xl/drawings/_rels/drawing5.xml.rels><Relationships xmlns="http://schemas.openxmlformats.org/package/2006/relationships"><Relationship Type="http://schemas.openxmlformats.org/officeDocument/2006/relationships/chart" Target="/xl/charts/chart53.xml" Id="rId1" /><Relationship Type="http://schemas.openxmlformats.org/officeDocument/2006/relationships/chart" Target="/xl/charts/chart54.xml" Id="rId2" /><Relationship Type="http://schemas.openxmlformats.org/officeDocument/2006/relationships/chart" Target="/xl/charts/chart55.xml" Id="rId3" /><Relationship Type="http://schemas.openxmlformats.org/officeDocument/2006/relationships/chart" Target="/xl/charts/chart56.xml" Id="rId4" /><Relationship Type="http://schemas.openxmlformats.org/officeDocument/2006/relationships/chart" Target="/xl/charts/chart57.xml" Id="rId5" /><Relationship Type="http://schemas.openxmlformats.org/officeDocument/2006/relationships/chart" Target="/xl/charts/chart58.xml" Id="rId6" /></Relationships>
</file>

<file path=xl/drawings/_rels/drawing6.xml.rels><Relationships xmlns="http://schemas.openxmlformats.org/package/2006/relationships"><Relationship Type="http://schemas.openxmlformats.org/officeDocument/2006/relationships/chart" Target="/xl/charts/chart59.xml" Id="rId1" /><Relationship Type="http://schemas.openxmlformats.org/officeDocument/2006/relationships/chart" Target="/xl/charts/chart60.xml" Id="rId2" /><Relationship Type="http://schemas.openxmlformats.org/officeDocument/2006/relationships/chart" Target="/xl/charts/chart61.xml" Id="rId3" /><Relationship Type="http://schemas.openxmlformats.org/officeDocument/2006/relationships/chart" Target="/xl/charts/chart62.xml" Id="rId4" /></Relationships>
</file>

<file path=xl/drawings/_rels/drawing7.xml.rels><Relationships xmlns="http://schemas.openxmlformats.org/package/2006/relationships"><Relationship Type="http://schemas.openxmlformats.org/officeDocument/2006/relationships/chart" Target="/xl/charts/chart63.xml" Id="rId1" /><Relationship Type="http://schemas.openxmlformats.org/officeDocument/2006/relationships/chart" Target="/xl/charts/chart64.xml" Id="rId2" /><Relationship Type="http://schemas.openxmlformats.org/officeDocument/2006/relationships/chart" Target="/xl/charts/chart65.xml" Id="rId3" /></Relationships>
</file>

<file path=xl/drawings/_rels/drawing8.xml.rels><Relationships xmlns="http://schemas.openxmlformats.org/package/2006/relationships"><Relationship Type="http://schemas.openxmlformats.org/officeDocument/2006/relationships/chart" Target="/xl/charts/chart66.xml" Id="rId1" /><Relationship Type="http://schemas.openxmlformats.org/officeDocument/2006/relationships/chart" Target="/xl/charts/chart67.xml" Id="rId2" /></Relationships>
</file>

<file path=xl/drawings/_rels/drawing9.xml.rels><Relationships xmlns="http://schemas.openxmlformats.org/package/2006/relationships"><Relationship Type="http://schemas.openxmlformats.org/officeDocument/2006/relationships/chart" Target="/xl/charts/chart68.xml" Id="rId1" /><Relationship Type="http://schemas.openxmlformats.org/officeDocument/2006/relationships/chart" Target="/xl/charts/chart69.xml" Id="rId2" /><Relationship Type="http://schemas.openxmlformats.org/officeDocument/2006/relationships/chart" Target="/xl/charts/chart70.xml" Id="rId3" /><Relationship Type="http://schemas.openxmlformats.org/officeDocument/2006/relationships/chart" Target="/xl/charts/chart71.xml" Id="rId4" /><Relationship Type="http://schemas.openxmlformats.org/officeDocument/2006/relationships/chart" Target="/xl/charts/chart72.xml" Id="rId5" /></Relationships>
</file>

<file path=xl/drawings/_rels/drawing10.xml.rels><Relationships xmlns="http://schemas.openxmlformats.org/package/2006/relationships"><Relationship Type="http://schemas.openxmlformats.org/officeDocument/2006/relationships/chart" Target="/xl/charts/chart73.xml" Id="rId1" /></Relationships>
</file>

<file path=xl/drawings/_rels/drawing11.xml.rels><Relationships xmlns="http://schemas.openxmlformats.org/package/2006/relationships"><Relationship Type="http://schemas.openxmlformats.org/officeDocument/2006/relationships/chart" Target="/xl/charts/chart74.xml" Id="rId1" /><Relationship Type="http://schemas.openxmlformats.org/officeDocument/2006/relationships/chart" Target="/xl/charts/chart75.xml" Id="rId2" /><Relationship Type="http://schemas.openxmlformats.org/officeDocument/2006/relationships/chart" Target="/xl/charts/chart76.xml" Id="rId3" /></Relationships>
</file>

<file path=xl/drawings/_rels/drawing12.xml.rels><Relationships xmlns="http://schemas.openxmlformats.org/package/2006/relationships"><Relationship Type="http://schemas.openxmlformats.org/officeDocument/2006/relationships/chart" Target="/xl/charts/chart77.xml" Id="rId1" /><Relationship Type="http://schemas.openxmlformats.org/officeDocument/2006/relationships/chart" Target="/xl/charts/chart78.xml" Id="rId2" /><Relationship Type="http://schemas.openxmlformats.org/officeDocument/2006/relationships/chart" Target="/xl/charts/chart79.xml" Id="rId3" /><Relationship Type="http://schemas.openxmlformats.org/officeDocument/2006/relationships/chart" Target="/xl/charts/chart80.xml" Id="rId4" /><Relationship Type="http://schemas.openxmlformats.org/officeDocument/2006/relationships/chart" Target="/xl/charts/chart81.xml" Id="rId5" /></Relationships>
</file>

<file path=xl/drawings/_rels/drawing13.xml.rels><Relationships xmlns="http://schemas.openxmlformats.org/package/2006/relationships"><Relationship Type="http://schemas.openxmlformats.org/officeDocument/2006/relationships/chart" Target="/xl/charts/chart82.xml" Id="rId1" /><Relationship Type="http://schemas.openxmlformats.org/officeDocument/2006/relationships/chart" Target="/xl/charts/chart83.xml" Id="rId2" /><Relationship Type="http://schemas.openxmlformats.org/officeDocument/2006/relationships/chart" Target="/xl/charts/chart84.xml" Id="rId3" /></Relationships>
</file>

<file path=xl/drawings/_rels/drawing14.xml.rels><Relationships xmlns="http://schemas.openxmlformats.org/package/2006/relationships"><Relationship Type="http://schemas.openxmlformats.org/officeDocument/2006/relationships/chart" Target="/xl/charts/chart85.xml" Id="rId1" /><Relationship Type="http://schemas.openxmlformats.org/officeDocument/2006/relationships/chart" Target="/xl/charts/chart86.xml" Id="rId2" /></Relationships>
</file>

<file path=xl/drawings/_rels/drawing15.xml.rels><Relationships xmlns="http://schemas.openxmlformats.org/package/2006/relationships"><Relationship Type="http://schemas.openxmlformats.org/officeDocument/2006/relationships/chart" Target="/xl/charts/chart87.xml" Id="rId1" /><Relationship Type="http://schemas.openxmlformats.org/officeDocument/2006/relationships/chart" Target="/xl/charts/chart88.xml" Id="rId2" /><Relationship Type="http://schemas.openxmlformats.org/officeDocument/2006/relationships/chart" Target="/xl/charts/chart89.xml" Id="rId3" /></Relationships>
</file>

<file path=xl/drawings/_rels/drawing16.xml.rels><Relationships xmlns="http://schemas.openxmlformats.org/package/2006/relationships"><Relationship Type="http://schemas.openxmlformats.org/officeDocument/2006/relationships/chart" Target="/xl/charts/chart90.xml" Id="rId1" /><Relationship Type="http://schemas.openxmlformats.org/officeDocument/2006/relationships/chart" Target="/xl/charts/chart91.xml" Id="rId2" /><Relationship Type="http://schemas.openxmlformats.org/officeDocument/2006/relationships/chart" Target="/xl/charts/chart92.xml" Id="rId3" /><Relationship Type="http://schemas.openxmlformats.org/officeDocument/2006/relationships/chart" Target="/xl/charts/chart93.xml" Id="rId4" /><Relationship Type="http://schemas.openxmlformats.org/officeDocument/2006/relationships/chart" Target="/xl/charts/chart94.xml" Id="rId5" /></Relationships>
</file>

<file path=xl/drawings/_rels/drawing17.xml.rels><Relationships xmlns="http://schemas.openxmlformats.org/package/2006/relationships"><Relationship Type="http://schemas.openxmlformats.org/officeDocument/2006/relationships/chart" Target="/xl/charts/chart95.xml" Id="rId1" /><Relationship Type="http://schemas.openxmlformats.org/officeDocument/2006/relationships/chart" Target="/xl/charts/chart96.xml" Id="rId2" /><Relationship Type="http://schemas.openxmlformats.org/officeDocument/2006/relationships/chart" Target="/xl/charts/chart97.xml" Id="rId3" /><Relationship Type="http://schemas.openxmlformats.org/officeDocument/2006/relationships/chart" Target="/xl/charts/chart98.xml" Id="rId4" /><Relationship Type="http://schemas.openxmlformats.org/officeDocument/2006/relationships/chart" Target="/xl/charts/chart99.xml" Id="rId5" /></Relationships>
</file>

<file path=xl/drawings/_rels/drawing18.xml.rels><Relationships xmlns="http://schemas.openxmlformats.org/package/2006/relationships"><Relationship Type="http://schemas.openxmlformats.org/officeDocument/2006/relationships/chart" Target="/xl/charts/chart100.xml" Id="rId1" /><Relationship Type="http://schemas.openxmlformats.org/officeDocument/2006/relationships/chart" Target="/xl/charts/chart101.xml" Id="rId2" /></Relationships>
</file>

<file path=xl/drawings/_rels/drawing19.xml.rels><Relationships xmlns="http://schemas.openxmlformats.org/package/2006/relationships"><Relationship Type="http://schemas.openxmlformats.org/officeDocument/2006/relationships/chart" Target="/xl/charts/chart102.xml" Id="rId1" /><Relationship Type="http://schemas.openxmlformats.org/officeDocument/2006/relationships/chart" Target="/xl/charts/chart103.xml" Id="rId2" /><Relationship Type="http://schemas.openxmlformats.org/officeDocument/2006/relationships/chart" Target="/xl/charts/chart104.xml" Id="rId3" /><Relationship Type="http://schemas.openxmlformats.org/officeDocument/2006/relationships/chart" Target="/xl/charts/chart105.xml" Id="rId4" /><Relationship Type="http://schemas.openxmlformats.org/officeDocument/2006/relationships/chart" Target="/xl/charts/chart106.xml" Id="rId5" /></Relationships>
</file>

<file path=xl/drawings/_rels/drawing20.xml.rels><Relationships xmlns="http://schemas.openxmlformats.org/package/2006/relationships"><Relationship Type="http://schemas.openxmlformats.org/officeDocument/2006/relationships/chart" Target="/xl/charts/chart107.xml" Id="rId1" /><Relationship Type="http://schemas.openxmlformats.org/officeDocument/2006/relationships/chart" Target="/xl/charts/chart108.xml" Id="rId2" /><Relationship Type="http://schemas.openxmlformats.org/officeDocument/2006/relationships/chart" Target="/xl/charts/chart109.xml" Id="rId3" /><Relationship Type="http://schemas.openxmlformats.org/officeDocument/2006/relationships/chart" Target="/xl/charts/chart110.xml" Id="rId4" /><Relationship Type="http://schemas.openxmlformats.org/officeDocument/2006/relationships/chart" Target="/xl/charts/chart111.xml" Id="rId5" /></Relationships>
</file>

<file path=xl/drawings/_rels/drawing21.xml.rels><Relationships xmlns="http://schemas.openxmlformats.org/package/2006/relationships"><Relationship Type="http://schemas.openxmlformats.org/officeDocument/2006/relationships/chart" Target="/xl/charts/chart112.xml" Id="rId1" /><Relationship Type="http://schemas.openxmlformats.org/officeDocument/2006/relationships/chart" Target="/xl/charts/chart113.xml" Id="rId2" /></Relationships>
</file>

<file path=xl/drawings/_rels/drawing22.xml.rels><Relationships xmlns="http://schemas.openxmlformats.org/package/2006/relationships"><Relationship Type="http://schemas.openxmlformats.org/officeDocument/2006/relationships/chart" Target="/xl/charts/chart114.xml" Id="rId1" /><Relationship Type="http://schemas.openxmlformats.org/officeDocument/2006/relationships/chart" Target="/xl/charts/chart115.xml" Id="rId2" /><Relationship Type="http://schemas.openxmlformats.org/officeDocument/2006/relationships/chart" Target="/xl/charts/chart116.xml" Id="rId3" /><Relationship Type="http://schemas.openxmlformats.org/officeDocument/2006/relationships/chart" Target="/xl/charts/chart117.xml" Id="rId4" /><Relationship Type="http://schemas.openxmlformats.org/officeDocument/2006/relationships/chart" Target="/xl/charts/chart118.xml" Id="rId5" /></Relationships>
</file>

<file path=xl/drawings/_rels/drawing23.xml.rels><Relationships xmlns="http://schemas.openxmlformats.org/package/2006/relationships"><Relationship Type="http://schemas.openxmlformats.org/officeDocument/2006/relationships/chart" Target="/xl/charts/chart119.xml" Id="rId1" /><Relationship Type="http://schemas.openxmlformats.org/officeDocument/2006/relationships/chart" Target="/xl/charts/chart120.xml" Id="rId2" /><Relationship Type="http://schemas.openxmlformats.org/officeDocument/2006/relationships/chart" Target="/xl/charts/chart121.xml" Id="rId3" /><Relationship Type="http://schemas.openxmlformats.org/officeDocument/2006/relationships/chart" Target="/xl/charts/chart122.xml" Id="rId4" /><Relationship Type="http://schemas.openxmlformats.org/officeDocument/2006/relationships/chart" Target="/xl/charts/chart123.xml" Id="rId5" /></Relationships>
</file>

<file path=xl/drawings/_rels/drawing24.xml.rels><Relationships xmlns="http://schemas.openxmlformats.org/package/2006/relationships"><Relationship Type="http://schemas.openxmlformats.org/officeDocument/2006/relationships/chart" Target="/xl/charts/chart124.xml" Id="rId1" /><Relationship Type="http://schemas.openxmlformats.org/officeDocument/2006/relationships/chart" Target="/xl/charts/chart125.xml" Id="rId2" /><Relationship Type="http://schemas.openxmlformats.org/officeDocument/2006/relationships/chart" Target="/xl/charts/chart126.xml" Id="rId3" /><Relationship Type="http://schemas.openxmlformats.org/officeDocument/2006/relationships/chart" Target="/xl/charts/chart127.xml" Id="rId4" /><Relationship Type="http://schemas.openxmlformats.org/officeDocument/2006/relationships/chart" Target="/xl/charts/chart128.xml" Id="rId5" /></Relationships>
</file>

<file path=xl/drawings/_rels/drawing25.xml.rels><Relationships xmlns="http://schemas.openxmlformats.org/package/2006/relationships"><Relationship Type="http://schemas.openxmlformats.org/officeDocument/2006/relationships/chart" Target="/xl/charts/chart129.xml" Id="rId1" /><Relationship Type="http://schemas.openxmlformats.org/officeDocument/2006/relationships/chart" Target="/xl/charts/chart130.xml" Id="rId2" /><Relationship Type="http://schemas.openxmlformats.org/officeDocument/2006/relationships/chart" Target="/xl/charts/chart131.xml" Id="rId3" /><Relationship Type="http://schemas.openxmlformats.org/officeDocument/2006/relationships/chart" Target="/xl/charts/chart132.xml" Id="rId4" /><Relationship Type="http://schemas.openxmlformats.org/officeDocument/2006/relationships/chart" Target="/xl/charts/chart133.xml" Id="rId5" /></Relationships>
</file>

<file path=xl/drawings/_rels/drawing26.xml.rels><Relationships xmlns="http://schemas.openxmlformats.org/package/2006/relationships"><Relationship Type="http://schemas.openxmlformats.org/officeDocument/2006/relationships/chart" Target="/xl/charts/chart134.xml" Id="rId1" /><Relationship Type="http://schemas.openxmlformats.org/officeDocument/2006/relationships/chart" Target="/xl/charts/chart135.xml" Id="rId2" /></Relationships>
</file>

<file path=xl/drawings/_rels/drawing27.xml.rels><Relationships xmlns="http://schemas.openxmlformats.org/package/2006/relationships"><Relationship Type="http://schemas.openxmlformats.org/officeDocument/2006/relationships/chart" Target="/xl/charts/chart136.xml" Id="rId1" /><Relationship Type="http://schemas.openxmlformats.org/officeDocument/2006/relationships/chart" Target="/xl/charts/chart137.xml" Id="rId2" /><Relationship Type="http://schemas.openxmlformats.org/officeDocument/2006/relationships/chart" Target="/xl/charts/chart138.xml" Id="rId3" /><Relationship Type="http://schemas.openxmlformats.org/officeDocument/2006/relationships/chart" Target="/xl/charts/chart139.xml" Id="rId4" /></Relationships>
</file>

<file path=xl/drawings/_rels/drawing28.xml.rels><Relationships xmlns="http://schemas.openxmlformats.org/package/2006/relationships"><Relationship Type="http://schemas.openxmlformats.org/officeDocument/2006/relationships/chart" Target="/xl/charts/chart140.xml" Id="rId1" /><Relationship Type="http://schemas.openxmlformats.org/officeDocument/2006/relationships/chart" Target="/xl/charts/chart141.xml" Id="rId2" /><Relationship Type="http://schemas.openxmlformats.org/officeDocument/2006/relationships/chart" Target="/xl/charts/chart142.xml" Id="rId3" /><Relationship Type="http://schemas.openxmlformats.org/officeDocument/2006/relationships/chart" Target="/xl/charts/chart143.xml" Id="rId4" /><Relationship Type="http://schemas.openxmlformats.org/officeDocument/2006/relationships/chart" Target="/xl/charts/chart144.xml" Id="rId5" /></Relationships>
</file>

<file path=xl/drawings/_rels/drawing29.xml.rels><Relationships xmlns="http://schemas.openxmlformats.org/package/2006/relationships"><Relationship Type="http://schemas.openxmlformats.org/officeDocument/2006/relationships/chart" Target="/xl/charts/chart145.xml" Id="rId1" /><Relationship Type="http://schemas.openxmlformats.org/officeDocument/2006/relationships/chart" Target="/xl/charts/chart146.xml" Id="rId2" /><Relationship Type="http://schemas.openxmlformats.org/officeDocument/2006/relationships/chart" Target="/xl/charts/chart147.xml" Id="rId3" /><Relationship Type="http://schemas.openxmlformats.org/officeDocument/2006/relationships/chart" Target="/xl/charts/chart148.xml" Id="rId4" /><Relationship Type="http://schemas.openxmlformats.org/officeDocument/2006/relationships/chart" Target="/xl/charts/chart149.xml" Id="rId5" /></Relationships>
</file>

<file path=xl/drawings/_rels/drawing30.xml.rels><Relationships xmlns="http://schemas.openxmlformats.org/package/2006/relationships"><Relationship Type="http://schemas.openxmlformats.org/officeDocument/2006/relationships/chart" Target="/xl/charts/chart150.xml" Id="rId1" /><Relationship Type="http://schemas.openxmlformats.org/officeDocument/2006/relationships/chart" Target="/xl/charts/chart151.xml" Id="rId2" /><Relationship Type="http://schemas.openxmlformats.org/officeDocument/2006/relationships/chart" Target="/xl/charts/chart152.xml" Id="rId3" /></Relationships>
</file>

<file path=xl/drawings/_rels/drawing31.xml.rels><Relationships xmlns="http://schemas.openxmlformats.org/package/2006/relationships"><Relationship Type="http://schemas.openxmlformats.org/officeDocument/2006/relationships/chart" Target="/xl/charts/chart153.xml" Id="rId1" /><Relationship Type="http://schemas.openxmlformats.org/officeDocument/2006/relationships/chart" Target="/xl/charts/chart154.xml" Id="rId2" /><Relationship Type="http://schemas.openxmlformats.org/officeDocument/2006/relationships/chart" Target="/xl/charts/chart155.xml" Id="rId3" /></Relationships>
</file>

<file path=xl/drawings/_rels/drawing32.xml.rels><Relationships xmlns="http://schemas.openxmlformats.org/package/2006/relationships"><Relationship Type="http://schemas.openxmlformats.org/officeDocument/2006/relationships/chart" Target="/xl/charts/chart156.xml" Id="rId1" /><Relationship Type="http://schemas.openxmlformats.org/officeDocument/2006/relationships/chart" Target="/xl/charts/chart157.xml" Id="rId2" /><Relationship Type="http://schemas.openxmlformats.org/officeDocument/2006/relationships/chart" Target="/xl/charts/chart158.xml" Id="rId3" /><Relationship Type="http://schemas.openxmlformats.org/officeDocument/2006/relationships/chart" Target="/xl/charts/chart159.xml" Id="rId4" /></Relationships>
</file>

<file path=xl/drawings/_rels/drawing33.xml.rels><Relationships xmlns="http://schemas.openxmlformats.org/package/2006/relationships"><Relationship Type="http://schemas.openxmlformats.org/officeDocument/2006/relationships/chart" Target="/xl/charts/chart160.xml" Id="rId1" /><Relationship Type="http://schemas.openxmlformats.org/officeDocument/2006/relationships/chart" Target="/xl/charts/chart161.xml" Id="rId2" /><Relationship Type="http://schemas.openxmlformats.org/officeDocument/2006/relationships/chart" Target="/xl/charts/chart162.xml" Id="rId3" /><Relationship Type="http://schemas.openxmlformats.org/officeDocument/2006/relationships/chart" Target="/xl/charts/chart163.xml" Id="rId4" /><Relationship Type="http://schemas.openxmlformats.org/officeDocument/2006/relationships/chart" Target="/xl/charts/chart164.xml" Id="rId5" /></Relationships>
</file>

<file path=xl/drawings/_rels/drawing34.xml.rels><Relationships xmlns="http://schemas.openxmlformats.org/package/2006/relationships"><Relationship Type="http://schemas.openxmlformats.org/officeDocument/2006/relationships/chart" Target="/xl/charts/chart165.xml" Id="rId1" /><Relationship Type="http://schemas.openxmlformats.org/officeDocument/2006/relationships/chart" Target="/xl/charts/chart166.xml" Id="rId2" /><Relationship Type="http://schemas.openxmlformats.org/officeDocument/2006/relationships/chart" Target="/xl/charts/chart167.xml" Id="rId3" /><Relationship Type="http://schemas.openxmlformats.org/officeDocument/2006/relationships/chart" Target="/xl/charts/chart168.xml" Id="rId4" /></Relationships>
</file>

<file path=xl/drawings/_rels/drawing35.xml.rels><Relationships xmlns="http://schemas.openxmlformats.org/package/2006/relationships"><Relationship Type="http://schemas.openxmlformats.org/officeDocument/2006/relationships/chart" Target="/xl/charts/chart169.xml" Id="rId1" /><Relationship Type="http://schemas.openxmlformats.org/officeDocument/2006/relationships/chart" Target="/xl/charts/chart170.xml" Id="rId2" /><Relationship Type="http://schemas.openxmlformats.org/officeDocument/2006/relationships/chart" Target="/xl/charts/chart171.xml" Id="rId3" /><Relationship Type="http://schemas.openxmlformats.org/officeDocument/2006/relationships/chart" Target="/xl/charts/chart172.xml" Id="rId4" /></Relationships>
</file>

<file path=xl/drawings/_rels/drawing36.xml.rels><Relationships xmlns="http://schemas.openxmlformats.org/package/2006/relationships"><Relationship Type="http://schemas.openxmlformats.org/officeDocument/2006/relationships/chart" Target="/xl/charts/chart173.xml" Id="rId1" /><Relationship Type="http://schemas.openxmlformats.org/officeDocument/2006/relationships/chart" Target="/xl/charts/chart174.xml" Id="rId2" /><Relationship Type="http://schemas.openxmlformats.org/officeDocument/2006/relationships/chart" Target="/xl/charts/chart175.xml" Id="rId3" /><Relationship Type="http://schemas.openxmlformats.org/officeDocument/2006/relationships/chart" Target="/xl/charts/chart176.xml" Id="rId4" /><Relationship Type="http://schemas.openxmlformats.org/officeDocument/2006/relationships/chart" Target="/xl/charts/chart177.xml" Id="rId5" /></Relationships>
</file>

<file path=xl/drawings/_rels/drawing37.xml.rels><Relationships xmlns="http://schemas.openxmlformats.org/package/2006/relationships"><Relationship Type="http://schemas.openxmlformats.org/officeDocument/2006/relationships/chart" Target="/xl/charts/chart178.xml" Id="rId1" /><Relationship Type="http://schemas.openxmlformats.org/officeDocument/2006/relationships/chart" Target="/xl/charts/chart179.xml" Id="rId2" /><Relationship Type="http://schemas.openxmlformats.org/officeDocument/2006/relationships/chart" Target="/xl/charts/chart180.xml" Id="rId3" /><Relationship Type="http://schemas.openxmlformats.org/officeDocument/2006/relationships/chart" Target="/xl/charts/chart181.xml" Id="rId4" /><Relationship Type="http://schemas.openxmlformats.org/officeDocument/2006/relationships/chart" Target="/xl/charts/chart182.xml" Id="rId5" /></Relationships>
</file>

<file path=xl/drawings/_rels/drawing38.xml.rels><Relationships xmlns="http://schemas.openxmlformats.org/package/2006/relationships"><Relationship Type="http://schemas.openxmlformats.org/officeDocument/2006/relationships/chart" Target="/xl/charts/chart183.xml" Id="rId1" /><Relationship Type="http://schemas.openxmlformats.org/officeDocument/2006/relationships/chart" Target="/xl/charts/chart184.xml" Id="rId2" /><Relationship Type="http://schemas.openxmlformats.org/officeDocument/2006/relationships/chart" Target="/xl/charts/chart185.xml" Id="rId3" /><Relationship Type="http://schemas.openxmlformats.org/officeDocument/2006/relationships/chart" Target="/xl/charts/chart186.xml" Id="rId4" /></Relationships>
</file>

<file path=xl/drawings/_rels/drawing39.xml.rels><Relationships xmlns="http://schemas.openxmlformats.org/package/2006/relationships"><Relationship Type="http://schemas.openxmlformats.org/officeDocument/2006/relationships/chart" Target="/xl/charts/chart187.xml" Id="rId1" /><Relationship Type="http://schemas.openxmlformats.org/officeDocument/2006/relationships/chart" Target="/xl/charts/chart188.xml" Id="rId2" /></Relationships>
</file>

<file path=xl/drawings/_rels/drawing40.xml.rels><Relationships xmlns="http://schemas.openxmlformats.org/package/2006/relationships"><Relationship Type="http://schemas.openxmlformats.org/officeDocument/2006/relationships/chart" Target="/xl/charts/chart189.xml" Id="rId1" /><Relationship Type="http://schemas.openxmlformats.org/officeDocument/2006/relationships/chart" Target="/xl/charts/chart190.xml" Id="rId2" /><Relationship Type="http://schemas.openxmlformats.org/officeDocument/2006/relationships/chart" Target="/xl/charts/chart191.xml" Id="rId3" /></Relationships>
</file>

<file path=xl/drawings/_rels/drawing41.xml.rels><Relationships xmlns="http://schemas.openxmlformats.org/package/2006/relationships"><Relationship Type="http://schemas.openxmlformats.org/officeDocument/2006/relationships/chart" Target="/xl/charts/chart192.xml" Id="rId1" /><Relationship Type="http://schemas.openxmlformats.org/officeDocument/2006/relationships/chart" Target="/xl/charts/chart193.xml" Id="rId2" /><Relationship Type="http://schemas.openxmlformats.org/officeDocument/2006/relationships/chart" Target="/xl/charts/chart194.xml" Id="rId3" /><Relationship Type="http://schemas.openxmlformats.org/officeDocument/2006/relationships/chart" Target="/xl/charts/chart195.xml" Id="rId4" /><Relationship Type="http://schemas.openxmlformats.org/officeDocument/2006/relationships/chart" Target="/xl/charts/chart196.xml" Id="rId5" /></Relationships>
</file>

<file path=xl/drawings/_rels/drawing42.xml.rels><Relationships xmlns="http://schemas.openxmlformats.org/package/2006/relationships"><Relationship Type="http://schemas.openxmlformats.org/officeDocument/2006/relationships/chart" Target="/xl/charts/chart197.xml" Id="rId1" /><Relationship Type="http://schemas.openxmlformats.org/officeDocument/2006/relationships/chart" Target="/xl/charts/chart198.xml" Id="rId2" /><Relationship Type="http://schemas.openxmlformats.org/officeDocument/2006/relationships/chart" Target="/xl/charts/chart199.xml" Id="rId3" /><Relationship Type="http://schemas.openxmlformats.org/officeDocument/2006/relationships/chart" Target="/xl/charts/chart200.xml" Id="rId4" /><Relationship Type="http://schemas.openxmlformats.org/officeDocument/2006/relationships/chart" Target="/xl/charts/chart201.xml" Id="rId5" /></Relationships>
</file>

<file path=xl/drawings/_rels/drawing43.xml.rels><Relationships xmlns="http://schemas.openxmlformats.org/package/2006/relationships"><Relationship Type="http://schemas.openxmlformats.org/officeDocument/2006/relationships/chart" Target="/xl/charts/chart202.xml" Id="rId1" /><Relationship Type="http://schemas.openxmlformats.org/officeDocument/2006/relationships/chart" Target="/xl/charts/chart203.xml" Id="rId2" /><Relationship Type="http://schemas.openxmlformats.org/officeDocument/2006/relationships/chart" Target="/xl/charts/chart204.xml" Id="rId3" /></Relationships>
</file>

<file path=xl/drawings/_rels/drawing44.xml.rels><Relationships xmlns="http://schemas.openxmlformats.org/package/2006/relationships"><Relationship Type="http://schemas.openxmlformats.org/officeDocument/2006/relationships/chart" Target="/xl/charts/chart205.xml" Id="rId1" /><Relationship Type="http://schemas.openxmlformats.org/officeDocument/2006/relationships/chart" Target="/xl/charts/chart206.xml" Id="rId2" /><Relationship Type="http://schemas.openxmlformats.org/officeDocument/2006/relationships/chart" Target="/xl/charts/chart207.xml" Id="rId3" /></Relationships>
</file>

<file path=xl/drawings/_rels/drawing45.xml.rels><Relationships xmlns="http://schemas.openxmlformats.org/package/2006/relationships"><Relationship Type="http://schemas.openxmlformats.org/officeDocument/2006/relationships/chart" Target="/xl/charts/chart208.xml" Id="rId1" /><Relationship Type="http://schemas.openxmlformats.org/officeDocument/2006/relationships/chart" Target="/xl/charts/chart209.xml" Id="rId2" /></Relationships>
</file>

<file path=xl/drawings/_rels/drawing46.xml.rels><Relationships xmlns="http://schemas.openxmlformats.org/package/2006/relationships"><Relationship Type="http://schemas.openxmlformats.org/officeDocument/2006/relationships/chart" Target="/xl/charts/chart210.xml" Id="rId1" /><Relationship Type="http://schemas.openxmlformats.org/officeDocument/2006/relationships/chart" Target="/xl/charts/chart211.xml" Id="rId2" /><Relationship Type="http://schemas.openxmlformats.org/officeDocument/2006/relationships/chart" Target="/xl/charts/chart212.xml" Id="rId3" /><Relationship Type="http://schemas.openxmlformats.org/officeDocument/2006/relationships/chart" Target="/xl/charts/chart213.xml" Id="rId4" /></Relationships>
</file>

<file path=xl/drawings/_rels/drawing47.xml.rels><Relationships xmlns="http://schemas.openxmlformats.org/package/2006/relationships"><Relationship Type="http://schemas.openxmlformats.org/officeDocument/2006/relationships/chart" Target="/xl/charts/chart214.xml" Id="rId1" /><Relationship Type="http://schemas.openxmlformats.org/officeDocument/2006/relationships/chart" Target="/xl/charts/chart215.xml" Id="rId2" /><Relationship Type="http://schemas.openxmlformats.org/officeDocument/2006/relationships/chart" Target="/xl/charts/chart216.xml" Id="rId3" /><Relationship Type="http://schemas.openxmlformats.org/officeDocument/2006/relationships/chart" Target="/xl/charts/chart217.xml" Id="rId4"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6</row>
      <rowOff>0</rowOff>
    </from>
    <ext cx="7200000" cy="3420000"/>
    <graphicFrame>
      <nvGraphicFramePr>
        <cNvPr id="1" name="Chart 1"/>
        <cNvGraphicFramePr/>
      </nvGraphicFramePr>
      <xfrm/>
      <a:graphic>
        <a:graphicData uri="http://schemas.openxmlformats.org/drawingml/2006/chart">
          <c:chart r:id="rId1"/>
        </a:graphicData>
      </a:graphic>
    </graphicFrame>
    <clientData/>
  </oneCellAnchor>
  <oneCellAnchor>
    <from>
      <col>12</col>
      <colOff>0</colOff>
      <row>6</row>
      <rowOff>0</rowOff>
    </from>
    <ext cx="7200000" cy="3420000"/>
    <graphicFrame>
      <nvGraphicFramePr>
        <cNvPr id="2" name="Chart 2"/>
        <cNvGraphicFramePr/>
      </nvGraphicFramePr>
      <xfrm/>
      <a:graphic>
        <a:graphicData uri="http://schemas.openxmlformats.org/drawingml/2006/chart">
          <c:chart r:id="rId2"/>
        </a:graphicData>
      </a:graphic>
    </graphicFrame>
    <clientData/>
  </oneCellAnchor>
  <oneCellAnchor>
    <from>
      <col>0</col>
      <colOff>0</colOff>
      <row>26</row>
      <rowOff>0</rowOff>
    </from>
    <ext cx="7200000" cy="3693600"/>
    <graphicFrame>
      <nvGraphicFramePr>
        <cNvPr id="3" name="Chart 3"/>
        <cNvGraphicFramePr/>
      </nvGraphicFramePr>
      <xfrm/>
      <a:graphic>
        <a:graphicData uri="http://schemas.openxmlformats.org/drawingml/2006/chart">
          <c:chart r:id="rId3"/>
        </a:graphicData>
      </a:graphic>
    </graphicFrame>
    <clientData/>
  </oneCellAnchor>
  <oneCellAnchor>
    <from>
      <col>12</col>
      <colOff>0</colOff>
      <row>26</row>
      <rowOff>0</rowOff>
    </from>
    <ext cx="7200000" cy="2520000"/>
    <graphicFrame>
      <nvGraphicFramePr>
        <cNvPr id="4" name="Chart 4"/>
        <cNvGraphicFramePr/>
      </nvGraphicFramePr>
      <xfrm/>
      <a:graphic>
        <a:graphicData uri="http://schemas.openxmlformats.org/drawingml/2006/chart">
          <c:chart r:id="rId4"/>
        </a:graphicData>
      </a:graphic>
    </graphicFrame>
    <clientData/>
  </oneCellAnchor>
  <oneCellAnchor>
    <from>
      <col>0</col>
      <colOff>0</colOff>
      <row>51</row>
      <rowOff>0</rowOff>
    </from>
    <ext cx="7200000" cy="2520000"/>
    <graphicFrame>
      <nvGraphicFramePr>
        <cNvPr id="5" name="Chart 5"/>
        <cNvGraphicFramePr/>
      </nvGraphicFramePr>
      <xfrm/>
      <a:graphic>
        <a:graphicData uri="http://schemas.openxmlformats.org/drawingml/2006/chart">
          <c:chart r:id="rId5"/>
        </a:graphicData>
      </a:graphic>
    </graphicFrame>
    <clientData/>
  </oneCellAnchor>
  <oneCellAnchor>
    <from>
      <col>12</col>
      <colOff>0</colOff>
      <row>51</row>
      <rowOff>0</rowOff>
    </from>
    <ext cx="7200000" cy="3420000"/>
    <graphicFrame>
      <nvGraphicFramePr>
        <cNvPr id="6" name="Chart 6"/>
        <cNvGraphicFramePr/>
      </nvGraphicFramePr>
      <xfrm/>
      <a:graphic>
        <a:graphicData uri="http://schemas.openxmlformats.org/drawingml/2006/chart">
          <c:chart r:id="rId6"/>
        </a:graphicData>
      </a:graphic>
    </graphicFrame>
    <clientData/>
  </oneCellAnchor>
  <oneCellAnchor>
    <from>
      <col>0</col>
      <colOff>0</colOff>
      <row>71</row>
      <rowOff>0</rowOff>
    </from>
    <ext cx="7200000" cy="3420000"/>
    <graphicFrame>
      <nvGraphicFramePr>
        <cNvPr id="7" name="Chart 7"/>
        <cNvGraphicFramePr/>
      </nvGraphicFramePr>
      <xfrm/>
      <a:graphic>
        <a:graphicData uri="http://schemas.openxmlformats.org/drawingml/2006/chart">
          <c:chart r:id="rId7"/>
        </a:graphicData>
      </a:graphic>
    </graphicFrame>
    <clientData/>
  </oneCellAnchor>
  <oneCellAnchor>
    <from>
      <col>0</col>
      <colOff>0</colOff>
      <row>94</row>
      <rowOff>0</rowOff>
    </from>
    <ext cx="7200000" cy="3420000"/>
    <graphicFrame>
      <nvGraphicFramePr>
        <cNvPr id="8" name="Chart 8"/>
        <cNvGraphicFramePr/>
      </nvGraphicFramePr>
      <xfrm/>
      <a:graphic>
        <a:graphicData uri="http://schemas.openxmlformats.org/drawingml/2006/chart">
          <c:chart r:id="rId8"/>
        </a:graphicData>
      </a:graphic>
    </graphicFrame>
    <clientData/>
  </oneCellAnchor>
  <oneCellAnchor>
    <from>
      <col>12</col>
      <colOff>0</colOff>
      <row>94</row>
      <rowOff>0</rowOff>
    </from>
    <ext cx="7200000" cy="4363200"/>
    <graphicFrame>
      <nvGraphicFramePr>
        <cNvPr id="9" name="Chart 9"/>
        <cNvGraphicFramePr/>
      </nvGraphicFramePr>
      <xfrm/>
      <a:graphic>
        <a:graphicData uri="http://schemas.openxmlformats.org/drawingml/2006/chart">
          <c:chart r:id="rId9"/>
        </a:graphicData>
      </a:graphic>
    </graphicFrame>
    <clientData/>
  </oneCellAnchor>
  <oneCellAnchor>
    <from>
      <col>0</col>
      <colOff>0</colOff>
      <row>119</row>
      <rowOff>0</rowOff>
    </from>
    <ext cx="7200000" cy="3420000"/>
    <graphicFrame>
      <nvGraphicFramePr>
        <cNvPr id="10" name="Chart 10"/>
        <cNvGraphicFramePr/>
      </nvGraphicFramePr>
      <xfrm/>
      <a:graphic>
        <a:graphicData uri="http://schemas.openxmlformats.org/drawingml/2006/chart">
          <c:chart r:id="rId10"/>
        </a:graphicData>
      </a:graphic>
    </graphicFrame>
    <clientData/>
  </oneCellAnchor>
  <oneCellAnchor>
    <from>
      <col>12</col>
      <colOff>0</colOff>
      <row>119</row>
      <rowOff>0</rowOff>
    </from>
    <ext cx="7200000" cy="3420000"/>
    <graphicFrame>
      <nvGraphicFramePr>
        <cNvPr id="11" name="Chart 11"/>
        <cNvGraphicFramePr/>
      </nvGraphicFramePr>
      <xfrm/>
      <a:graphic>
        <a:graphicData uri="http://schemas.openxmlformats.org/drawingml/2006/chart">
          <c:chart r:id="rId11"/>
        </a:graphicData>
      </a:graphic>
    </graphicFrame>
    <clientData/>
  </oneCellAnchor>
  <oneCellAnchor>
    <from>
      <col>0</col>
      <colOff>0</colOff>
      <row>139</row>
      <rowOff>0</rowOff>
    </from>
    <ext cx="7200000" cy="2520000"/>
    <graphicFrame>
      <nvGraphicFramePr>
        <cNvPr id="12" name="Chart 12"/>
        <cNvGraphicFramePr/>
      </nvGraphicFramePr>
      <xfrm/>
      <a:graphic>
        <a:graphicData uri="http://schemas.openxmlformats.org/drawingml/2006/chart">
          <c:chart r:id="rId12"/>
        </a:graphicData>
      </a:graphic>
    </graphicFrame>
    <clientData/>
  </oneCellAnchor>
  <oneCellAnchor>
    <from>
      <col>12</col>
      <colOff>0</colOff>
      <row>139</row>
      <rowOff>0</rowOff>
    </from>
    <ext cx="7200000" cy="3420000"/>
    <graphicFrame>
      <nvGraphicFramePr>
        <cNvPr id="13" name="Chart 13"/>
        <cNvGraphicFramePr/>
      </nvGraphicFramePr>
      <xfrm/>
      <a:graphic>
        <a:graphicData uri="http://schemas.openxmlformats.org/drawingml/2006/chart">
          <c:chart r:id="rId13"/>
        </a:graphicData>
      </a:graphic>
    </graphicFrame>
    <clientData/>
  </oneCellAnchor>
  <oneCellAnchor>
    <from>
      <col>0</col>
      <colOff>0</colOff>
      <row>159</row>
      <rowOff>0</rowOff>
    </from>
    <ext cx="7200000" cy="3420000"/>
    <graphicFrame>
      <nvGraphicFramePr>
        <cNvPr id="14" name="Chart 14"/>
        <cNvGraphicFramePr/>
      </nvGraphicFramePr>
      <xfrm/>
      <a:graphic>
        <a:graphicData uri="http://schemas.openxmlformats.org/drawingml/2006/chart">
          <c:chart r:id="rId14"/>
        </a:graphicData>
      </a:graphic>
    </graphicFrame>
    <clientData/>
  </oneCellAnchor>
  <oneCellAnchor>
    <from>
      <col>0</col>
      <colOff>0</colOff>
      <row>182</row>
      <rowOff>0</rowOff>
    </from>
    <ext cx="7200000" cy="3420000"/>
    <graphicFrame>
      <nvGraphicFramePr>
        <cNvPr id="15" name="Chart 15"/>
        <cNvGraphicFramePr/>
      </nvGraphicFramePr>
      <xfrm/>
      <a:graphic>
        <a:graphicData uri="http://schemas.openxmlformats.org/drawingml/2006/chart">
          <c:chart r:id="rId15"/>
        </a:graphicData>
      </a:graphic>
    </graphicFrame>
    <clientData/>
  </oneCellAnchor>
  <oneCellAnchor>
    <from>
      <col>12</col>
      <colOff>0</colOff>
      <row>182</row>
      <rowOff>0</rowOff>
    </from>
    <ext cx="7200000" cy="3420000"/>
    <graphicFrame>
      <nvGraphicFramePr>
        <cNvPr id="16" name="Chart 16"/>
        <cNvGraphicFramePr/>
      </nvGraphicFramePr>
      <xfrm/>
      <a:graphic>
        <a:graphicData uri="http://schemas.openxmlformats.org/drawingml/2006/chart">
          <c:chart r:id="rId16"/>
        </a:graphicData>
      </a:graphic>
    </graphicFrame>
    <clientData/>
  </oneCellAnchor>
  <oneCellAnchor>
    <from>
      <col>0</col>
      <colOff>0</colOff>
      <row>202</row>
      <rowOff>0</rowOff>
    </from>
    <ext cx="7200000" cy="3420000"/>
    <graphicFrame>
      <nvGraphicFramePr>
        <cNvPr id="17" name="Chart 17"/>
        <cNvGraphicFramePr/>
      </nvGraphicFramePr>
      <xfrm/>
      <a:graphic>
        <a:graphicData uri="http://schemas.openxmlformats.org/drawingml/2006/chart">
          <c:chart r:id="rId17"/>
        </a:graphicData>
      </a:graphic>
    </graphicFrame>
    <clientData/>
  </oneCellAnchor>
  <oneCellAnchor>
    <from>
      <col>12</col>
      <colOff>0</colOff>
      <row>202</row>
      <rowOff>0</rowOff>
    </from>
    <ext cx="7200000" cy="3420000"/>
    <graphicFrame>
      <nvGraphicFramePr>
        <cNvPr id="18" name="Chart 18"/>
        <cNvGraphicFramePr/>
      </nvGraphicFramePr>
      <xfrm/>
      <a:graphic>
        <a:graphicData uri="http://schemas.openxmlformats.org/drawingml/2006/chart">
          <c:chart r:id="rId18"/>
        </a:graphicData>
      </a:graphic>
    </graphicFrame>
    <clientData/>
  </oneCellAnchor>
  <oneCellAnchor>
    <from>
      <col>0</col>
      <colOff>0</colOff>
      <row>222</row>
      <rowOff>0</rowOff>
    </from>
    <ext cx="7200000" cy="3420000"/>
    <graphicFrame>
      <nvGraphicFramePr>
        <cNvPr id="19" name="Chart 19"/>
        <cNvGraphicFramePr/>
      </nvGraphicFramePr>
      <xfrm/>
      <a:graphic>
        <a:graphicData uri="http://schemas.openxmlformats.org/drawingml/2006/chart">
          <c:chart r:id="rId19"/>
        </a:graphicData>
      </a:graphic>
    </graphicFrame>
    <clientData/>
  </oneCellAnchor>
  <oneCellAnchor>
    <from>
      <col>12</col>
      <colOff>0</colOff>
      <row>222</row>
      <rowOff>0</rowOff>
    </from>
    <ext cx="7200000" cy="2520000"/>
    <graphicFrame>
      <nvGraphicFramePr>
        <cNvPr id="20" name="Chart 20"/>
        <cNvGraphicFramePr/>
      </nvGraphicFramePr>
      <xfrm/>
      <a:graphic>
        <a:graphicData uri="http://schemas.openxmlformats.org/drawingml/2006/chart">
          <c:chart r:id="rId20"/>
        </a:graphicData>
      </a:graphic>
    </graphicFrame>
    <clientData/>
  </oneCellAnchor>
  <oneCellAnchor>
    <from>
      <col>0</col>
      <colOff>0</colOff>
      <row>245</row>
      <rowOff>0</rowOff>
    </from>
    <ext cx="7200000" cy="3420000"/>
    <graphicFrame>
      <nvGraphicFramePr>
        <cNvPr id="21" name="Chart 21"/>
        <cNvGraphicFramePr/>
      </nvGraphicFramePr>
      <xfrm/>
      <a:graphic>
        <a:graphicData uri="http://schemas.openxmlformats.org/drawingml/2006/chart">
          <c:chart r:id="rId21"/>
        </a:graphicData>
      </a:graphic>
    </graphicFrame>
    <clientData/>
  </oneCellAnchor>
  <oneCellAnchor>
    <from>
      <col>12</col>
      <colOff>0</colOff>
      <row>245</row>
      <rowOff>0</rowOff>
    </from>
    <ext cx="7200000" cy="2800800"/>
    <graphicFrame>
      <nvGraphicFramePr>
        <cNvPr id="22" name="Chart 22"/>
        <cNvGraphicFramePr/>
      </nvGraphicFramePr>
      <xfrm/>
      <a:graphic>
        <a:graphicData uri="http://schemas.openxmlformats.org/drawingml/2006/chart">
          <c:chart r:id="rId22"/>
        </a:graphicData>
      </a:graphic>
    </graphicFrame>
    <clientData/>
  </oneCellAnchor>
  <oneCellAnchor>
    <from>
      <col>0</col>
      <colOff>0</colOff>
      <row>265</row>
      <rowOff>0</rowOff>
    </from>
    <ext cx="7200000" cy="3420000"/>
    <graphicFrame>
      <nvGraphicFramePr>
        <cNvPr id="23" name="Chart 23"/>
        <cNvGraphicFramePr/>
      </nvGraphicFramePr>
      <xfrm/>
      <a:graphic>
        <a:graphicData uri="http://schemas.openxmlformats.org/drawingml/2006/chart">
          <c:chart r:id="rId23"/>
        </a:graphicData>
      </a:graphic>
    </graphicFrame>
    <clientData/>
  </oneCellAnchor>
  <oneCellAnchor>
    <from>
      <col>12</col>
      <colOff>0</colOff>
      <row>265</row>
      <rowOff>0</rowOff>
    </from>
    <ext cx="7200000" cy="3420000"/>
    <graphicFrame>
      <nvGraphicFramePr>
        <cNvPr id="24" name="Chart 24"/>
        <cNvGraphicFramePr/>
      </nvGraphicFramePr>
      <xfrm/>
      <a:graphic>
        <a:graphicData uri="http://schemas.openxmlformats.org/drawingml/2006/chart">
          <c:chart r:id="rId24"/>
        </a:graphicData>
      </a:graphic>
    </graphicFrame>
    <clientData/>
  </oneCellAnchor>
  <oneCellAnchor>
    <from>
      <col>0</col>
      <colOff>0</colOff>
      <row>288</row>
      <rowOff>0</rowOff>
    </from>
    <ext cx="7200000" cy="3470400"/>
    <graphicFrame>
      <nvGraphicFramePr>
        <cNvPr id="25" name="Chart 25"/>
        <cNvGraphicFramePr/>
      </nvGraphicFramePr>
      <xfrm/>
      <a:graphic>
        <a:graphicData uri="http://schemas.openxmlformats.org/drawingml/2006/chart">
          <c:chart r:id="rId25"/>
        </a:graphicData>
      </a:graphic>
    </graphicFrame>
    <clientData/>
  </oneCellAnchor>
  <oneCellAnchor>
    <from>
      <col>0</col>
      <colOff>0</colOff>
      <row>312</row>
      <rowOff>0</rowOff>
    </from>
    <ext cx="7200000" cy="3916799"/>
    <graphicFrame>
      <nvGraphicFramePr>
        <cNvPr id="26" name="Chart 26"/>
        <cNvGraphicFramePr/>
      </nvGraphicFramePr>
      <xfrm/>
      <a:graphic>
        <a:graphicData uri="http://schemas.openxmlformats.org/drawingml/2006/chart">
          <c:chart r:id="rId26"/>
        </a:graphicData>
      </a:graphic>
    </graphicFrame>
    <clientData/>
  </oneCellAnchor>
  <oneCellAnchor>
    <from>
      <col>12</col>
      <colOff>0</colOff>
      <row>312</row>
      <rowOff>0</rowOff>
    </from>
    <ext cx="7200000" cy="3470400"/>
    <graphicFrame>
      <nvGraphicFramePr>
        <cNvPr id="27" name="Chart 27"/>
        <cNvGraphicFramePr/>
      </nvGraphicFramePr>
      <xfrm/>
      <a:graphic>
        <a:graphicData uri="http://schemas.openxmlformats.org/drawingml/2006/chart">
          <c:chart r:id="rId27"/>
        </a:graphicData>
      </a:graphic>
    </graphicFrame>
    <clientData/>
  </oneCellAnchor>
  <oneCellAnchor>
    <from>
      <col>0</col>
      <colOff>0</colOff>
      <row>338</row>
      <rowOff>0</rowOff>
    </from>
    <ext cx="7200000" cy="3470400"/>
    <graphicFrame>
      <nvGraphicFramePr>
        <cNvPr id="28" name="Chart 28"/>
        <cNvGraphicFramePr/>
      </nvGraphicFramePr>
      <xfrm/>
      <a:graphic>
        <a:graphicData uri="http://schemas.openxmlformats.org/drawingml/2006/chart">
          <c:chart r:id="rId28"/>
        </a:graphicData>
      </a:graphic>
    </graphicFrame>
    <clientData/>
  </oneCellAnchor>
  <oneCellAnchor>
    <from>
      <col>12</col>
      <colOff>0</colOff>
      <row>338</row>
      <rowOff>0</rowOff>
    </from>
    <ext cx="7200000" cy="3420000"/>
    <graphicFrame>
      <nvGraphicFramePr>
        <cNvPr id="29" name="Chart 29"/>
        <cNvGraphicFramePr/>
      </nvGraphicFramePr>
      <xfrm/>
      <a:graphic>
        <a:graphicData uri="http://schemas.openxmlformats.org/drawingml/2006/chart">
          <c:chart r:id="rId29"/>
        </a:graphicData>
      </a:graphic>
    </graphicFrame>
    <clientData/>
  </oneCellAnchor>
  <oneCellAnchor>
    <from>
      <col>0</col>
      <colOff>0</colOff>
      <row>359</row>
      <rowOff>0</rowOff>
    </from>
    <ext cx="7200000" cy="3470400"/>
    <graphicFrame>
      <nvGraphicFramePr>
        <cNvPr id="30" name="Chart 30"/>
        <cNvGraphicFramePr/>
      </nvGraphicFramePr>
      <xfrm/>
      <a:graphic>
        <a:graphicData uri="http://schemas.openxmlformats.org/drawingml/2006/chart">
          <c:chart r:id="rId30"/>
        </a:graphicData>
      </a:graphic>
    </graphicFrame>
    <clientData/>
  </oneCellAnchor>
  <oneCellAnchor>
    <from>
      <col>12</col>
      <colOff>0</colOff>
      <row>359</row>
      <rowOff>0</rowOff>
    </from>
    <ext cx="7200000" cy="3470400"/>
    <graphicFrame>
      <nvGraphicFramePr>
        <cNvPr id="31" name="Chart 31"/>
        <cNvGraphicFramePr/>
      </nvGraphicFramePr>
      <xfrm/>
      <a:graphic>
        <a:graphicData uri="http://schemas.openxmlformats.org/drawingml/2006/chart">
          <c:chart r:id="rId31"/>
        </a:graphicData>
      </a:graphic>
    </graphicFrame>
    <clientData/>
  </oneCellAnchor>
  <oneCellAnchor>
    <from>
      <col>0</col>
      <colOff>0</colOff>
      <row>380</row>
      <rowOff>0</rowOff>
    </from>
    <ext cx="7200000" cy="3470400"/>
    <graphicFrame>
      <nvGraphicFramePr>
        <cNvPr id="32" name="Chart 32"/>
        <cNvGraphicFramePr/>
      </nvGraphicFramePr>
      <xfrm/>
      <a:graphic>
        <a:graphicData uri="http://schemas.openxmlformats.org/drawingml/2006/chart">
          <c:chart r:id="rId32"/>
        </a:graphicData>
      </a:graphic>
    </graphicFrame>
    <clientData/>
  </oneCellAnchor>
  <oneCellAnchor>
    <from>
      <col>0</col>
      <colOff>0</colOff>
      <row>404</row>
      <rowOff>0</rowOff>
    </from>
    <ext cx="7200000" cy="3470400"/>
    <graphicFrame>
      <nvGraphicFramePr>
        <cNvPr id="33" name="Chart 33"/>
        <cNvGraphicFramePr/>
      </nvGraphicFramePr>
      <xfrm/>
      <a:graphic>
        <a:graphicData uri="http://schemas.openxmlformats.org/drawingml/2006/chart">
          <c:chart r:id="rId33"/>
        </a:graphicData>
      </a:graphic>
    </graphicFrame>
    <clientData/>
  </oneCellAnchor>
  <oneCellAnchor>
    <from>
      <col>0</col>
      <colOff>0</colOff>
      <row>428</row>
      <rowOff>0</rowOff>
    </from>
    <ext cx="7200000" cy="3916799"/>
    <graphicFrame>
      <nvGraphicFramePr>
        <cNvPr id="34" name="Chart 34"/>
        <cNvGraphicFramePr/>
      </nvGraphicFramePr>
      <xfrm/>
      <a:graphic>
        <a:graphicData uri="http://schemas.openxmlformats.org/drawingml/2006/chart">
          <c:chart r:id="rId34"/>
        </a:graphicData>
      </a:graphic>
    </graphicFrame>
    <clientData/>
  </oneCellAnchor>
  <oneCellAnchor>
    <from>
      <col>12</col>
      <colOff>0</colOff>
      <row>428</row>
      <rowOff>0</rowOff>
    </from>
    <ext cx="7200000" cy="3916799"/>
    <graphicFrame>
      <nvGraphicFramePr>
        <cNvPr id="35" name="Chart 35"/>
        <cNvGraphicFramePr/>
      </nvGraphicFramePr>
      <xfrm/>
      <a:graphic>
        <a:graphicData uri="http://schemas.openxmlformats.org/drawingml/2006/chart">
          <c:chart r:id="rId35"/>
        </a:graphicData>
      </a:graphic>
    </graphicFrame>
    <clientData/>
  </oneCellAnchor>
  <oneCellAnchor>
    <from>
      <col>0</col>
      <colOff>0</colOff>
      <row>451</row>
      <rowOff>0</rowOff>
    </from>
    <ext cx="7200000" cy="3916799"/>
    <graphicFrame>
      <nvGraphicFramePr>
        <cNvPr id="36" name="Chart 36"/>
        <cNvGraphicFramePr/>
      </nvGraphicFramePr>
      <xfrm/>
      <a:graphic>
        <a:graphicData uri="http://schemas.openxmlformats.org/drawingml/2006/chart">
          <c:chart r:id="rId36"/>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23</row>
      <rowOff>0</rowOff>
    </from>
    <ext cx="7200000" cy="3420000"/>
    <graphicFrame>
      <nvGraphicFramePr>
        <cNvPr id="1" name="Chart 1"/>
        <cNvGraphicFramePr/>
      </nvGraphicFramePr>
      <xfrm/>
      <a:graphic>
        <a:graphicData uri="http://schemas.openxmlformats.org/drawingml/2006/chart">
          <c:chart r:id="rId1"/>
        </a:graphicData>
      </a:graphic>
    </graphicFrame>
    <clientData/>
  </oneCellAnchor>
  <oneCellAnchor>
    <from>
      <col>3</col>
      <colOff>0</colOff>
      <row>43</row>
      <rowOff>0</rowOff>
    </from>
    <ext cx="7200000" cy="3420000"/>
    <graphicFrame>
      <nvGraphicFramePr>
        <cNvPr id="2" name="Chart 2"/>
        <cNvGraphicFramePr/>
      </nvGraphicFramePr>
      <xfrm/>
      <a:graphic>
        <a:graphicData uri="http://schemas.openxmlformats.org/drawingml/2006/chart">
          <c:chart r:id="rId2"/>
        </a:graphicData>
      </a:graphic>
    </graphicFrame>
    <clientData/>
  </oneCellAnchor>
  <oneCellAnchor>
    <from>
      <col>3</col>
      <colOff>0</colOff>
      <row>63</row>
      <rowOff>0</rowOff>
    </from>
    <ext cx="7200000" cy="3693600"/>
    <graphicFrame>
      <nvGraphicFramePr>
        <cNvPr id="3" name="Chart 3"/>
        <cNvGraphicFramePr/>
      </nvGraphicFramePr>
      <xfrm/>
      <a:graphic>
        <a:graphicData uri="http://schemas.openxmlformats.org/drawingml/2006/chart">
          <c:chart r:id="rId3"/>
        </a:graphicData>
      </a:graphic>
    </graphicFrame>
    <clientData/>
  </oneCellAnchor>
  <oneCellAnchor>
    <from>
      <col>3</col>
      <colOff>0</colOff>
      <row>85</row>
      <rowOff>0</rowOff>
    </from>
    <ext cx="7200000" cy="2520000"/>
    <graphicFrame>
      <nvGraphicFramePr>
        <cNvPr id="4" name="Chart 4"/>
        <cNvGraphicFramePr/>
      </nvGraphicFramePr>
      <xfrm/>
      <a:graphic>
        <a:graphicData uri="http://schemas.openxmlformats.org/drawingml/2006/chart">
          <c:chart r:id="rId4"/>
        </a:graphicData>
      </a:graphic>
    </graphicFrame>
    <clientData/>
  </oneCellAnchor>
</wsDr>
</file>

<file path=xl/drawings/drawing3.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18</row>
      <rowOff>0</rowOff>
    </from>
    <ext cx="7200000" cy="2520000"/>
    <graphicFrame>
      <nvGraphicFramePr>
        <cNvPr id="1" name="Chart 1"/>
        <cNvGraphicFramePr/>
      </nvGraphicFramePr>
      <xfrm/>
      <a:graphic>
        <a:graphicData uri="http://schemas.openxmlformats.org/drawingml/2006/chart">
          <c:chart r:id="rId1"/>
        </a:graphicData>
      </a:graphic>
    </graphicFrame>
    <clientData/>
  </oneCellAnchor>
  <oneCellAnchor>
    <from>
      <col>3</col>
      <colOff>0</colOff>
      <row>34</row>
      <rowOff>0</rowOff>
    </from>
    <ext cx="7200000" cy="3420000"/>
    <graphicFrame>
      <nvGraphicFramePr>
        <cNvPr id="2" name="Chart 2"/>
        <cNvGraphicFramePr/>
      </nvGraphicFramePr>
      <xfrm/>
      <a:graphic>
        <a:graphicData uri="http://schemas.openxmlformats.org/drawingml/2006/chart">
          <c:chart r:id="rId2"/>
        </a:graphicData>
      </a:graphic>
    </graphicFrame>
    <clientData/>
  </oneCellAnchor>
  <oneCellAnchor>
    <from>
      <col>4</col>
      <colOff>0</colOff>
      <row>54</row>
      <rowOff>0</rowOff>
    </from>
    <ext cx="7200000" cy="3420000"/>
    <graphicFrame>
      <nvGraphicFramePr>
        <cNvPr id="3" name="Chart 3"/>
        <cNvGraphicFramePr/>
      </nvGraphicFramePr>
      <xfrm/>
      <a:graphic>
        <a:graphicData uri="http://schemas.openxmlformats.org/drawingml/2006/chart">
          <c:chart r:id="rId3"/>
        </a:graphicData>
      </a:graphic>
    </graphicFrame>
    <clientData/>
  </oneCellAnchor>
</wsDr>
</file>

<file path=xl/drawings/drawing4.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31</row>
      <rowOff>0</rowOff>
    </from>
    <ext cx="7200000" cy="3420000"/>
    <graphicFrame>
      <nvGraphicFramePr>
        <cNvPr id="1" name="Chart 1"/>
        <cNvGraphicFramePr/>
      </nvGraphicFramePr>
      <xfrm/>
      <a:graphic>
        <a:graphicData uri="http://schemas.openxmlformats.org/drawingml/2006/chart">
          <c:chart r:id="rId1"/>
        </a:graphicData>
      </a:graphic>
    </graphicFrame>
    <clientData/>
  </oneCellAnchor>
  <oneCellAnchor>
    <from>
      <col>3</col>
      <colOff>0</colOff>
      <row>51</row>
      <rowOff>0</rowOff>
    </from>
    <ext cx="7200000" cy="3420000"/>
    <graphicFrame>
      <nvGraphicFramePr>
        <cNvPr id="2" name="Chart 2"/>
        <cNvGraphicFramePr/>
      </nvGraphicFramePr>
      <xfrm/>
      <a:graphic>
        <a:graphicData uri="http://schemas.openxmlformats.org/drawingml/2006/chart">
          <c:chart r:id="rId2"/>
        </a:graphicData>
      </a:graphic>
    </graphicFrame>
    <clientData/>
  </oneCellAnchor>
  <oneCellAnchor>
    <from>
      <col>3</col>
      <colOff>0</colOff>
      <row>71</row>
      <rowOff>0</rowOff>
    </from>
    <ext cx="7200000" cy="3420000"/>
    <graphicFrame>
      <nvGraphicFramePr>
        <cNvPr id="3" name="Chart 3"/>
        <cNvGraphicFramePr/>
      </nvGraphicFramePr>
      <xfrm/>
      <a:graphic>
        <a:graphicData uri="http://schemas.openxmlformats.org/drawingml/2006/chart">
          <c:chart r:id="rId3"/>
        </a:graphicData>
      </a:graphic>
    </graphicFrame>
    <clientData/>
  </oneCellAnchor>
  <oneCellAnchor>
    <from>
      <col>3</col>
      <colOff>0</colOff>
      <row>91</row>
      <rowOff>0</rowOff>
    </from>
    <ext cx="7200000" cy="4363200"/>
    <graphicFrame>
      <nvGraphicFramePr>
        <cNvPr id="4" name="Chart 4"/>
        <cNvGraphicFramePr/>
      </nvGraphicFramePr>
      <xfrm/>
      <a:graphic>
        <a:graphicData uri="http://schemas.openxmlformats.org/drawingml/2006/chart">
          <c:chart r:id="rId4"/>
        </a:graphicData>
      </a:graphic>
    </graphicFrame>
    <clientData/>
  </oneCellAnchor>
  <oneCellAnchor>
    <from>
      <col>3</col>
      <colOff>0</colOff>
      <row>116</row>
      <rowOff>0</rowOff>
    </from>
    <ext cx="7200000" cy="3420000"/>
    <graphicFrame>
      <nvGraphicFramePr>
        <cNvPr id="5" name="Chart 5"/>
        <cNvGraphicFramePr/>
      </nvGraphicFramePr>
      <xfrm/>
      <a:graphic>
        <a:graphicData uri="http://schemas.openxmlformats.org/drawingml/2006/chart">
          <c:chart r:id="rId5"/>
        </a:graphicData>
      </a:graphic>
    </graphicFrame>
    <clientData/>
  </oneCellAnchor>
  <oneCellAnchor>
    <from>
      <col>3</col>
      <colOff>0</colOff>
      <row>136</row>
      <rowOff>0</rowOff>
    </from>
    <ext cx="7200000" cy="3420000"/>
    <graphicFrame>
      <nvGraphicFramePr>
        <cNvPr id="6" name="Chart 6"/>
        <cNvGraphicFramePr/>
      </nvGraphicFramePr>
      <xfrm/>
      <a:graphic>
        <a:graphicData uri="http://schemas.openxmlformats.org/drawingml/2006/chart">
          <c:chart r:id="rId6"/>
        </a:graphicData>
      </a:graphic>
    </graphicFrame>
    <clientData/>
  </oneCellAnchor>
  <oneCellAnchor>
    <from>
      <col>3</col>
      <colOff>0</colOff>
      <row>156</row>
      <rowOff>0</rowOff>
    </from>
    <ext cx="7200000" cy="2520000"/>
    <graphicFrame>
      <nvGraphicFramePr>
        <cNvPr id="7" name="Chart 7"/>
        <cNvGraphicFramePr/>
      </nvGraphicFramePr>
      <xfrm/>
      <a:graphic>
        <a:graphicData uri="http://schemas.openxmlformats.org/drawingml/2006/chart">
          <c:chart r:id="rId7"/>
        </a:graphicData>
      </a:graphic>
    </graphicFrame>
    <clientData/>
  </oneCellAnchor>
  <oneCellAnchor>
    <from>
      <col>3</col>
      <colOff>0</colOff>
      <row>172</row>
      <rowOff>0</rowOff>
    </from>
    <ext cx="7200000" cy="3420000"/>
    <graphicFrame>
      <nvGraphicFramePr>
        <cNvPr id="8" name="Chart 8"/>
        <cNvGraphicFramePr/>
      </nvGraphicFramePr>
      <xfrm/>
      <a:graphic>
        <a:graphicData uri="http://schemas.openxmlformats.org/drawingml/2006/chart">
          <c:chart r:id="rId8"/>
        </a:graphicData>
      </a:graphic>
    </graphicFrame>
    <clientData/>
  </oneCellAnchor>
  <oneCellAnchor>
    <from>
      <col>3</col>
      <colOff>0</colOff>
      <row>192</row>
      <rowOff>0</rowOff>
    </from>
    <ext cx="7200000" cy="3420000"/>
    <graphicFrame>
      <nvGraphicFramePr>
        <cNvPr id="9" name="Chart 9"/>
        <cNvGraphicFramePr/>
      </nvGraphicFramePr>
      <xfrm/>
      <a:graphic>
        <a:graphicData uri="http://schemas.openxmlformats.org/drawingml/2006/chart">
          <c:chart r:id="rId9"/>
        </a:graphicData>
      </a:graphic>
    </graphicFrame>
    <clientData/>
  </oneCellAnchor>
</wsDr>
</file>

<file path=xl/drawings/drawing5.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7</col>
      <colOff>0</colOff>
      <row>26</row>
      <rowOff>0</rowOff>
    </from>
    <ext cx="7200000" cy="3420000"/>
    <graphicFrame>
      <nvGraphicFramePr>
        <cNvPr id="1" name="Chart 1"/>
        <cNvGraphicFramePr/>
      </nvGraphicFramePr>
      <xfrm/>
      <a:graphic>
        <a:graphicData uri="http://schemas.openxmlformats.org/drawingml/2006/chart">
          <c:chart r:id="rId1"/>
        </a:graphicData>
      </a:graphic>
    </graphicFrame>
    <clientData/>
  </oneCellAnchor>
  <oneCellAnchor>
    <from>
      <col>7</col>
      <colOff>0</colOff>
      <row>46</row>
      <rowOff>0</rowOff>
    </from>
    <ext cx="7200000" cy="3420000"/>
    <graphicFrame>
      <nvGraphicFramePr>
        <cNvPr id="2" name="Chart 2"/>
        <cNvGraphicFramePr/>
      </nvGraphicFramePr>
      <xfrm/>
      <a:graphic>
        <a:graphicData uri="http://schemas.openxmlformats.org/drawingml/2006/chart">
          <c:chart r:id="rId2"/>
        </a:graphicData>
      </a:graphic>
    </graphicFrame>
    <clientData/>
  </oneCellAnchor>
  <oneCellAnchor>
    <from>
      <col>7</col>
      <colOff>0</colOff>
      <row>66</row>
      <rowOff>0</rowOff>
    </from>
    <ext cx="7200000" cy="3420000"/>
    <graphicFrame>
      <nvGraphicFramePr>
        <cNvPr id="3" name="Chart 3"/>
        <cNvGraphicFramePr/>
      </nvGraphicFramePr>
      <xfrm/>
      <a:graphic>
        <a:graphicData uri="http://schemas.openxmlformats.org/drawingml/2006/chart">
          <c:chart r:id="rId3"/>
        </a:graphicData>
      </a:graphic>
    </graphicFrame>
    <clientData/>
  </oneCellAnchor>
  <oneCellAnchor>
    <from>
      <col>7</col>
      <colOff>0</colOff>
      <row>86</row>
      <rowOff>0</rowOff>
    </from>
    <ext cx="7200000" cy="3420000"/>
    <graphicFrame>
      <nvGraphicFramePr>
        <cNvPr id="4" name="Chart 4"/>
        <cNvGraphicFramePr/>
      </nvGraphicFramePr>
      <xfrm/>
      <a:graphic>
        <a:graphicData uri="http://schemas.openxmlformats.org/drawingml/2006/chart">
          <c:chart r:id="rId4"/>
        </a:graphicData>
      </a:graphic>
    </graphicFrame>
    <clientData/>
  </oneCellAnchor>
  <oneCellAnchor>
    <from>
      <col>3</col>
      <colOff>0</colOff>
      <row>134</row>
      <rowOff>0</rowOff>
    </from>
    <ext cx="7200000" cy="3420000"/>
    <graphicFrame>
      <nvGraphicFramePr>
        <cNvPr id="5" name="Chart 5"/>
        <cNvGraphicFramePr/>
      </nvGraphicFramePr>
      <xfrm/>
      <a:graphic>
        <a:graphicData uri="http://schemas.openxmlformats.org/drawingml/2006/chart">
          <c:chart r:id="rId5"/>
        </a:graphicData>
      </a:graphic>
    </graphicFrame>
    <clientData/>
  </oneCellAnchor>
  <oneCellAnchor>
    <from>
      <col>3</col>
      <colOff>0</colOff>
      <row>252</row>
      <rowOff>0</rowOff>
    </from>
    <ext cx="7200000" cy="2520000"/>
    <graphicFrame>
      <nvGraphicFramePr>
        <cNvPr id="6" name="Chart 6"/>
        <cNvGraphicFramePr/>
      </nvGraphicFramePr>
      <xfrm/>
      <a:graphic>
        <a:graphicData uri="http://schemas.openxmlformats.org/drawingml/2006/chart">
          <c:chart r:id="rId6"/>
        </a:graphicData>
      </a:graphic>
    </graphicFrame>
    <clientData/>
  </oneCellAnchor>
</wsDr>
</file>

<file path=xl/drawings/drawing6.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25</row>
      <rowOff>0</rowOff>
    </from>
    <ext cx="7200000" cy="3420000"/>
    <graphicFrame>
      <nvGraphicFramePr>
        <cNvPr id="1" name="Chart 1"/>
        <cNvGraphicFramePr/>
      </nvGraphicFramePr>
      <xfrm/>
      <a:graphic>
        <a:graphicData uri="http://schemas.openxmlformats.org/drawingml/2006/chart">
          <c:chart r:id="rId1"/>
        </a:graphicData>
      </a:graphic>
    </graphicFrame>
    <clientData/>
  </oneCellAnchor>
  <oneCellAnchor>
    <from>
      <col>3</col>
      <colOff>0</colOff>
      <row>45</row>
      <rowOff>0</rowOff>
    </from>
    <ext cx="7200000" cy="2800800"/>
    <graphicFrame>
      <nvGraphicFramePr>
        <cNvPr id="2" name="Chart 2"/>
        <cNvGraphicFramePr/>
      </nvGraphicFramePr>
      <xfrm/>
      <a:graphic>
        <a:graphicData uri="http://schemas.openxmlformats.org/drawingml/2006/chart">
          <c:chart r:id="rId2"/>
        </a:graphicData>
      </a:graphic>
    </graphicFrame>
    <clientData/>
  </oneCellAnchor>
  <oneCellAnchor>
    <from>
      <col>3</col>
      <colOff>0</colOff>
      <row>62</row>
      <rowOff>0</rowOff>
    </from>
    <ext cx="7200000" cy="3420000"/>
    <graphicFrame>
      <nvGraphicFramePr>
        <cNvPr id="3" name="Chart 3"/>
        <cNvGraphicFramePr/>
      </nvGraphicFramePr>
      <xfrm/>
      <a:graphic>
        <a:graphicData uri="http://schemas.openxmlformats.org/drawingml/2006/chart">
          <c:chart r:id="rId3"/>
        </a:graphicData>
      </a:graphic>
    </graphicFrame>
    <clientData/>
  </oneCellAnchor>
  <oneCellAnchor>
    <from>
      <col>3</col>
      <colOff>0</colOff>
      <row>459</row>
      <rowOff>0</rowOff>
    </from>
    <ext cx="7200000" cy="3420000"/>
    <graphicFrame>
      <nvGraphicFramePr>
        <cNvPr id="4" name="Chart 4"/>
        <cNvGraphicFramePr/>
      </nvGraphicFramePr>
      <xfrm/>
      <a:graphic>
        <a:graphicData uri="http://schemas.openxmlformats.org/drawingml/2006/chart">
          <c:chart r:id="rId4"/>
        </a:graphicData>
      </a:graphic>
    </graphicFrame>
    <clientData/>
  </oneCellAnchor>
</wsDr>
</file>

<file path=xl/drawings/drawing7.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18</row>
      <rowOff>0</rowOff>
    </from>
    <ext cx="7200000" cy="3693600"/>
    <graphicFrame>
      <nvGraphicFramePr>
        <cNvPr id="1" name="Chart 1"/>
        <cNvGraphicFramePr/>
      </nvGraphicFramePr>
      <xfrm/>
      <a:graphic>
        <a:graphicData uri="http://schemas.openxmlformats.org/drawingml/2006/chart">
          <c:chart r:id="rId1"/>
        </a:graphicData>
      </a:graphic>
    </graphicFrame>
    <clientData/>
  </oneCellAnchor>
  <oneCellAnchor>
    <from>
      <col>3</col>
      <colOff>0</colOff>
      <row>40</row>
      <rowOff>0</rowOff>
    </from>
    <ext cx="7200000" cy="2520000"/>
    <graphicFrame>
      <nvGraphicFramePr>
        <cNvPr id="2" name="Chart 2"/>
        <cNvGraphicFramePr/>
      </nvGraphicFramePr>
      <xfrm/>
      <a:graphic>
        <a:graphicData uri="http://schemas.openxmlformats.org/drawingml/2006/chart">
          <c:chart r:id="rId2"/>
        </a:graphicData>
      </a:graphic>
    </graphicFrame>
    <clientData/>
  </oneCellAnchor>
  <oneCellAnchor>
    <from>
      <col>3</col>
      <colOff>0</colOff>
      <row>56</row>
      <rowOff>0</rowOff>
    </from>
    <ext cx="7200000" cy="3470400"/>
    <graphicFrame>
      <nvGraphicFramePr>
        <cNvPr id="3" name="Chart 3"/>
        <cNvGraphicFramePr/>
      </nvGraphicFramePr>
      <xfrm/>
      <a:graphic>
        <a:graphicData uri="http://schemas.openxmlformats.org/drawingml/2006/chart">
          <c:chart r:id="rId3"/>
        </a:graphicData>
      </a:graphic>
    </graphicFrame>
    <clientData/>
  </oneCellAnchor>
</wsDr>
</file>

<file path=xl/drawings/drawing8.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7</row>
      <rowOff>0</rowOff>
    </from>
    <ext cx="7200000" cy="3916799"/>
    <graphicFrame>
      <nvGraphicFramePr>
        <cNvPr id="1" name="Chart 1"/>
        <cNvGraphicFramePr/>
      </nvGraphicFramePr>
      <xfrm/>
      <a:graphic>
        <a:graphicData uri="http://schemas.openxmlformats.org/drawingml/2006/chart">
          <c:chart r:id="rId1"/>
        </a:graphicData>
      </a:graphic>
    </graphicFrame>
    <clientData/>
  </oneCellAnchor>
  <oneCellAnchor>
    <from>
      <col>5</col>
      <colOff>0</colOff>
      <row>30</row>
      <rowOff>0</rowOff>
    </from>
    <ext cx="7200000" cy="3470400"/>
    <graphicFrame>
      <nvGraphicFramePr>
        <cNvPr id="2" name="Chart 2"/>
        <cNvGraphicFramePr/>
      </nvGraphicFramePr>
      <xfrm/>
      <a:graphic>
        <a:graphicData uri="http://schemas.openxmlformats.org/drawingml/2006/chart">
          <c:chart r:id="rId2"/>
        </a:graphicData>
      </a:graphic>
    </graphicFrame>
    <clientData/>
  </oneCellAnchor>
</wsDr>
</file>

<file path=xl/drawings/drawing9.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12</row>
      <rowOff>0</rowOff>
    </from>
    <ext cx="7200000" cy="3470400"/>
    <graphicFrame>
      <nvGraphicFramePr>
        <cNvPr id="1" name="Chart 1"/>
        <cNvGraphicFramePr/>
      </nvGraphicFramePr>
      <xfrm/>
      <a:graphic>
        <a:graphicData uri="http://schemas.openxmlformats.org/drawingml/2006/chart">
          <c:chart r:id="rId1"/>
        </a:graphicData>
      </a:graphic>
    </graphicFrame>
    <clientData/>
  </oneCellAnchor>
  <oneCellAnchor>
    <from>
      <col>3</col>
      <colOff>0</colOff>
      <row>33</row>
      <rowOff>0</rowOff>
    </from>
    <ext cx="7200000" cy="3420000"/>
    <graphicFrame>
      <nvGraphicFramePr>
        <cNvPr id="2" name="Chart 2"/>
        <cNvGraphicFramePr/>
      </nvGraphicFramePr>
      <xfrm/>
      <a:graphic>
        <a:graphicData uri="http://schemas.openxmlformats.org/drawingml/2006/chart">
          <c:chart r:id="rId2"/>
        </a:graphicData>
      </a:graphic>
    </graphicFrame>
    <clientData/>
  </oneCellAnchor>
  <oneCellAnchor>
    <from>
      <col>3</col>
      <colOff>0</colOff>
      <row>53</row>
      <rowOff>0</rowOff>
    </from>
    <ext cx="7200000" cy="3470400"/>
    <graphicFrame>
      <nvGraphicFramePr>
        <cNvPr id="3" name="Chart 3"/>
        <cNvGraphicFramePr/>
      </nvGraphicFramePr>
      <xfrm/>
      <a:graphic>
        <a:graphicData uri="http://schemas.openxmlformats.org/drawingml/2006/chart">
          <c:chart r:id="rId3"/>
        </a:graphicData>
      </a:graphic>
    </graphicFrame>
    <clientData/>
  </oneCellAnchor>
  <oneCellAnchor>
    <from>
      <col>3</col>
      <colOff>0</colOff>
      <row>74</row>
      <rowOff>0</rowOff>
    </from>
    <ext cx="7200000" cy="3470400"/>
    <graphicFrame>
      <nvGraphicFramePr>
        <cNvPr id="4" name="Chart 4"/>
        <cNvGraphicFramePr/>
      </nvGraphicFramePr>
      <xfrm/>
      <a:graphic>
        <a:graphicData uri="http://schemas.openxmlformats.org/drawingml/2006/chart">
          <c:chart r:id="rId4"/>
        </a:graphicData>
      </a:graphic>
    </graphicFrame>
    <clientData/>
  </oneCellAnchor>
  <oneCellAnchor>
    <from>
      <col>4</col>
      <colOff>0</colOff>
      <row>95</row>
      <rowOff>0</rowOff>
    </from>
    <ext cx="7200000" cy="3470400"/>
    <graphicFrame>
      <nvGraphicFramePr>
        <cNvPr id="5" name="Chart 5"/>
        <cNvGraphicFramePr/>
      </nvGraphicFramePr>
      <xfrm/>
      <a:graphic>
        <a:graphicData uri="http://schemas.openxmlformats.org/drawingml/2006/chart">
          <c:chart r:id="rId5"/>
        </a:graphicData>
      </a:graphic>
    </graphicFrame>
    <clientData/>
  </oneCellAnchor>
</wsDr>
</file>

<file path=xl/drawings/drawing10.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10</row>
      <rowOff>0</rowOff>
    </from>
    <ext cx="7200000" cy="3470400"/>
    <graphicFrame>
      <nvGraphicFramePr>
        <cNvPr id="1" name="Chart 1"/>
        <cNvGraphicFramePr/>
      </nvGraphicFramePr>
      <xfrm/>
      <a:graphic>
        <a:graphicData uri="http://schemas.openxmlformats.org/drawingml/2006/chart">
          <c:chart r:id="rId1"/>
        </a:graphicData>
      </a:graphic>
    </graphicFrame>
    <clientData/>
  </oneCellAnchor>
</wsDr>
</file>

<file path=xl/drawings/drawing1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10</row>
      <rowOff>0</rowOff>
    </from>
    <ext cx="7200000" cy="3916799"/>
    <graphicFrame>
      <nvGraphicFramePr>
        <cNvPr id="1" name="Chart 1"/>
        <cNvGraphicFramePr/>
      </nvGraphicFramePr>
      <xfrm/>
      <a:graphic>
        <a:graphicData uri="http://schemas.openxmlformats.org/drawingml/2006/chart">
          <c:chart r:id="rId1"/>
        </a:graphicData>
      </a:graphic>
    </graphicFrame>
    <clientData/>
  </oneCellAnchor>
  <oneCellAnchor>
    <from>
      <col>3</col>
      <colOff>0</colOff>
      <row>33</row>
      <rowOff>0</rowOff>
    </from>
    <ext cx="7200000" cy="3916799"/>
    <graphicFrame>
      <nvGraphicFramePr>
        <cNvPr id="2" name="Chart 2"/>
        <cNvGraphicFramePr/>
      </nvGraphicFramePr>
      <xfrm/>
      <a:graphic>
        <a:graphicData uri="http://schemas.openxmlformats.org/drawingml/2006/chart">
          <c:chart r:id="rId2"/>
        </a:graphicData>
      </a:graphic>
    </graphicFrame>
    <clientData/>
  </oneCellAnchor>
  <oneCellAnchor>
    <from>
      <col>4</col>
      <colOff>0</colOff>
      <row>56</row>
      <rowOff>0</rowOff>
    </from>
    <ext cx="7200000" cy="3916799"/>
    <graphicFrame>
      <nvGraphicFramePr>
        <cNvPr id="3" name="Chart 3"/>
        <cNvGraphicFramePr/>
      </nvGraphicFramePr>
      <xfrm/>
      <a:graphic>
        <a:graphicData uri="http://schemas.openxmlformats.org/drawingml/2006/chart">
          <c:chart r:id="rId3"/>
        </a:graphicData>
      </a:graphic>
    </graphicFrame>
    <clientData/>
  </oneCellAnchor>
</wsDr>
</file>

<file path=xl/drawings/drawing1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41</row>
      <rowOff>0</rowOff>
    </from>
    <ext cx="7200000" cy="3420000"/>
    <graphicFrame>
      <nvGraphicFramePr>
        <cNvPr id="1" name="Chart 1"/>
        <cNvGraphicFramePr/>
      </nvGraphicFramePr>
      <xfrm/>
      <a:graphic>
        <a:graphicData uri="http://schemas.openxmlformats.org/drawingml/2006/chart">
          <c:chart r:id="rId1"/>
        </a:graphicData>
      </a:graphic>
    </graphicFrame>
    <clientData/>
  </oneCellAnchor>
  <oneCellAnchor>
    <from>
      <col>3</col>
      <colOff>0</colOff>
      <row>61</row>
      <rowOff>0</rowOff>
    </from>
    <ext cx="7200000" cy="3420000"/>
    <graphicFrame>
      <nvGraphicFramePr>
        <cNvPr id="2" name="Chart 2"/>
        <cNvGraphicFramePr/>
      </nvGraphicFramePr>
      <xfrm/>
      <a:graphic>
        <a:graphicData uri="http://schemas.openxmlformats.org/drawingml/2006/chart">
          <c:chart r:id="rId2"/>
        </a:graphicData>
      </a:graphic>
    </graphicFrame>
    <clientData/>
  </oneCellAnchor>
  <oneCellAnchor>
    <from>
      <col>3</col>
      <colOff>0</colOff>
      <row>81</row>
      <rowOff>0</rowOff>
    </from>
    <ext cx="7200000" cy="3024000"/>
    <graphicFrame>
      <nvGraphicFramePr>
        <cNvPr id="3" name="Chart 3"/>
        <cNvGraphicFramePr/>
      </nvGraphicFramePr>
      <xfrm/>
      <a:graphic>
        <a:graphicData uri="http://schemas.openxmlformats.org/drawingml/2006/chart">
          <c:chart r:id="rId3"/>
        </a:graphicData>
      </a:graphic>
    </graphicFrame>
    <clientData/>
  </oneCellAnchor>
  <oneCellAnchor>
    <from>
      <col>3</col>
      <colOff>0</colOff>
      <row>99</row>
      <rowOff>0</rowOff>
    </from>
    <ext cx="7200000" cy="3024000"/>
    <graphicFrame>
      <nvGraphicFramePr>
        <cNvPr id="4" name="Chart 4"/>
        <cNvGraphicFramePr/>
      </nvGraphicFramePr>
      <xfrm/>
      <a:graphic>
        <a:graphicData uri="http://schemas.openxmlformats.org/drawingml/2006/chart">
          <c:chart r:id="rId4"/>
        </a:graphicData>
      </a:graphic>
    </graphicFrame>
    <clientData/>
  </oneCellAnchor>
  <oneCellAnchor>
    <from>
      <col>3</col>
      <colOff>0</colOff>
      <row>117</row>
      <rowOff>0</rowOff>
    </from>
    <ext cx="7200000" cy="3420000"/>
    <graphicFrame>
      <nvGraphicFramePr>
        <cNvPr id="5" name="Chart 5"/>
        <cNvGraphicFramePr/>
      </nvGraphicFramePr>
      <xfrm/>
      <a:graphic>
        <a:graphicData uri="http://schemas.openxmlformats.org/drawingml/2006/chart">
          <c:chart r:id="rId5"/>
        </a:graphicData>
      </a:graphic>
    </graphicFrame>
    <clientData/>
  </oneCellAnchor>
</wsDr>
</file>

<file path=xl/drawings/drawing13.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35</row>
      <rowOff>0</rowOff>
    </from>
    <ext cx="7200000" cy="3420000"/>
    <graphicFrame>
      <nvGraphicFramePr>
        <cNvPr id="1" name="Chart 1"/>
        <cNvGraphicFramePr/>
      </nvGraphicFramePr>
      <xfrm/>
      <a:graphic>
        <a:graphicData uri="http://schemas.openxmlformats.org/drawingml/2006/chart">
          <c:chart r:id="rId1"/>
        </a:graphicData>
      </a:graphic>
    </graphicFrame>
    <clientData/>
  </oneCellAnchor>
  <oneCellAnchor>
    <from>
      <col>3</col>
      <colOff>0</colOff>
      <row>55</row>
      <rowOff>0</rowOff>
    </from>
    <ext cx="7200000" cy="2520000"/>
    <graphicFrame>
      <nvGraphicFramePr>
        <cNvPr id="2" name="Chart 2"/>
        <cNvGraphicFramePr/>
      </nvGraphicFramePr>
      <xfrm/>
      <a:graphic>
        <a:graphicData uri="http://schemas.openxmlformats.org/drawingml/2006/chart">
          <c:chart r:id="rId2"/>
        </a:graphicData>
      </a:graphic>
    </graphicFrame>
    <clientData/>
  </oneCellAnchor>
  <oneCellAnchor>
    <from>
      <col>3</col>
      <colOff>0</colOff>
      <row>71</row>
      <rowOff>0</rowOff>
    </from>
    <ext cx="7200000" cy="2520000"/>
    <graphicFrame>
      <nvGraphicFramePr>
        <cNvPr id="3" name="Chart 3"/>
        <cNvGraphicFramePr/>
      </nvGraphicFramePr>
      <xfrm/>
      <a:graphic>
        <a:graphicData uri="http://schemas.openxmlformats.org/drawingml/2006/chart">
          <c:chart r:id="rId3"/>
        </a:graphicData>
      </a:graphic>
    </graphicFrame>
    <clientData/>
  </oneCellAnchor>
</wsDr>
</file>

<file path=xl/drawings/drawing14.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33</row>
      <rowOff>0</rowOff>
    </from>
    <ext cx="7200000" cy="2520000"/>
    <graphicFrame>
      <nvGraphicFramePr>
        <cNvPr id="1" name="Chart 1"/>
        <cNvGraphicFramePr/>
      </nvGraphicFramePr>
      <xfrm/>
      <a:graphic>
        <a:graphicData uri="http://schemas.openxmlformats.org/drawingml/2006/chart">
          <c:chart r:id="rId1"/>
        </a:graphicData>
      </a:graphic>
    </graphicFrame>
    <clientData/>
  </oneCellAnchor>
  <oneCellAnchor>
    <from>
      <col>3</col>
      <colOff>0</colOff>
      <row>49</row>
      <rowOff>0</rowOff>
    </from>
    <ext cx="7200000" cy="2520000"/>
    <graphicFrame>
      <nvGraphicFramePr>
        <cNvPr id="2" name="Chart 2"/>
        <cNvGraphicFramePr/>
      </nvGraphicFramePr>
      <xfrm/>
      <a:graphic>
        <a:graphicData uri="http://schemas.openxmlformats.org/drawingml/2006/chart">
          <c:chart r:id="rId2"/>
        </a:graphicData>
      </a:graphic>
    </graphicFrame>
    <clientData/>
  </oneCellAnchor>
</wsDr>
</file>

<file path=xl/drawings/drawing15.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34</row>
      <rowOff>0</rowOff>
    </from>
    <ext cx="7200000" cy="3420000"/>
    <graphicFrame>
      <nvGraphicFramePr>
        <cNvPr id="1" name="Chart 1"/>
        <cNvGraphicFramePr/>
      </nvGraphicFramePr>
      <xfrm/>
      <a:graphic>
        <a:graphicData uri="http://schemas.openxmlformats.org/drawingml/2006/chart">
          <c:chart r:id="rId1"/>
        </a:graphicData>
      </a:graphic>
    </graphicFrame>
    <clientData/>
  </oneCellAnchor>
  <oneCellAnchor>
    <from>
      <col>3</col>
      <colOff>0</colOff>
      <row>54</row>
      <rowOff>0</rowOff>
    </from>
    <ext cx="7200000" cy="2520000"/>
    <graphicFrame>
      <nvGraphicFramePr>
        <cNvPr id="2" name="Chart 2"/>
        <cNvGraphicFramePr/>
      </nvGraphicFramePr>
      <xfrm/>
      <a:graphic>
        <a:graphicData uri="http://schemas.openxmlformats.org/drawingml/2006/chart">
          <c:chart r:id="rId2"/>
        </a:graphicData>
      </a:graphic>
    </graphicFrame>
    <clientData/>
  </oneCellAnchor>
  <oneCellAnchor>
    <from>
      <col>3</col>
      <colOff>0</colOff>
      <row>70</row>
      <rowOff>0</rowOff>
    </from>
    <ext cx="7200000" cy="2520000"/>
    <graphicFrame>
      <nvGraphicFramePr>
        <cNvPr id="3" name="Chart 3"/>
        <cNvGraphicFramePr/>
      </nvGraphicFramePr>
      <xfrm/>
      <a:graphic>
        <a:graphicData uri="http://schemas.openxmlformats.org/drawingml/2006/chart">
          <c:chart r:id="rId3"/>
        </a:graphicData>
      </a:graphic>
    </graphicFrame>
    <clientData/>
  </oneCellAnchor>
</wsDr>
</file>

<file path=xl/drawings/drawing16.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39</row>
      <rowOff>0</rowOff>
    </from>
    <ext cx="7200000" cy="3420000"/>
    <graphicFrame>
      <nvGraphicFramePr>
        <cNvPr id="1" name="Chart 1"/>
        <cNvGraphicFramePr/>
      </nvGraphicFramePr>
      <xfrm/>
      <a:graphic>
        <a:graphicData uri="http://schemas.openxmlformats.org/drawingml/2006/chart">
          <c:chart r:id="rId1"/>
        </a:graphicData>
      </a:graphic>
    </graphicFrame>
    <clientData/>
  </oneCellAnchor>
  <oneCellAnchor>
    <from>
      <col>3</col>
      <colOff>0</colOff>
      <row>59</row>
      <rowOff>0</rowOff>
    </from>
    <ext cx="7200000" cy="3420000"/>
    <graphicFrame>
      <nvGraphicFramePr>
        <cNvPr id="2" name="Chart 2"/>
        <cNvGraphicFramePr/>
      </nvGraphicFramePr>
      <xfrm/>
      <a:graphic>
        <a:graphicData uri="http://schemas.openxmlformats.org/drawingml/2006/chart">
          <c:chart r:id="rId2"/>
        </a:graphicData>
      </a:graphic>
    </graphicFrame>
    <clientData/>
  </oneCellAnchor>
  <oneCellAnchor>
    <from>
      <col>3</col>
      <colOff>0</colOff>
      <row>79</row>
      <rowOff>0</rowOff>
    </from>
    <ext cx="7200000" cy="2520000"/>
    <graphicFrame>
      <nvGraphicFramePr>
        <cNvPr id="3" name="Chart 3"/>
        <cNvGraphicFramePr/>
      </nvGraphicFramePr>
      <xfrm/>
      <a:graphic>
        <a:graphicData uri="http://schemas.openxmlformats.org/drawingml/2006/chart">
          <c:chart r:id="rId3"/>
        </a:graphicData>
      </a:graphic>
    </graphicFrame>
    <clientData/>
  </oneCellAnchor>
  <oneCellAnchor>
    <from>
      <col>3</col>
      <colOff>0</colOff>
      <row>95</row>
      <rowOff>0</rowOff>
    </from>
    <ext cx="7200000" cy="2577600"/>
    <graphicFrame>
      <nvGraphicFramePr>
        <cNvPr id="4" name="Chart 4"/>
        <cNvGraphicFramePr/>
      </nvGraphicFramePr>
      <xfrm/>
      <a:graphic>
        <a:graphicData uri="http://schemas.openxmlformats.org/drawingml/2006/chart">
          <c:chart r:id="rId4"/>
        </a:graphicData>
      </a:graphic>
    </graphicFrame>
    <clientData/>
  </oneCellAnchor>
  <oneCellAnchor>
    <from>
      <col>3</col>
      <colOff>0</colOff>
      <row>111</row>
      <rowOff>0</rowOff>
    </from>
    <ext cx="7200000" cy="3420000"/>
    <graphicFrame>
      <nvGraphicFramePr>
        <cNvPr id="5" name="Chart 5"/>
        <cNvGraphicFramePr/>
      </nvGraphicFramePr>
      <xfrm/>
      <a:graphic>
        <a:graphicData uri="http://schemas.openxmlformats.org/drawingml/2006/chart">
          <c:chart r:id="rId5"/>
        </a:graphicData>
      </a:graphic>
    </graphicFrame>
    <clientData/>
  </oneCellAnchor>
</wsDr>
</file>

<file path=xl/drawings/drawing17.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41</row>
      <rowOff>0</rowOff>
    </from>
    <ext cx="7200000" cy="3420000"/>
    <graphicFrame>
      <nvGraphicFramePr>
        <cNvPr id="1" name="Chart 1"/>
        <cNvGraphicFramePr/>
      </nvGraphicFramePr>
      <xfrm/>
      <a:graphic>
        <a:graphicData uri="http://schemas.openxmlformats.org/drawingml/2006/chart">
          <c:chart r:id="rId1"/>
        </a:graphicData>
      </a:graphic>
    </graphicFrame>
    <clientData/>
  </oneCellAnchor>
  <oneCellAnchor>
    <from>
      <col>3</col>
      <colOff>0</colOff>
      <row>61</row>
      <rowOff>0</rowOff>
    </from>
    <ext cx="7200000" cy="3420000"/>
    <graphicFrame>
      <nvGraphicFramePr>
        <cNvPr id="2" name="Chart 2"/>
        <cNvGraphicFramePr/>
      </nvGraphicFramePr>
      <xfrm/>
      <a:graphic>
        <a:graphicData uri="http://schemas.openxmlformats.org/drawingml/2006/chart">
          <c:chart r:id="rId2"/>
        </a:graphicData>
      </a:graphic>
    </graphicFrame>
    <clientData/>
  </oneCellAnchor>
  <oneCellAnchor>
    <from>
      <col>3</col>
      <colOff>0</colOff>
      <row>81</row>
      <rowOff>0</rowOff>
    </from>
    <ext cx="7200000" cy="2520000"/>
    <graphicFrame>
      <nvGraphicFramePr>
        <cNvPr id="3" name="Chart 3"/>
        <cNvGraphicFramePr/>
      </nvGraphicFramePr>
      <xfrm/>
      <a:graphic>
        <a:graphicData uri="http://schemas.openxmlformats.org/drawingml/2006/chart">
          <c:chart r:id="rId3"/>
        </a:graphicData>
      </a:graphic>
    </graphicFrame>
    <clientData/>
  </oneCellAnchor>
  <oneCellAnchor>
    <from>
      <col>3</col>
      <colOff>0</colOff>
      <row>97</row>
      <rowOff>0</rowOff>
    </from>
    <ext cx="7200000" cy="2520000"/>
    <graphicFrame>
      <nvGraphicFramePr>
        <cNvPr id="4" name="Chart 4"/>
        <cNvGraphicFramePr/>
      </nvGraphicFramePr>
      <xfrm/>
      <a:graphic>
        <a:graphicData uri="http://schemas.openxmlformats.org/drawingml/2006/chart">
          <c:chart r:id="rId4"/>
        </a:graphicData>
      </a:graphic>
    </graphicFrame>
    <clientData/>
  </oneCellAnchor>
  <oneCellAnchor>
    <from>
      <col>3</col>
      <colOff>0</colOff>
      <row>113</row>
      <rowOff>0</rowOff>
    </from>
    <ext cx="7200000" cy="3420000"/>
    <graphicFrame>
      <nvGraphicFramePr>
        <cNvPr id="5" name="Chart 5"/>
        <cNvGraphicFramePr/>
      </nvGraphicFramePr>
      <xfrm/>
      <a:graphic>
        <a:graphicData uri="http://schemas.openxmlformats.org/drawingml/2006/chart">
          <c:chart r:id="rId5"/>
        </a:graphicData>
      </a:graphic>
    </graphicFrame>
    <clientData/>
  </oneCellAnchor>
</wsDr>
</file>

<file path=xl/drawings/drawing18.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34</row>
      <rowOff>0</rowOff>
    </from>
    <ext cx="7200000" cy="2520000"/>
    <graphicFrame>
      <nvGraphicFramePr>
        <cNvPr id="1" name="Chart 1"/>
        <cNvGraphicFramePr/>
      </nvGraphicFramePr>
      <xfrm/>
      <a:graphic>
        <a:graphicData uri="http://schemas.openxmlformats.org/drawingml/2006/chart">
          <c:chart r:id="rId1"/>
        </a:graphicData>
      </a:graphic>
    </graphicFrame>
    <clientData/>
  </oneCellAnchor>
  <oneCellAnchor>
    <from>
      <col>3</col>
      <colOff>0</colOff>
      <row>50</row>
      <rowOff>0</rowOff>
    </from>
    <ext cx="7200000" cy="2520000"/>
    <graphicFrame>
      <nvGraphicFramePr>
        <cNvPr id="2" name="Chart 2"/>
        <cNvGraphicFramePr/>
      </nvGraphicFramePr>
      <xfrm/>
      <a:graphic>
        <a:graphicData uri="http://schemas.openxmlformats.org/drawingml/2006/chart">
          <c:chart r:id="rId2"/>
        </a:graphicData>
      </a:graphic>
    </graphicFrame>
    <clientData/>
  </oneCellAnchor>
</wsDr>
</file>

<file path=xl/drawings/drawing19.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40</row>
      <rowOff>0</rowOff>
    </from>
    <ext cx="7200000" cy="3420000"/>
    <graphicFrame>
      <nvGraphicFramePr>
        <cNvPr id="1" name="Chart 1"/>
        <cNvGraphicFramePr/>
      </nvGraphicFramePr>
      <xfrm/>
      <a:graphic>
        <a:graphicData uri="http://schemas.openxmlformats.org/drawingml/2006/chart">
          <c:chart r:id="rId1"/>
        </a:graphicData>
      </a:graphic>
    </graphicFrame>
    <clientData/>
  </oneCellAnchor>
  <oneCellAnchor>
    <from>
      <col>3</col>
      <colOff>0</colOff>
      <row>60</row>
      <rowOff>0</rowOff>
    </from>
    <ext cx="7200000" cy="3420000"/>
    <graphicFrame>
      <nvGraphicFramePr>
        <cNvPr id="2" name="Chart 2"/>
        <cNvGraphicFramePr/>
      </nvGraphicFramePr>
      <xfrm/>
      <a:graphic>
        <a:graphicData uri="http://schemas.openxmlformats.org/drawingml/2006/chart">
          <c:chart r:id="rId2"/>
        </a:graphicData>
      </a:graphic>
    </graphicFrame>
    <clientData/>
  </oneCellAnchor>
  <oneCellAnchor>
    <from>
      <col>3</col>
      <colOff>0</colOff>
      <row>80</row>
      <rowOff>0</rowOff>
    </from>
    <ext cx="7200000" cy="3024000"/>
    <graphicFrame>
      <nvGraphicFramePr>
        <cNvPr id="3" name="Chart 3"/>
        <cNvGraphicFramePr/>
      </nvGraphicFramePr>
      <xfrm/>
      <a:graphic>
        <a:graphicData uri="http://schemas.openxmlformats.org/drawingml/2006/chart">
          <c:chart r:id="rId3"/>
        </a:graphicData>
      </a:graphic>
    </graphicFrame>
    <clientData/>
  </oneCellAnchor>
  <oneCellAnchor>
    <from>
      <col>3</col>
      <colOff>0</colOff>
      <row>98</row>
      <rowOff>0</rowOff>
    </from>
    <ext cx="7200000" cy="3024000"/>
    <graphicFrame>
      <nvGraphicFramePr>
        <cNvPr id="4" name="Chart 4"/>
        <cNvGraphicFramePr/>
      </nvGraphicFramePr>
      <xfrm/>
      <a:graphic>
        <a:graphicData uri="http://schemas.openxmlformats.org/drawingml/2006/chart">
          <c:chart r:id="rId4"/>
        </a:graphicData>
      </a:graphic>
    </graphicFrame>
    <clientData/>
  </oneCellAnchor>
  <oneCellAnchor>
    <from>
      <col>3</col>
      <colOff>0</colOff>
      <row>116</row>
      <rowOff>0</rowOff>
    </from>
    <ext cx="7200000" cy="3420000"/>
    <graphicFrame>
      <nvGraphicFramePr>
        <cNvPr id="5" name="Chart 5"/>
        <cNvGraphicFramePr/>
      </nvGraphicFramePr>
      <xfrm/>
      <a:graphic>
        <a:graphicData uri="http://schemas.openxmlformats.org/drawingml/2006/chart">
          <c:chart r:id="rId5"/>
        </a:graphicData>
      </a:graphic>
    </graphicFrame>
    <clientData/>
  </oneCellAnchor>
</wsDr>
</file>

<file path=xl/drawings/drawing20.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41</row>
      <rowOff>0</rowOff>
    </from>
    <ext cx="7200000" cy="3420000"/>
    <graphicFrame>
      <nvGraphicFramePr>
        <cNvPr id="1" name="Chart 1"/>
        <cNvGraphicFramePr/>
      </nvGraphicFramePr>
      <xfrm/>
      <a:graphic>
        <a:graphicData uri="http://schemas.openxmlformats.org/drawingml/2006/chart">
          <c:chart r:id="rId1"/>
        </a:graphicData>
      </a:graphic>
    </graphicFrame>
    <clientData/>
  </oneCellAnchor>
  <oneCellAnchor>
    <from>
      <col>3</col>
      <colOff>0</colOff>
      <row>61</row>
      <rowOff>0</rowOff>
    </from>
    <ext cx="7200000" cy="3420000"/>
    <graphicFrame>
      <nvGraphicFramePr>
        <cNvPr id="2" name="Chart 2"/>
        <cNvGraphicFramePr/>
      </nvGraphicFramePr>
      <xfrm/>
      <a:graphic>
        <a:graphicData uri="http://schemas.openxmlformats.org/drawingml/2006/chart">
          <c:chart r:id="rId2"/>
        </a:graphicData>
      </a:graphic>
    </graphicFrame>
    <clientData/>
  </oneCellAnchor>
  <oneCellAnchor>
    <from>
      <col>3</col>
      <colOff>0</colOff>
      <row>81</row>
      <rowOff>0</rowOff>
    </from>
    <ext cx="7200000" cy="2520000"/>
    <graphicFrame>
      <nvGraphicFramePr>
        <cNvPr id="3" name="Chart 3"/>
        <cNvGraphicFramePr/>
      </nvGraphicFramePr>
      <xfrm/>
      <a:graphic>
        <a:graphicData uri="http://schemas.openxmlformats.org/drawingml/2006/chart">
          <c:chart r:id="rId3"/>
        </a:graphicData>
      </a:graphic>
    </graphicFrame>
    <clientData/>
  </oneCellAnchor>
  <oneCellAnchor>
    <from>
      <col>3</col>
      <colOff>0</colOff>
      <row>97</row>
      <rowOff>0</rowOff>
    </from>
    <ext cx="7200000" cy="2520000"/>
    <graphicFrame>
      <nvGraphicFramePr>
        <cNvPr id="4" name="Chart 4"/>
        <cNvGraphicFramePr/>
      </nvGraphicFramePr>
      <xfrm/>
      <a:graphic>
        <a:graphicData uri="http://schemas.openxmlformats.org/drawingml/2006/chart">
          <c:chart r:id="rId4"/>
        </a:graphicData>
      </a:graphic>
    </graphicFrame>
    <clientData/>
  </oneCellAnchor>
  <oneCellAnchor>
    <from>
      <col>3</col>
      <colOff>0</colOff>
      <row>113</row>
      <rowOff>0</rowOff>
    </from>
    <ext cx="7200000" cy="3420000"/>
    <graphicFrame>
      <nvGraphicFramePr>
        <cNvPr id="5" name="Chart 5"/>
        <cNvGraphicFramePr/>
      </nvGraphicFramePr>
      <xfrm/>
      <a:graphic>
        <a:graphicData uri="http://schemas.openxmlformats.org/drawingml/2006/chart">
          <c:chart r:id="rId5"/>
        </a:graphicData>
      </a:graphic>
    </graphicFrame>
    <clientData/>
  </oneCellAnchor>
</wsDr>
</file>

<file path=xl/drawings/drawing2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33</row>
      <rowOff>0</rowOff>
    </from>
    <ext cx="7200000" cy="2520000"/>
    <graphicFrame>
      <nvGraphicFramePr>
        <cNvPr id="1" name="Chart 1"/>
        <cNvGraphicFramePr/>
      </nvGraphicFramePr>
      <xfrm/>
      <a:graphic>
        <a:graphicData uri="http://schemas.openxmlformats.org/drawingml/2006/chart">
          <c:chart r:id="rId1"/>
        </a:graphicData>
      </a:graphic>
    </graphicFrame>
    <clientData/>
  </oneCellAnchor>
  <oneCellAnchor>
    <from>
      <col>3</col>
      <colOff>0</colOff>
      <row>49</row>
      <rowOff>0</rowOff>
    </from>
    <ext cx="7200000" cy="2520000"/>
    <graphicFrame>
      <nvGraphicFramePr>
        <cNvPr id="2" name="Chart 2"/>
        <cNvGraphicFramePr/>
      </nvGraphicFramePr>
      <xfrm/>
      <a:graphic>
        <a:graphicData uri="http://schemas.openxmlformats.org/drawingml/2006/chart">
          <c:chart r:id="rId2"/>
        </a:graphicData>
      </a:graphic>
    </graphicFrame>
    <clientData/>
  </oneCellAnchor>
</wsDr>
</file>

<file path=xl/drawings/drawing2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40</row>
      <rowOff>0</rowOff>
    </from>
    <ext cx="7200000" cy="3420000"/>
    <graphicFrame>
      <nvGraphicFramePr>
        <cNvPr id="1" name="Chart 1"/>
        <cNvGraphicFramePr/>
      </nvGraphicFramePr>
      <xfrm/>
      <a:graphic>
        <a:graphicData uri="http://schemas.openxmlformats.org/drawingml/2006/chart">
          <c:chart r:id="rId1"/>
        </a:graphicData>
      </a:graphic>
    </graphicFrame>
    <clientData/>
  </oneCellAnchor>
  <oneCellAnchor>
    <from>
      <col>3</col>
      <colOff>0</colOff>
      <row>60</row>
      <rowOff>0</rowOff>
    </from>
    <ext cx="7200000" cy="3420000"/>
    <graphicFrame>
      <nvGraphicFramePr>
        <cNvPr id="2" name="Chart 2"/>
        <cNvGraphicFramePr/>
      </nvGraphicFramePr>
      <xfrm/>
      <a:graphic>
        <a:graphicData uri="http://schemas.openxmlformats.org/drawingml/2006/chart">
          <c:chart r:id="rId2"/>
        </a:graphicData>
      </a:graphic>
    </graphicFrame>
    <clientData/>
  </oneCellAnchor>
  <oneCellAnchor>
    <from>
      <col>3</col>
      <colOff>0</colOff>
      <row>80</row>
      <rowOff>0</rowOff>
    </from>
    <ext cx="7200000" cy="2520000"/>
    <graphicFrame>
      <nvGraphicFramePr>
        <cNvPr id="3" name="Chart 3"/>
        <cNvGraphicFramePr/>
      </nvGraphicFramePr>
      <xfrm/>
      <a:graphic>
        <a:graphicData uri="http://schemas.openxmlformats.org/drawingml/2006/chart">
          <c:chart r:id="rId3"/>
        </a:graphicData>
      </a:graphic>
    </graphicFrame>
    <clientData/>
  </oneCellAnchor>
  <oneCellAnchor>
    <from>
      <col>3</col>
      <colOff>0</colOff>
      <row>96</row>
      <rowOff>0</rowOff>
    </from>
    <ext cx="7200000" cy="2520000"/>
    <graphicFrame>
      <nvGraphicFramePr>
        <cNvPr id="4" name="Chart 4"/>
        <cNvGraphicFramePr/>
      </nvGraphicFramePr>
      <xfrm/>
      <a:graphic>
        <a:graphicData uri="http://schemas.openxmlformats.org/drawingml/2006/chart">
          <c:chart r:id="rId4"/>
        </a:graphicData>
      </a:graphic>
    </graphicFrame>
    <clientData/>
  </oneCellAnchor>
  <oneCellAnchor>
    <from>
      <col>3</col>
      <colOff>0</colOff>
      <row>112</row>
      <rowOff>0</rowOff>
    </from>
    <ext cx="7200000" cy="3420000"/>
    <graphicFrame>
      <nvGraphicFramePr>
        <cNvPr id="5" name="Chart 5"/>
        <cNvGraphicFramePr/>
      </nvGraphicFramePr>
      <xfrm/>
      <a:graphic>
        <a:graphicData uri="http://schemas.openxmlformats.org/drawingml/2006/chart">
          <c:chart r:id="rId5"/>
        </a:graphicData>
      </a:graphic>
    </graphicFrame>
    <clientData/>
  </oneCellAnchor>
</wsDr>
</file>

<file path=xl/drawings/drawing23.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38</row>
      <rowOff>0</rowOff>
    </from>
    <ext cx="7200000" cy="3420000"/>
    <graphicFrame>
      <nvGraphicFramePr>
        <cNvPr id="1" name="Chart 1"/>
        <cNvGraphicFramePr/>
      </nvGraphicFramePr>
      <xfrm/>
      <a:graphic>
        <a:graphicData uri="http://schemas.openxmlformats.org/drawingml/2006/chart">
          <c:chart r:id="rId1"/>
        </a:graphicData>
      </a:graphic>
    </graphicFrame>
    <clientData/>
  </oneCellAnchor>
  <oneCellAnchor>
    <from>
      <col>3</col>
      <colOff>0</colOff>
      <row>58</row>
      <rowOff>0</rowOff>
    </from>
    <ext cx="7200000" cy="3420000"/>
    <graphicFrame>
      <nvGraphicFramePr>
        <cNvPr id="2" name="Chart 2"/>
        <cNvGraphicFramePr/>
      </nvGraphicFramePr>
      <xfrm/>
      <a:graphic>
        <a:graphicData uri="http://schemas.openxmlformats.org/drawingml/2006/chart">
          <c:chart r:id="rId2"/>
        </a:graphicData>
      </a:graphic>
    </graphicFrame>
    <clientData/>
  </oneCellAnchor>
  <oneCellAnchor>
    <from>
      <col>3</col>
      <colOff>0</colOff>
      <row>78</row>
      <rowOff>0</rowOff>
    </from>
    <ext cx="7200000" cy="2520000"/>
    <graphicFrame>
      <nvGraphicFramePr>
        <cNvPr id="3" name="Chart 3"/>
        <cNvGraphicFramePr/>
      </nvGraphicFramePr>
      <xfrm/>
      <a:graphic>
        <a:graphicData uri="http://schemas.openxmlformats.org/drawingml/2006/chart">
          <c:chart r:id="rId3"/>
        </a:graphicData>
      </a:graphic>
    </graphicFrame>
    <clientData/>
  </oneCellAnchor>
  <oneCellAnchor>
    <from>
      <col>3</col>
      <colOff>0</colOff>
      <row>94</row>
      <rowOff>0</rowOff>
    </from>
    <ext cx="7200000" cy="2520000"/>
    <graphicFrame>
      <nvGraphicFramePr>
        <cNvPr id="4" name="Chart 4"/>
        <cNvGraphicFramePr/>
      </nvGraphicFramePr>
      <xfrm/>
      <a:graphic>
        <a:graphicData uri="http://schemas.openxmlformats.org/drawingml/2006/chart">
          <c:chart r:id="rId4"/>
        </a:graphicData>
      </a:graphic>
    </graphicFrame>
    <clientData/>
  </oneCellAnchor>
  <oneCellAnchor>
    <from>
      <col>3</col>
      <colOff>0</colOff>
      <row>110</row>
      <rowOff>0</rowOff>
    </from>
    <ext cx="7200000" cy="3420000"/>
    <graphicFrame>
      <nvGraphicFramePr>
        <cNvPr id="5" name="Chart 5"/>
        <cNvGraphicFramePr/>
      </nvGraphicFramePr>
      <xfrm/>
      <a:graphic>
        <a:graphicData uri="http://schemas.openxmlformats.org/drawingml/2006/chart">
          <c:chart r:id="rId5"/>
        </a:graphicData>
      </a:graphic>
    </graphicFrame>
    <clientData/>
  </oneCellAnchor>
</wsDr>
</file>

<file path=xl/drawings/drawing24.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42</row>
      <rowOff>0</rowOff>
    </from>
    <ext cx="7200000" cy="3420000"/>
    <graphicFrame>
      <nvGraphicFramePr>
        <cNvPr id="1" name="Chart 1"/>
        <cNvGraphicFramePr/>
      </nvGraphicFramePr>
      <xfrm/>
      <a:graphic>
        <a:graphicData uri="http://schemas.openxmlformats.org/drawingml/2006/chart">
          <c:chart r:id="rId1"/>
        </a:graphicData>
      </a:graphic>
    </graphicFrame>
    <clientData/>
  </oneCellAnchor>
  <oneCellAnchor>
    <from>
      <col>3</col>
      <colOff>0</colOff>
      <row>62</row>
      <rowOff>0</rowOff>
    </from>
    <ext cx="7200000" cy="3420000"/>
    <graphicFrame>
      <nvGraphicFramePr>
        <cNvPr id="2" name="Chart 2"/>
        <cNvGraphicFramePr/>
      </nvGraphicFramePr>
      <xfrm/>
      <a:graphic>
        <a:graphicData uri="http://schemas.openxmlformats.org/drawingml/2006/chart">
          <c:chart r:id="rId2"/>
        </a:graphicData>
      </a:graphic>
    </graphicFrame>
    <clientData/>
  </oneCellAnchor>
  <oneCellAnchor>
    <from>
      <col>3</col>
      <colOff>0</colOff>
      <row>82</row>
      <rowOff>0</rowOff>
    </from>
    <ext cx="7200000" cy="3024000"/>
    <graphicFrame>
      <nvGraphicFramePr>
        <cNvPr id="3" name="Chart 3"/>
        <cNvGraphicFramePr/>
      </nvGraphicFramePr>
      <xfrm/>
      <a:graphic>
        <a:graphicData uri="http://schemas.openxmlformats.org/drawingml/2006/chart">
          <c:chart r:id="rId3"/>
        </a:graphicData>
      </a:graphic>
    </graphicFrame>
    <clientData/>
  </oneCellAnchor>
  <oneCellAnchor>
    <from>
      <col>3</col>
      <colOff>0</colOff>
      <row>100</row>
      <rowOff>0</rowOff>
    </from>
    <ext cx="7200000" cy="2520000"/>
    <graphicFrame>
      <nvGraphicFramePr>
        <cNvPr id="4" name="Chart 4"/>
        <cNvGraphicFramePr/>
      </nvGraphicFramePr>
      <xfrm/>
      <a:graphic>
        <a:graphicData uri="http://schemas.openxmlformats.org/drawingml/2006/chart">
          <c:chart r:id="rId4"/>
        </a:graphicData>
      </a:graphic>
    </graphicFrame>
    <clientData/>
  </oneCellAnchor>
  <oneCellAnchor>
    <from>
      <col>3</col>
      <colOff>0</colOff>
      <row>116</row>
      <rowOff>0</rowOff>
    </from>
    <ext cx="7200000" cy="3420000"/>
    <graphicFrame>
      <nvGraphicFramePr>
        <cNvPr id="5" name="Chart 5"/>
        <cNvGraphicFramePr/>
      </nvGraphicFramePr>
      <xfrm/>
      <a:graphic>
        <a:graphicData uri="http://schemas.openxmlformats.org/drawingml/2006/chart">
          <c:chart r:id="rId5"/>
        </a:graphicData>
      </a:graphic>
    </graphicFrame>
    <clientData/>
  </oneCellAnchor>
</wsDr>
</file>

<file path=xl/drawings/drawing25.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41</row>
      <rowOff>0</rowOff>
    </from>
    <ext cx="7200000" cy="3420000"/>
    <graphicFrame>
      <nvGraphicFramePr>
        <cNvPr id="1" name="Chart 1"/>
        <cNvGraphicFramePr/>
      </nvGraphicFramePr>
      <xfrm/>
      <a:graphic>
        <a:graphicData uri="http://schemas.openxmlformats.org/drawingml/2006/chart">
          <c:chart r:id="rId1"/>
        </a:graphicData>
      </a:graphic>
    </graphicFrame>
    <clientData/>
  </oneCellAnchor>
  <oneCellAnchor>
    <from>
      <col>3</col>
      <colOff>0</colOff>
      <row>61</row>
      <rowOff>0</rowOff>
    </from>
    <ext cx="7200000" cy="3420000"/>
    <graphicFrame>
      <nvGraphicFramePr>
        <cNvPr id="2" name="Chart 2"/>
        <cNvGraphicFramePr/>
      </nvGraphicFramePr>
      <xfrm/>
      <a:graphic>
        <a:graphicData uri="http://schemas.openxmlformats.org/drawingml/2006/chart">
          <c:chart r:id="rId2"/>
        </a:graphicData>
      </a:graphic>
    </graphicFrame>
    <clientData/>
  </oneCellAnchor>
  <oneCellAnchor>
    <from>
      <col>3</col>
      <colOff>0</colOff>
      <row>81</row>
      <rowOff>0</rowOff>
    </from>
    <ext cx="7200000" cy="3024000"/>
    <graphicFrame>
      <nvGraphicFramePr>
        <cNvPr id="3" name="Chart 3"/>
        <cNvGraphicFramePr/>
      </nvGraphicFramePr>
      <xfrm/>
      <a:graphic>
        <a:graphicData uri="http://schemas.openxmlformats.org/drawingml/2006/chart">
          <c:chart r:id="rId3"/>
        </a:graphicData>
      </a:graphic>
    </graphicFrame>
    <clientData/>
  </oneCellAnchor>
  <oneCellAnchor>
    <from>
      <col>3</col>
      <colOff>0</colOff>
      <row>99</row>
      <rowOff>0</rowOff>
    </from>
    <ext cx="7200000" cy="3024000"/>
    <graphicFrame>
      <nvGraphicFramePr>
        <cNvPr id="4" name="Chart 4"/>
        <cNvGraphicFramePr/>
      </nvGraphicFramePr>
      <xfrm/>
      <a:graphic>
        <a:graphicData uri="http://schemas.openxmlformats.org/drawingml/2006/chart">
          <c:chart r:id="rId4"/>
        </a:graphicData>
      </a:graphic>
    </graphicFrame>
    <clientData/>
  </oneCellAnchor>
  <oneCellAnchor>
    <from>
      <col>3</col>
      <colOff>0</colOff>
      <row>117</row>
      <rowOff>0</rowOff>
    </from>
    <ext cx="7200000" cy="3420000"/>
    <graphicFrame>
      <nvGraphicFramePr>
        <cNvPr id="5" name="Chart 5"/>
        <cNvGraphicFramePr/>
      </nvGraphicFramePr>
      <xfrm/>
      <a:graphic>
        <a:graphicData uri="http://schemas.openxmlformats.org/drawingml/2006/chart">
          <c:chart r:id="rId5"/>
        </a:graphicData>
      </a:graphic>
    </graphicFrame>
    <clientData/>
  </oneCellAnchor>
</wsDr>
</file>

<file path=xl/drawings/drawing26.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34</row>
      <rowOff>0</rowOff>
    </from>
    <ext cx="7200000" cy="2520000"/>
    <graphicFrame>
      <nvGraphicFramePr>
        <cNvPr id="1" name="Chart 1"/>
        <cNvGraphicFramePr/>
      </nvGraphicFramePr>
      <xfrm/>
      <a:graphic>
        <a:graphicData uri="http://schemas.openxmlformats.org/drawingml/2006/chart">
          <c:chart r:id="rId1"/>
        </a:graphicData>
      </a:graphic>
    </graphicFrame>
    <clientData/>
  </oneCellAnchor>
  <oneCellAnchor>
    <from>
      <col>3</col>
      <colOff>0</colOff>
      <row>50</row>
      <rowOff>0</rowOff>
    </from>
    <ext cx="7200000" cy="2520000"/>
    <graphicFrame>
      <nvGraphicFramePr>
        <cNvPr id="2" name="Chart 2"/>
        <cNvGraphicFramePr/>
      </nvGraphicFramePr>
      <xfrm/>
      <a:graphic>
        <a:graphicData uri="http://schemas.openxmlformats.org/drawingml/2006/chart">
          <c:chart r:id="rId2"/>
        </a:graphicData>
      </a:graphic>
    </graphicFrame>
    <clientData/>
  </oneCellAnchor>
</wsDr>
</file>

<file path=xl/drawings/drawing27.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37</row>
      <rowOff>0</rowOff>
    </from>
    <ext cx="7200000" cy="3420000"/>
    <graphicFrame>
      <nvGraphicFramePr>
        <cNvPr id="1" name="Chart 1"/>
        <cNvGraphicFramePr/>
      </nvGraphicFramePr>
      <xfrm/>
      <a:graphic>
        <a:graphicData uri="http://schemas.openxmlformats.org/drawingml/2006/chart">
          <c:chart r:id="rId1"/>
        </a:graphicData>
      </a:graphic>
    </graphicFrame>
    <clientData/>
  </oneCellAnchor>
  <oneCellAnchor>
    <from>
      <col>3</col>
      <colOff>0</colOff>
      <row>57</row>
      <rowOff>0</rowOff>
    </from>
    <ext cx="7200000" cy="2520000"/>
    <graphicFrame>
      <nvGraphicFramePr>
        <cNvPr id="2" name="Chart 2"/>
        <cNvGraphicFramePr/>
      </nvGraphicFramePr>
      <xfrm/>
      <a:graphic>
        <a:graphicData uri="http://schemas.openxmlformats.org/drawingml/2006/chart">
          <c:chart r:id="rId2"/>
        </a:graphicData>
      </a:graphic>
    </graphicFrame>
    <clientData/>
  </oneCellAnchor>
  <oneCellAnchor>
    <from>
      <col>3</col>
      <colOff>0</colOff>
      <row>73</row>
      <rowOff>0</rowOff>
    </from>
    <ext cx="7200000" cy="2520000"/>
    <graphicFrame>
      <nvGraphicFramePr>
        <cNvPr id="3" name="Chart 3"/>
        <cNvGraphicFramePr/>
      </nvGraphicFramePr>
      <xfrm/>
      <a:graphic>
        <a:graphicData uri="http://schemas.openxmlformats.org/drawingml/2006/chart">
          <c:chart r:id="rId3"/>
        </a:graphicData>
      </a:graphic>
    </graphicFrame>
    <clientData/>
  </oneCellAnchor>
  <oneCellAnchor>
    <from>
      <col>3</col>
      <colOff>0</colOff>
      <row>89</row>
      <rowOff>0</rowOff>
    </from>
    <ext cx="7200000" cy="3420000"/>
    <graphicFrame>
      <nvGraphicFramePr>
        <cNvPr id="4" name="Chart 4"/>
        <cNvGraphicFramePr/>
      </nvGraphicFramePr>
      <xfrm/>
      <a:graphic>
        <a:graphicData uri="http://schemas.openxmlformats.org/drawingml/2006/chart">
          <c:chart r:id="rId4"/>
        </a:graphicData>
      </a:graphic>
    </graphicFrame>
    <clientData/>
  </oneCellAnchor>
</wsDr>
</file>

<file path=xl/drawings/drawing28.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39</row>
      <rowOff>0</rowOff>
    </from>
    <ext cx="7200000" cy="3420000"/>
    <graphicFrame>
      <nvGraphicFramePr>
        <cNvPr id="1" name="Chart 1"/>
        <cNvGraphicFramePr/>
      </nvGraphicFramePr>
      <xfrm/>
      <a:graphic>
        <a:graphicData uri="http://schemas.openxmlformats.org/drawingml/2006/chart">
          <c:chart r:id="rId1"/>
        </a:graphicData>
      </a:graphic>
    </graphicFrame>
    <clientData/>
  </oneCellAnchor>
  <oneCellAnchor>
    <from>
      <col>3</col>
      <colOff>0</colOff>
      <row>59</row>
      <rowOff>0</rowOff>
    </from>
    <ext cx="7200000" cy="3420000"/>
    <graphicFrame>
      <nvGraphicFramePr>
        <cNvPr id="2" name="Chart 2"/>
        <cNvGraphicFramePr/>
      </nvGraphicFramePr>
      <xfrm/>
      <a:graphic>
        <a:graphicData uri="http://schemas.openxmlformats.org/drawingml/2006/chart">
          <c:chart r:id="rId2"/>
        </a:graphicData>
      </a:graphic>
    </graphicFrame>
    <clientData/>
  </oneCellAnchor>
  <oneCellAnchor>
    <from>
      <col>3</col>
      <colOff>0</colOff>
      <row>79</row>
      <rowOff>0</rowOff>
    </from>
    <ext cx="7200000" cy="3024000"/>
    <graphicFrame>
      <nvGraphicFramePr>
        <cNvPr id="3" name="Chart 3"/>
        <cNvGraphicFramePr/>
      </nvGraphicFramePr>
      <xfrm/>
      <a:graphic>
        <a:graphicData uri="http://schemas.openxmlformats.org/drawingml/2006/chart">
          <c:chart r:id="rId3"/>
        </a:graphicData>
      </a:graphic>
    </graphicFrame>
    <clientData/>
  </oneCellAnchor>
  <oneCellAnchor>
    <from>
      <col>3</col>
      <colOff>0</colOff>
      <row>97</row>
      <rowOff>0</rowOff>
    </from>
    <ext cx="7200000" cy="3024000"/>
    <graphicFrame>
      <nvGraphicFramePr>
        <cNvPr id="4" name="Chart 4"/>
        <cNvGraphicFramePr/>
      </nvGraphicFramePr>
      <xfrm/>
      <a:graphic>
        <a:graphicData uri="http://schemas.openxmlformats.org/drawingml/2006/chart">
          <c:chart r:id="rId4"/>
        </a:graphicData>
      </a:graphic>
    </graphicFrame>
    <clientData/>
  </oneCellAnchor>
  <oneCellAnchor>
    <from>
      <col>3</col>
      <colOff>0</colOff>
      <row>115</row>
      <rowOff>0</rowOff>
    </from>
    <ext cx="7200000" cy="3420000"/>
    <graphicFrame>
      <nvGraphicFramePr>
        <cNvPr id="5" name="Chart 5"/>
        <cNvGraphicFramePr/>
      </nvGraphicFramePr>
      <xfrm/>
      <a:graphic>
        <a:graphicData uri="http://schemas.openxmlformats.org/drawingml/2006/chart">
          <c:chart r:id="rId5"/>
        </a:graphicData>
      </a:graphic>
    </graphicFrame>
    <clientData/>
  </oneCellAnchor>
</wsDr>
</file>

<file path=xl/drawings/drawing29.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41</row>
      <rowOff>0</rowOff>
    </from>
    <ext cx="7200000" cy="3420000"/>
    <graphicFrame>
      <nvGraphicFramePr>
        <cNvPr id="1" name="Chart 1"/>
        <cNvGraphicFramePr/>
      </nvGraphicFramePr>
      <xfrm/>
      <a:graphic>
        <a:graphicData uri="http://schemas.openxmlformats.org/drawingml/2006/chart">
          <c:chart r:id="rId1"/>
        </a:graphicData>
      </a:graphic>
    </graphicFrame>
    <clientData/>
  </oneCellAnchor>
  <oneCellAnchor>
    <from>
      <col>3</col>
      <colOff>0</colOff>
      <row>61</row>
      <rowOff>0</rowOff>
    </from>
    <ext cx="7200000" cy="3420000"/>
    <graphicFrame>
      <nvGraphicFramePr>
        <cNvPr id="2" name="Chart 2"/>
        <cNvGraphicFramePr/>
      </nvGraphicFramePr>
      <xfrm/>
      <a:graphic>
        <a:graphicData uri="http://schemas.openxmlformats.org/drawingml/2006/chart">
          <c:chart r:id="rId2"/>
        </a:graphicData>
      </a:graphic>
    </graphicFrame>
    <clientData/>
  </oneCellAnchor>
  <oneCellAnchor>
    <from>
      <col>3</col>
      <colOff>0</colOff>
      <row>81</row>
      <rowOff>0</rowOff>
    </from>
    <ext cx="7200000" cy="2577600"/>
    <graphicFrame>
      <nvGraphicFramePr>
        <cNvPr id="3" name="Chart 3"/>
        <cNvGraphicFramePr/>
      </nvGraphicFramePr>
      <xfrm/>
      <a:graphic>
        <a:graphicData uri="http://schemas.openxmlformats.org/drawingml/2006/chart">
          <c:chart r:id="rId3"/>
        </a:graphicData>
      </a:graphic>
    </graphicFrame>
    <clientData/>
  </oneCellAnchor>
  <oneCellAnchor>
    <from>
      <col>3</col>
      <colOff>0</colOff>
      <row>97</row>
      <rowOff>0</rowOff>
    </from>
    <ext cx="7200000" cy="2520000"/>
    <graphicFrame>
      <nvGraphicFramePr>
        <cNvPr id="4" name="Chart 4"/>
        <cNvGraphicFramePr/>
      </nvGraphicFramePr>
      <xfrm/>
      <a:graphic>
        <a:graphicData uri="http://schemas.openxmlformats.org/drawingml/2006/chart">
          <c:chart r:id="rId4"/>
        </a:graphicData>
      </a:graphic>
    </graphicFrame>
    <clientData/>
  </oneCellAnchor>
  <oneCellAnchor>
    <from>
      <col>3</col>
      <colOff>0</colOff>
      <row>113</row>
      <rowOff>0</rowOff>
    </from>
    <ext cx="7200000" cy="3420000"/>
    <graphicFrame>
      <nvGraphicFramePr>
        <cNvPr id="5" name="Chart 5"/>
        <cNvGraphicFramePr/>
      </nvGraphicFramePr>
      <xfrm/>
      <a:graphic>
        <a:graphicData uri="http://schemas.openxmlformats.org/drawingml/2006/chart">
          <c:chart r:id="rId5"/>
        </a:graphicData>
      </a:graphic>
    </graphicFrame>
    <clientData/>
  </oneCellAnchor>
</wsDr>
</file>

<file path=xl/drawings/drawing30.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34</row>
      <rowOff>0</rowOff>
    </from>
    <ext cx="7200000" cy="3420000"/>
    <graphicFrame>
      <nvGraphicFramePr>
        <cNvPr id="1" name="Chart 1"/>
        <cNvGraphicFramePr/>
      </nvGraphicFramePr>
      <xfrm/>
      <a:graphic>
        <a:graphicData uri="http://schemas.openxmlformats.org/drawingml/2006/chart">
          <c:chart r:id="rId1"/>
        </a:graphicData>
      </a:graphic>
    </graphicFrame>
    <clientData/>
  </oneCellAnchor>
  <oneCellAnchor>
    <from>
      <col>3</col>
      <colOff>0</colOff>
      <row>54</row>
      <rowOff>0</rowOff>
    </from>
    <ext cx="7200000" cy="2520000"/>
    <graphicFrame>
      <nvGraphicFramePr>
        <cNvPr id="2" name="Chart 2"/>
        <cNvGraphicFramePr/>
      </nvGraphicFramePr>
      <xfrm/>
      <a:graphic>
        <a:graphicData uri="http://schemas.openxmlformats.org/drawingml/2006/chart">
          <c:chart r:id="rId2"/>
        </a:graphicData>
      </a:graphic>
    </graphicFrame>
    <clientData/>
  </oneCellAnchor>
  <oneCellAnchor>
    <from>
      <col>3</col>
      <colOff>0</colOff>
      <row>70</row>
      <rowOff>0</rowOff>
    </from>
    <ext cx="7200000" cy="2520000"/>
    <graphicFrame>
      <nvGraphicFramePr>
        <cNvPr id="3" name="Chart 3"/>
        <cNvGraphicFramePr/>
      </nvGraphicFramePr>
      <xfrm/>
      <a:graphic>
        <a:graphicData uri="http://schemas.openxmlformats.org/drawingml/2006/chart">
          <c:chart r:id="rId3"/>
        </a:graphicData>
      </a:graphic>
    </graphicFrame>
    <clientData/>
  </oneCellAnchor>
</wsDr>
</file>

<file path=xl/drawings/drawing3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34</row>
      <rowOff>0</rowOff>
    </from>
    <ext cx="7200000" cy="3420000"/>
    <graphicFrame>
      <nvGraphicFramePr>
        <cNvPr id="1" name="Chart 1"/>
        <cNvGraphicFramePr/>
      </nvGraphicFramePr>
      <xfrm/>
      <a:graphic>
        <a:graphicData uri="http://schemas.openxmlformats.org/drawingml/2006/chart">
          <c:chart r:id="rId1"/>
        </a:graphicData>
      </a:graphic>
    </graphicFrame>
    <clientData/>
  </oneCellAnchor>
  <oneCellAnchor>
    <from>
      <col>3</col>
      <colOff>0</colOff>
      <row>54</row>
      <rowOff>0</rowOff>
    </from>
    <ext cx="7200000" cy="2520000"/>
    <graphicFrame>
      <nvGraphicFramePr>
        <cNvPr id="2" name="Chart 2"/>
        <cNvGraphicFramePr/>
      </nvGraphicFramePr>
      <xfrm/>
      <a:graphic>
        <a:graphicData uri="http://schemas.openxmlformats.org/drawingml/2006/chart">
          <c:chart r:id="rId2"/>
        </a:graphicData>
      </a:graphic>
    </graphicFrame>
    <clientData/>
  </oneCellAnchor>
  <oneCellAnchor>
    <from>
      <col>3</col>
      <colOff>0</colOff>
      <row>70</row>
      <rowOff>0</rowOff>
    </from>
    <ext cx="7200000" cy="2520000"/>
    <graphicFrame>
      <nvGraphicFramePr>
        <cNvPr id="3" name="Chart 3"/>
        <cNvGraphicFramePr/>
      </nvGraphicFramePr>
      <xfrm/>
      <a:graphic>
        <a:graphicData uri="http://schemas.openxmlformats.org/drawingml/2006/chart">
          <c:chart r:id="rId3"/>
        </a:graphicData>
      </a:graphic>
    </graphicFrame>
    <clientData/>
  </oneCellAnchor>
</wsDr>
</file>

<file path=xl/drawings/drawing3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39</row>
      <rowOff>0</rowOff>
    </from>
    <ext cx="7200000" cy="3420000"/>
    <graphicFrame>
      <nvGraphicFramePr>
        <cNvPr id="1" name="Chart 1"/>
        <cNvGraphicFramePr/>
      </nvGraphicFramePr>
      <xfrm/>
      <a:graphic>
        <a:graphicData uri="http://schemas.openxmlformats.org/drawingml/2006/chart">
          <c:chart r:id="rId1"/>
        </a:graphicData>
      </a:graphic>
    </graphicFrame>
    <clientData/>
  </oneCellAnchor>
  <oneCellAnchor>
    <from>
      <col>3</col>
      <colOff>0</colOff>
      <row>59</row>
      <rowOff>0</rowOff>
    </from>
    <ext cx="7200000" cy="3420000"/>
    <graphicFrame>
      <nvGraphicFramePr>
        <cNvPr id="2" name="Chart 2"/>
        <cNvGraphicFramePr/>
      </nvGraphicFramePr>
      <xfrm/>
      <a:graphic>
        <a:graphicData uri="http://schemas.openxmlformats.org/drawingml/2006/chart">
          <c:chart r:id="rId2"/>
        </a:graphicData>
      </a:graphic>
    </graphicFrame>
    <clientData/>
  </oneCellAnchor>
  <oneCellAnchor>
    <from>
      <col>3</col>
      <colOff>0</colOff>
      <row>79</row>
      <rowOff>0</rowOff>
    </from>
    <ext cx="7200000" cy="3024000"/>
    <graphicFrame>
      <nvGraphicFramePr>
        <cNvPr id="3" name="Chart 3"/>
        <cNvGraphicFramePr/>
      </nvGraphicFramePr>
      <xfrm/>
      <a:graphic>
        <a:graphicData uri="http://schemas.openxmlformats.org/drawingml/2006/chart">
          <c:chart r:id="rId3"/>
        </a:graphicData>
      </a:graphic>
    </graphicFrame>
    <clientData/>
  </oneCellAnchor>
  <oneCellAnchor>
    <from>
      <col>3</col>
      <colOff>0</colOff>
      <row>97</row>
      <rowOff>0</rowOff>
    </from>
    <ext cx="7200000" cy="3024000"/>
    <graphicFrame>
      <nvGraphicFramePr>
        <cNvPr id="4" name="Chart 4"/>
        <cNvGraphicFramePr/>
      </nvGraphicFramePr>
      <xfrm/>
      <a:graphic>
        <a:graphicData uri="http://schemas.openxmlformats.org/drawingml/2006/chart">
          <c:chart r:id="rId4"/>
        </a:graphicData>
      </a:graphic>
    </graphicFrame>
    <clientData/>
  </oneCellAnchor>
</wsDr>
</file>

<file path=xl/drawings/drawing33.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37</row>
      <rowOff>0</rowOff>
    </from>
    <ext cx="7200000" cy="3420000"/>
    <graphicFrame>
      <nvGraphicFramePr>
        <cNvPr id="1" name="Chart 1"/>
        <cNvGraphicFramePr/>
      </nvGraphicFramePr>
      <xfrm/>
      <a:graphic>
        <a:graphicData uri="http://schemas.openxmlformats.org/drawingml/2006/chart">
          <c:chart r:id="rId1"/>
        </a:graphicData>
      </a:graphic>
    </graphicFrame>
    <clientData/>
  </oneCellAnchor>
  <oneCellAnchor>
    <from>
      <col>3</col>
      <colOff>0</colOff>
      <row>57</row>
      <rowOff>0</rowOff>
    </from>
    <ext cx="7200000" cy="3420000"/>
    <graphicFrame>
      <nvGraphicFramePr>
        <cNvPr id="2" name="Chart 2"/>
        <cNvGraphicFramePr/>
      </nvGraphicFramePr>
      <xfrm/>
      <a:graphic>
        <a:graphicData uri="http://schemas.openxmlformats.org/drawingml/2006/chart">
          <c:chart r:id="rId2"/>
        </a:graphicData>
      </a:graphic>
    </graphicFrame>
    <clientData/>
  </oneCellAnchor>
  <oneCellAnchor>
    <from>
      <col>3</col>
      <colOff>0</colOff>
      <row>77</row>
      <rowOff>0</rowOff>
    </from>
    <ext cx="7200000" cy="2520000"/>
    <graphicFrame>
      <nvGraphicFramePr>
        <cNvPr id="3" name="Chart 3"/>
        <cNvGraphicFramePr/>
      </nvGraphicFramePr>
      <xfrm/>
      <a:graphic>
        <a:graphicData uri="http://schemas.openxmlformats.org/drawingml/2006/chart">
          <c:chart r:id="rId3"/>
        </a:graphicData>
      </a:graphic>
    </graphicFrame>
    <clientData/>
  </oneCellAnchor>
  <oneCellAnchor>
    <from>
      <col>3</col>
      <colOff>0</colOff>
      <row>93</row>
      <rowOff>0</rowOff>
    </from>
    <ext cx="7200000" cy="2800800"/>
    <graphicFrame>
      <nvGraphicFramePr>
        <cNvPr id="4" name="Chart 4"/>
        <cNvGraphicFramePr/>
      </nvGraphicFramePr>
      <xfrm/>
      <a:graphic>
        <a:graphicData uri="http://schemas.openxmlformats.org/drawingml/2006/chart">
          <c:chart r:id="rId4"/>
        </a:graphicData>
      </a:graphic>
    </graphicFrame>
    <clientData/>
  </oneCellAnchor>
  <oneCellAnchor>
    <from>
      <col>3</col>
      <colOff>0</colOff>
      <row>110</row>
      <rowOff>0</rowOff>
    </from>
    <ext cx="7200000" cy="3420000"/>
    <graphicFrame>
      <nvGraphicFramePr>
        <cNvPr id="5" name="Chart 5"/>
        <cNvGraphicFramePr/>
      </nvGraphicFramePr>
      <xfrm/>
      <a:graphic>
        <a:graphicData uri="http://schemas.openxmlformats.org/drawingml/2006/chart">
          <c:chart r:id="rId5"/>
        </a:graphicData>
      </a:graphic>
    </graphicFrame>
    <clientData/>
  </oneCellAnchor>
</wsDr>
</file>

<file path=xl/drawings/drawing34.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38</row>
      <rowOff>0</rowOff>
    </from>
    <ext cx="7200000" cy="3420000"/>
    <graphicFrame>
      <nvGraphicFramePr>
        <cNvPr id="1" name="Chart 1"/>
        <cNvGraphicFramePr/>
      </nvGraphicFramePr>
      <xfrm/>
      <a:graphic>
        <a:graphicData uri="http://schemas.openxmlformats.org/drawingml/2006/chart">
          <c:chart r:id="rId1"/>
        </a:graphicData>
      </a:graphic>
    </graphicFrame>
    <clientData/>
  </oneCellAnchor>
  <oneCellAnchor>
    <from>
      <col>3</col>
      <colOff>0</colOff>
      <row>58</row>
      <rowOff>0</rowOff>
    </from>
    <ext cx="7200000" cy="2520000"/>
    <graphicFrame>
      <nvGraphicFramePr>
        <cNvPr id="2" name="Chart 2"/>
        <cNvGraphicFramePr/>
      </nvGraphicFramePr>
      <xfrm/>
      <a:graphic>
        <a:graphicData uri="http://schemas.openxmlformats.org/drawingml/2006/chart">
          <c:chart r:id="rId2"/>
        </a:graphicData>
      </a:graphic>
    </graphicFrame>
    <clientData/>
  </oneCellAnchor>
  <oneCellAnchor>
    <from>
      <col>3</col>
      <colOff>0</colOff>
      <row>74</row>
      <rowOff>0</rowOff>
    </from>
    <ext cx="7200000" cy="2520000"/>
    <graphicFrame>
      <nvGraphicFramePr>
        <cNvPr id="3" name="Chart 3"/>
        <cNvGraphicFramePr/>
      </nvGraphicFramePr>
      <xfrm/>
      <a:graphic>
        <a:graphicData uri="http://schemas.openxmlformats.org/drawingml/2006/chart">
          <c:chart r:id="rId3"/>
        </a:graphicData>
      </a:graphic>
    </graphicFrame>
    <clientData/>
  </oneCellAnchor>
  <oneCellAnchor>
    <from>
      <col>3</col>
      <colOff>0</colOff>
      <row>90</row>
      <rowOff>0</rowOff>
    </from>
    <ext cx="7200000" cy="3420000"/>
    <graphicFrame>
      <nvGraphicFramePr>
        <cNvPr id="4" name="Chart 4"/>
        <cNvGraphicFramePr/>
      </nvGraphicFramePr>
      <xfrm/>
      <a:graphic>
        <a:graphicData uri="http://schemas.openxmlformats.org/drawingml/2006/chart">
          <c:chart r:id="rId4"/>
        </a:graphicData>
      </a:graphic>
    </graphicFrame>
    <clientData/>
  </oneCellAnchor>
</wsDr>
</file>

<file path=xl/drawings/drawing35.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36</row>
      <rowOff>0</rowOff>
    </from>
    <ext cx="7200000" cy="3420000"/>
    <graphicFrame>
      <nvGraphicFramePr>
        <cNvPr id="1" name="Chart 1"/>
        <cNvGraphicFramePr/>
      </nvGraphicFramePr>
      <xfrm/>
      <a:graphic>
        <a:graphicData uri="http://schemas.openxmlformats.org/drawingml/2006/chart">
          <c:chart r:id="rId1"/>
        </a:graphicData>
      </a:graphic>
    </graphicFrame>
    <clientData/>
  </oneCellAnchor>
  <oneCellAnchor>
    <from>
      <col>3</col>
      <colOff>0</colOff>
      <row>56</row>
      <rowOff>0</rowOff>
    </from>
    <ext cx="7200000" cy="3420000"/>
    <graphicFrame>
      <nvGraphicFramePr>
        <cNvPr id="2" name="Chart 2"/>
        <cNvGraphicFramePr/>
      </nvGraphicFramePr>
      <xfrm/>
      <a:graphic>
        <a:graphicData uri="http://schemas.openxmlformats.org/drawingml/2006/chart">
          <c:chart r:id="rId2"/>
        </a:graphicData>
      </a:graphic>
    </graphicFrame>
    <clientData/>
  </oneCellAnchor>
  <oneCellAnchor>
    <from>
      <col>3</col>
      <colOff>0</colOff>
      <row>76</row>
      <rowOff>0</rowOff>
    </from>
    <ext cx="7200000" cy="2520000"/>
    <graphicFrame>
      <nvGraphicFramePr>
        <cNvPr id="3" name="Chart 3"/>
        <cNvGraphicFramePr/>
      </nvGraphicFramePr>
      <xfrm/>
      <a:graphic>
        <a:graphicData uri="http://schemas.openxmlformats.org/drawingml/2006/chart">
          <c:chart r:id="rId3"/>
        </a:graphicData>
      </a:graphic>
    </graphicFrame>
    <clientData/>
  </oneCellAnchor>
  <oneCellAnchor>
    <from>
      <col>3</col>
      <colOff>0</colOff>
      <row>92</row>
      <rowOff>0</rowOff>
    </from>
    <ext cx="7200000" cy="2520000"/>
    <graphicFrame>
      <nvGraphicFramePr>
        <cNvPr id="4" name="Chart 4"/>
        <cNvGraphicFramePr/>
      </nvGraphicFramePr>
      <xfrm/>
      <a:graphic>
        <a:graphicData uri="http://schemas.openxmlformats.org/drawingml/2006/chart">
          <c:chart r:id="rId4"/>
        </a:graphicData>
      </a:graphic>
    </graphicFrame>
    <clientData/>
  </oneCellAnchor>
</wsDr>
</file>

<file path=xl/drawings/drawing36.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38</row>
      <rowOff>0</rowOff>
    </from>
    <ext cx="7200000" cy="3420000"/>
    <graphicFrame>
      <nvGraphicFramePr>
        <cNvPr id="1" name="Chart 1"/>
        <cNvGraphicFramePr/>
      </nvGraphicFramePr>
      <xfrm/>
      <a:graphic>
        <a:graphicData uri="http://schemas.openxmlformats.org/drawingml/2006/chart">
          <c:chart r:id="rId1"/>
        </a:graphicData>
      </a:graphic>
    </graphicFrame>
    <clientData/>
  </oneCellAnchor>
  <oneCellAnchor>
    <from>
      <col>3</col>
      <colOff>0</colOff>
      <row>58</row>
      <rowOff>0</rowOff>
    </from>
    <ext cx="7200000" cy="3420000"/>
    <graphicFrame>
      <nvGraphicFramePr>
        <cNvPr id="2" name="Chart 2"/>
        <cNvGraphicFramePr/>
      </nvGraphicFramePr>
      <xfrm/>
      <a:graphic>
        <a:graphicData uri="http://schemas.openxmlformats.org/drawingml/2006/chart">
          <c:chart r:id="rId2"/>
        </a:graphicData>
      </a:graphic>
    </graphicFrame>
    <clientData/>
  </oneCellAnchor>
  <oneCellAnchor>
    <from>
      <col>3</col>
      <colOff>0</colOff>
      <row>78</row>
      <rowOff>0</rowOff>
    </from>
    <ext cx="7200000" cy="3024000"/>
    <graphicFrame>
      <nvGraphicFramePr>
        <cNvPr id="3" name="Chart 3"/>
        <cNvGraphicFramePr/>
      </nvGraphicFramePr>
      <xfrm/>
      <a:graphic>
        <a:graphicData uri="http://schemas.openxmlformats.org/drawingml/2006/chart">
          <c:chart r:id="rId3"/>
        </a:graphicData>
      </a:graphic>
    </graphicFrame>
    <clientData/>
  </oneCellAnchor>
  <oneCellAnchor>
    <from>
      <col>3</col>
      <colOff>0</colOff>
      <row>96</row>
      <rowOff>0</rowOff>
    </from>
    <ext cx="7200000" cy="3024000"/>
    <graphicFrame>
      <nvGraphicFramePr>
        <cNvPr id="4" name="Chart 4"/>
        <cNvGraphicFramePr/>
      </nvGraphicFramePr>
      <xfrm/>
      <a:graphic>
        <a:graphicData uri="http://schemas.openxmlformats.org/drawingml/2006/chart">
          <c:chart r:id="rId4"/>
        </a:graphicData>
      </a:graphic>
    </graphicFrame>
    <clientData/>
  </oneCellAnchor>
  <oneCellAnchor>
    <from>
      <col>3</col>
      <colOff>0</colOff>
      <row>114</row>
      <rowOff>0</rowOff>
    </from>
    <ext cx="7200000" cy="3420000"/>
    <graphicFrame>
      <nvGraphicFramePr>
        <cNvPr id="5" name="Chart 5"/>
        <cNvGraphicFramePr/>
      </nvGraphicFramePr>
      <xfrm/>
      <a:graphic>
        <a:graphicData uri="http://schemas.openxmlformats.org/drawingml/2006/chart">
          <c:chart r:id="rId5"/>
        </a:graphicData>
      </a:graphic>
    </graphicFrame>
    <clientData/>
  </oneCellAnchor>
</wsDr>
</file>

<file path=xl/drawings/drawing37.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41</row>
      <rowOff>0</rowOff>
    </from>
    <ext cx="7200000" cy="3420000"/>
    <graphicFrame>
      <nvGraphicFramePr>
        <cNvPr id="1" name="Chart 1"/>
        <cNvGraphicFramePr/>
      </nvGraphicFramePr>
      <xfrm/>
      <a:graphic>
        <a:graphicData uri="http://schemas.openxmlformats.org/drawingml/2006/chart">
          <c:chart r:id="rId1"/>
        </a:graphicData>
      </a:graphic>
    </graphicFrame>
    <clientData/>
  </oneCellAnchor>
  <oneCellAnchor>
    <from>
      <col>3</col>
      <colOff>0</colOff>
      <row>61</row>
      <rowOff>0</rowOff>
    </from>
    <ext cx="7200000" cy="3420000"/>
    <graphicFrame>
      <nvGraphicFramePr>
        <cNvPr id="2" name="Chart 2"/>
        <cNvGraphicFramePr/>
      </nvGraphicFramePr>
      <xfrm/>
      <a:graphic>
        <a:graphicData uri="http://schemas.openxmlformats.org/drawingml/2006/chart">
          <c:chart r:id="rId2"/>
        </a:graphicData>
      </a:graphic>
    </graphicFrame>
    <clientData/>
  </oneCellAnchor>
  <oneCellAnchor>
    <from>
      <col>3</col>
      <colOff>0</colOff>
      <row>81</row>
      <rowOff>0</rowOff>
    </from>
    <ext cx="7200000" cy="2800800"/>
    <graphicFrame>
      <nvGraphicFramePr>
        <cNvPr id="3" name="Chart 3"/>
        <cNvGraphicFramePr/>
      </nvGraphicFramePr>
      <xfrm/>
      <a:graphic>
        <a:graphicData uri="http://schemas.openxmlformats.org/drawingml/2006/chart">
          <c:chart r:id="rId3"/>
        </a:graphicData>
      </a:graphic>
    </graphicFrame>
    <clientData/>
  </oneCellAnchor>
  <oneCellAnchor>
    <from>
      <col>3</col>
      <colOff>0</colOff>
      <row>98</row>
      <rowOff>0</rowOff>
    </from>
    <ext cx="7200000" cy="2520000"/>
    <graphicFrame>
      <nvGraphicFramePr>
        <cNvPr id="4" name="Chart 4"/>
        <cNvGraphicFramePr/>
      </nvGraphicFramePr>
      <xfrm/>
      <a:graphic>
        <a:graphicData uri="http://schemas.openxmlformats.org/drawingml/2006/chart">
          <c:chart r:id="rId4"/>
        </a:graphicData>
      </a:graphic>
    </graphicFrame>
    <clientData/>
  </oneCellAnchor>
  <oneCellAnchor>
    <from>
      <col>3</col>
      <colOff>0</colOff>
      <row>114</row>
      <rowOff>0</rowOff>
    </from>
    <ext cx="7200000" cy="3420000"/>
    <graphicFrame>
      <nvGraphicFramePr>
        <cNvPr id="5" name="Chart 5"/>
        <cNvGraphicFramePr/>
      </nvGraphicFramePr>
      <xfrm/>
      <a:graphic>
        <a:graphicData uri="http://schemas.openxmlformats.org/drawingml/2006/chart">
          <c:chart r:id="rId5"/>
        </a:graphicData>
      </a:graphic>
    </graphicFrame>
    <clientData/>
  </oneCellAnchor>
</wsDr>
</file>

<file path=xl/drawings/drawing38.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38</row>
      <rowOff>0</rowOff>
    </from>
    <ext cx="7200000" cy="3420000"/>
    <graphicFrame>
      <nvGraphicFramePr>
        <cNvPr id="1" name="Chart 1"/>
        <cNvGraphicFramePr/>
      </nvGraphicFramePr>
      <xfrm/>
      <a:graphic>
        <a:graphicData uri="http://schemas.openxmlformats.org/drawingml/2006/chart">
          <c:chart r:id="rId1"/>
        </a:graphicData>
      </a:graphic>
    </graphicFrame>
    <clientData/>
  </oneCellAnchor>
  <oneCellAnchor>
    <from>
      <col>3</col>
      <colOff>0</colOff>
      <row>58</row>
      <rowOff>0</rowOff>
    </from>
    <ext cx="7200000" cy="3420000"/>
    <graphicFrame>
      <nvGraphicFramePr>
        <cNvPr id="2" name="Chart 2"/>
        <cNvGraphicFramePr/>
      </nvGraphicFramePr>
      <xfrm/>
      <a:graphic>
        <a:graphicData uri="http://schemas.openxmlformats.org/drawingml/2006/chart">
          <c:chart r:id="rId2"/>
        </a:graphicData>
      </a:graphic>
    </graphicFrame>
    <clientData/>
  </oneCellAnchor>
  <oneCellAnchor>
    <from>
      <col>3</col>
      <colOff>0</colOff>
      <row>78</row>
      <rowOff>0</rowOff>
    </from>
    <ext cx="7200000" cy="3024000"/>
    <graphicFrame>
      <nvGraphicFramePr>
        <cNvPr id="3" name="Chart 3"/>
        <cNvGraphicFramePr/>
      </nvGraphicFramePr>
      <xfrm/>
      <a:graphic>
        <a:graphicData uri="http://schemas.openxmlformats.org/drawingml/2006/chart">
          <c:chart r:id="rId3"/>
        </a:graphicData>
      </a:graphic>
    </graphicFrame>
    <clientData/>
  </oneCellAnchor>
  <oneCellAnchor>
    <from>
      <col>3</col>
      <colOff>0</colOff>
      <row>96</row>
      <rowOff>0</rowOff>
    </from>
    <ext cx="7200000" cy="2577600"/>
    <graphicFrame>
      <nvGraphicFramePr>
        <cNvPr id="4" name="Chart 4"/>
        <cNvGraphicFramePr/>
      </nvGraphicFramePr>
      <xfrm/>
      <a:graphic>
        <a:graphicData uri="http://schemas.openxmlformats.org/drawingml/2006/chart">
          <c:chart r:id="rId4"/>
        </a:graphicData>
      </a:graphic>
    </graphicFrame>
    <clientData/>
  </oneCellAnchor>
</wsDr>
</file>

<file path=xl/drawings/drawing39.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34</row>
      <rowOff>0</rowOff>
    </from>
    <ext cx="7200000" cy="3420000"/>
    <graphicFrame>
      <nvGraphicFramePr>
        <cNvPr id="1" name="Chart 1"/>
        <cNvGraphicFramePr/>
      </nvGraphicFramePr>
      <xfrm/>
      <a:graphic>
        <a:graphicData uri="http://schemas.openxmlformats.org/drawingml/2006/chart">
          <c:chart r:id="rId1"/>
        </a:graphicData>
      </a:graphic>
    </graphicFrame>
    <clientData/>
  </oneCellAnchor>
  <oneCellAnchor>
    <from>
      <col>3</col>
      <colOff>0</colOff>
      <row>54</row>
      <rowOff>0</rowOff>
    </from>
    <ext cx="7200000" cy="3024000"/>
    <graphicFrame>
      <nvGraphicFramePr>
        <cNvPr id="2" name="Chart 2"/>
        <cNvGraphicFramePr/>
      </nvGraphicFramePr>
      <xfrm/>
      <a:graphic>
        <a:graphicData uri="http://schemas.openxmlformats.org/drawingml/2006/chart">
          <c:chart r:id="rId2"/>
        </a:graphicData>
      </a:graphic>
    </graphicFrame>
    <clientData/>
  </oneCellAnchor>
</wsDr>
</file>

<file path=xl/drawings/drawing40.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36</row>
      <rowOff>0</rowOff>
    </from>
    <ext cx="7200000" cy="3420000"/>
    <graphicFrame>
      <nvGraphicFramePr>
        <cNvPr id="1" name="Chart 1"/>
        <cNvGraphicFramePr/>
      </nvGraphicFramePr>
      <xfrm/>
      <a:graphic>
        <a:graphicData uri="http://schemas.openxmlformats.org/drawingml/2006/chart">
          <c:chart r:id="rId1"/>
        </a:graphicData>
      </a:graphic>
    </graphicFrame>
    <clientData/>
  </oneCellAnchor>
  <oneCellAnchor>
    <from>
      <col>3</col>
      <colOff>0</colOff>
      <row>56</row>
      <rowOff>0</rowOff>
    </from>
    <ext cx="7200000" cy="2800800"/>
    <graphicFrame>
      <nvGraphicFramePr>
        <cNvPr id="2" name="Chart 2"/>
        <cNvGraphicFramePr/>
      </nvGraphicFramePr>
      <xfrm/>
      <a:graphic>
        <a:graphicData uri="http://schemas.openxmlformats.org/drawingml/2006/chart">
          <c:chart r:id="rId2"/>
        </a:graphicData>
      </a:graphic>
    </graphicFrame>
    <clientData/>
  </oneCellAnchor>
  <oneCellAnchor>
    <from>
      <col>3</col>
      <colOff>0</colOff>
      <row>73</row>
      <rowOff>0</rowOff>
    </from>
    <ext cx="7200000" cy="2520000"/>
    <graphicFrame>
      <nvGraphicFramePr>
        <cNvPr id="3" name="Chart 3"/>
        <cNvGraphicFramePr/>
      </nvGraphicFramePr>
      <xfrm/>
      <a:graphic>
        <a:graphicData uri="http://schemas.openxmlformats.org/drawingml/2006/chart">
          <c:chart r:id="rId3"/>
        </a:graphicData>
      </a:graphic>
    </graphicFrame>
    <clientData/>
  </oneCellAnchor>
</wsDr>
</file>

<file path=xl/drawings/drawing4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37</row>
      <rowOff>0</rowOff>
    </from>
    <ext cx="7200000" cy="3420000"/>
    <graphicFrame>
      <nvGraphicFramePr>
        <cNvPr id="1" name="Chart 1"/>
        <cNvGraphicFramePr/>
      </nvGraphicFramePr>
      <xfrm/>
      <a:graphic>
        <a:graphicData uri="http://schemas.openxmlformats.org/drawingml/2006/chart">
          <c:chart r:id="rId1"/>
        </a:graphicData>
      </a:graphic>
    </graphicFrame>
    <clientData/>
  </oneCellAnchor>
  <oneCellAnchor>
    <from>
      <col>3</col>
      <colOff>0</colOff>
      <row>57</row>
      <rowOff>0</rowOff>
    </from>
    <ext cx="7200000" cy="3420000"/>
    <graphicFrame>
      <nvGraphicFramePr>
        <cNvPr id="2" name="Chart 2"/>
        <cNvGraphicFramePr/>
      </nvGraphicFramePr>
      <xfrm/>
      <a:graphic>
        <a:graphicData uri="http://schemas.openxmlformats.org/drawingml/2006/chart">
          <c:chart r:id="rId2"/>
        </a:graphicData>
      </a:graphic>
    </graphicFrame>
    <clientData/>
  </oneCellAnchor>
  <oneCellAnchor>
    <from>
      <col>3</col>
      <colOff>0</colOff>
      <row>77</row>
      <rowOff>0</rowOff>
    </from>
    <ext cx="7200000" cy="2800800"/>
    <graphicFrame>
      <nvGraphicFramePr>
        <cNvPr id="3" name="Chart 3"/>
        <cNvGraphicFramePr/>
      </nvGraphicFramePr>
      <xfrm/>
      <a:graphic>
        <a:graphicData uri="http://schemas.openxmlformats.org/drawingml/2006/chart">
          <c:chart r:id="rId3"/>
        </a:graphicData>
      </a:graphic>
    </graphicFrame>
    <clientData/>
  </oneCellAnchor>
  <oneCellAnchor>
    <from>
      <col>3</col>
      <colOff>0</colOff>
      <row>94</row>
      <rowOff>0</rowOff>
    </from>
    <ext cx="7200000" cy="2520000"/>
    <graphicFrame>
      <nvGraphicFramePr>
        <cNvPr id="4" name="Chart 4"/>
        <cNvGraphicFramePr/>
      </nvGraphicFramePr>
      <xfrm/>
      <a:graphic>
        <a:graphicData uri="http://schemas.openxmlformats.org/drawingml/2006/chart">
          <c:chart r:id="rId4"/>
        </a:graphicData>
      </a:graphic>
    </graphicFrame>
    <clientData/>
  </oneCellAnchor>
  <oneCellAnchor>
    <from>
      <col>3</col>
      <colOff>0</colOff>
      <row>110</row>
      <rowOff>0</rowOff>
    </from>
    <ext cx="7200000" cy="3420000"/>
    <graphicFrame>
      <nvGraphicFramePr>
        <cNvPr id="5" name="Chart 5"/>
        <cNvGraphicFramePr/>
      </nvGraphicFramePr>
      <xfrm/>
      <a:graphic>
        <a:graphicData uri="http://schemas.openxmlformats.org/drawingml/2006/chart">
          <c:chart r:id="rId5"/>
        </a:graphicData>
      </a:graphic>
    </graphicFrame>
    <clientData/>
  </oneCellAnchor>
</wsDr>
</file>

<file path=xl/drawings/drawing4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41</row>
      <rowOff>0</rowOff>
    </from>
    <ext cx="7200000" cy="3420000"/>
    <graphicFrame>
      <nvGraphicFramePr>
        <cNvPr id="1" name="Chart 1"/>
        <cNvGraphicFramePr/>
      </nvGraphicFramePr>
      <xfrm/>
      <a:graphic>
        <a:graphicData uri="http://schemas.openxmlformats.org/drawingml/2006/chart">
          <c:chart r:id="rId1"/>
        </a:graphicData>
      </a:graphic>
    </graphicFrame>
    <clientData/>
  </oneCellAnchor>
  <oneCellAnchor>
    <from>
      <col>3</col>
      <colOff>0</colOff>
      <row>61</row>
      <rowOff>0</rowOff>
    </from>
    <ext cx="7200000" cy="3420000"/>
    <graphicFrame>
      <nvGraphicFramePr>
        <cNvPr id="2" name="Chart 2"/>
        <cNvGraphicFramePr/>
      </nvGraphicFramePr>
      <xfrm/>
      <a:graphic>
        <a:graphicData uri="http://schemas.openxmlformats.org/drawingml/2006/chart">
          <c:chart r:id="rId2"/>
        </a:graphicData>
      </a:graphic>
    </graphicFrame>
    <clientData/>
  </oneCellAnchor>
  <oneCellAnchor>
    <from>
      <col>3</col>
      <colOff>0</colOff>
      <row>81</row>
      <rowOff>0</rowOff>
    </from>
    <ext cx="7200000" cy="3024000"/>
    <graphicFrame>
      <nvGraphicFramePr>
        <cNvPr id="3" name="Chart 3"/>
        <cNvGraphicFramePr/>
      </nvGraphicFramePr>
      <xfrm/>
      <a:graphic>
        <a:graphicData uri="http://schemas.openxmlformats.org/drawingml/2006/chart">
          <c:chart r:id="rId3"/>
        </a:graphicData>
      </a:graphic>
    </graphicFrame>
    <clientData/>
  </oneCellAnchor>
  <oneCellAnchor>
    <from>
      <col>3</col>
      <colOff>0</colOff>
      <row>99</row>
      <rowOff>0</rowOff>
    </from>
    <ext cx="7200000" cy="2520000"/>
    <graphicFrame>
      <nvGraphicFramePr>
        <cNvPr id="4" name="Chart 4"/>
        <cNvGraphicFramePr/>
      </nvGraphicFramePr>
      <xfrm/>
      <a:graphic>
        <a:graphicData uri="http://schemas.openxmlformats.org/drawingml/2006/chart">
          <c:chart r:id="rId4"/>
        </a:graphicData>
      </a:graphic>
    </graphicFrame>
    <clientData/>
  </oneCellAnchor>
  <oneCellAnchor>
    <from>
      <col>3</col>
      <colOff>0</colOff>
      <row>115</row>
      <rowOff>0</rowOff>
    </from>
    <ext cx="7200000" cy="3420000"/>
    <graphicFrame>
      <nvGraphicFramePr>
        <cNvPr id="5" name="Chart 5"/>
        <cNvGraphicFramePr/>
      </nvGraphicFramePr>
      <xfrm/>
      <a:graphic>
        <a:graphicData uri="http://schemas.openxmlformats.org/drawingml/2006/chart">
          <c:chart r:id="rId5"/>
        </a:graphicData>
      </a:graphic>
    </graphicFrame>
    <clientData/>
  </oneCellAnchor>
</wsDr>
</file>

<file path=xl/drawings/drawing43.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38</row>
      <rowOff>0</rowOff>
    </from>
    <ext cx="7200000" cy="3420000"/>
    <graphicFrame>
      <nvGraphicFramePr>
        <cNvPr id="1" name="Chart 1"/>
        <cNvGraphicFramePr/>
      </nvGraphicFramePr>
      <xfrm/>
      <a:graphic>
        <a:graphicData uri="http://schemas.openxmlformats.org/drawingml/2006/chart">
          <c:chart r:id="rId1"/>
        </a:graphicData>
      </a:graphic>
    </graphicFrame>
    <clientData/>
  </oneCellAnchor>
  <oneCellAnchor>
    <from>
      <col>3</col>
      <colOff>0</colOff>
      <row>58</row>
      <rowOff>0</rowOff>
    </from>
    <ext cx="7200000" cy="3024000"/>
    <graphicFrame>
      <nvGraphicFramePr>
        <cNvPr id="2" name="Chart 2"/>
        <cNvGraphicFramePr/>
      </nvGraphicFramePr>
      <xfrm/>
      <a:graphic>
        <a:graphicData uri="http://schemas.openxmlformats.org/drawingml/2006/chart">
          <c:chart r:id="rId2"/>
        </a:graphicData>
      </a:graphic>
    </graphicFrame>
    <clientData/>
  </oneCellAnchor>
  <oneCellAnchor>
    <from>
      <col>3</col>
      <colOff>0</colOff>
      <row>76</row>
      <rowOff>0</rowOff>
    </from>
    <ext cx="7200000" cy="2520000"/>
    <graphicFrame>
      <nvGraphicFramePr>
        <cNvPr id="3" name="Chart 3"/>
        <cNvGraphicFramePr/>
      </nvGraphicFramePr>
      <xfrm/>
      <a:graphic>
        <a:graphicData uri="http://schemas.openxmlformats.org/drawingml/2006/chart">
          <c:chart r:id="rId3"/>
        </a:graphicData>
      </a:graphic>
    </graphicFrame>
    <clientData/>
  </oneCellAnchor>
</wsDr>
</file>

<file path=xl/drawings/drawing44.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37</row>
      <rowOff>0</rowOff>
    </from>
    <ext cx="7200000" cy="3420000"/>
    <graphicFrame>
      <nvGraphicFramePr>
        <cNvPr id="1" name="Chart 1"/>
        <cNvGraphicFramePr/>
      </nvGraphicFramePr>
      <xfrm/>
      <a:graphic>
        <a:graphicData uri="http://schemas.openxmlformats.org/drawingml/2006/chart">
          <c:chart r:id="rId1"/>
        </a:graphicData>
      </a:graphic>
    </graphicFrame>
    <clientData/>
  </oneCellAnchor>
  <oneCellAnchor>
    <from>
      <col>3</col>
      <colOff>0</colOff>
      <row>57</row>
      <rowOff>0</rowOff>
    </from>
    <ext cx="7200000" cy="3024000"/>
    <graphicFrame>
      <nvGraphicFramePr>
        <cNvPr id="2" name="Chart 2"/>
        <cNvGraphicFramePr/>
      </nvGraphicFramePr>
      <xfrm/>
      <a:graphic>
        <a:graphicData uri="http://schemas.openxmlformats.org/drawingml/2006/chart">
          <c:chart r:id="rId2"/>
        </a:graphicData>
      </a:graphic>
    </graphicFrame>
    <clientData/>
  </oneCellAnchor>
  <oneCellAnchor>
    <from>
      <col>3</col>
      <colOff>0</colOff>
      <row>75</row>
      <rowOff>0</rowOff>
    </from>
    <ext cx="7200000" cy="2520000"/>
    <graphicFrame>
      <nvGraphicFramePr>
        <cNvPr id="3" name="Chart 3"/>
        <cNvGraphicFramePr/>
      </nvGraphicFramePr>
      <xfrm/>
      <a:graphic>
        <a:graphicData uri="http://schemas.openxmlformats.org/drawingml/2006/chart">
          <c:chart r:id="rId3"/>
        </a:graphicData>
      </a:graphic>
    </graphicFrame>
    <clientData/>
  </oneCellAnchor>
</wsDr>
</file>

<file path=xl/drawings/drawing45.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35</row>
      <rowOff>0</rowOff>
    </from>
    <ext cx="7200000" cy="2800800"/>
    <graphicFrame>
      <nvGraphicFramePr>
        <cNvPr id="1" name="Chart 1"/>
        <cNvGraphicFramePr/>
      </nvGraphicFramePr>
      <xfrm/>
      <a:graphic>
        <a:graphicData uri="http://schemas.openxmlformats.org/drawingml/2006/chart">
          <c:chart r:id="rId1"/>
        </a:graphicData>
      </a:graphic>
    </graphicFrame>
    <clientData/>
  </oneCellAnchor>
  <oneCellAnchor>
    <from>
      <col>3</col>
      <colOff>0</colOff>
      <row>52</row>
      <rowOff>0</rowOff>
    </from>
    <ext cx="7200000" cy="2520000"/>
    <graphicFrame>
      <nvGraphicFramePr>
        <cNvPr id="2" name="Chart 2"/>
        <cNvGraphicFramePr/>
      </nvGraphicFramePr>
      <xfrm/>
      <a:graphic>
        <a:graphicData uri="http://schemas.openxmlformats.org/drawingml/2006/chart">
          <c:chart r:id="rId2"/>
        </a:graphicData>
      </a:graphic>
    </graphicFrame>
    <clientData/>
  </oneCellAnchor>
</wsDr>
</file>

<file path=xl/drawings/drawing46.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41</row>
      <rowOff>0</rowOff>
    </from>
    <ext cx="7200000" cy="3420000"/>
    <graphicFrame>
      <nvGraphicFramePr>
        <cNvPr id="1" name="Chart 1"/>
        <cNvGraphicFramePr/>
      </nvGraphicFramePr>
      <xfrm/>
      <a:graphic>
        <a:graphicData uri="http://schemas.openxmlformats.org/drawingml/2006/chart">
          <c:chart r:id="rId1"/>
        </a:graphicData>
      </a:graphic>
    </graphicFrame>
    <clientData/>
  </oneCellAnchor>
  <oneCellAnchor>
    <from>
      <col>3</col>
      <colOff>0</colOff>
      <row>61</row>
      <rowOff>0</rowOff>
    </from>
    <ext cx="7200000" cy="3420000"/>
    <graphicFrame>
      <nvGraphicFramePr>
        <cNvPr id="2" name="Chart 2"/>
        <cNvGraphicFramePr/>
      </nvGraphicFramePr>
      <xfrm/>
      <a:graphic>
        <a:graphicData uri="http://schemas.openxmlformats.org/drawingml/2006/chart">
          <c:chart r:id="rId2"/>
        </a:graphicData>
      </a:graphic>
    </graphicFrame>
    <clientData/>
  </oneCellAnchor>
  <oneCellAnchor>
    <from>
      <col>3</col>
      <colOff>0</colOff>
      <row>81</row>
      <rowOff>0</rowOff>
    </from>
    <ext cx="7200000" cy="3024000"/>
    <graphicFrame>
      <nvGraphicFramePr>
        <cNvPr id="3" name="Chart 3"/>
        <cNvGraphicFramePr/>
      </nvGraphicFramePr>
      <xfrm/>
      <a:graphic>
        <a:graphicData uri="http://schemas.openxmlformats.org/drawingml/2006/chart">
          <c:chart r:id="rId3"/>
        </a:graphicData>
      </a:graphic>
    </graphicFrame>
    <clientData/>
  </oneCellAnchor>
  <oneCellAnchor>
    <from>
      <col>3</col>
      <colOff>0</colOff>
      <row>99</row>
      <rowOff>0</rowOff>
    </from>
    <ext cx="7200000" cy="2520000"/>
    <graphicFrame>
      <nvGraphicFramePr>
        <cNvPr id="4" name="Chart 4"/>
        <cNvGraphicFramePr/>
      </nvGraphicFramePr>
      <xfrm/>
      <a:graphic>
        <a:graphicData uri="http://schemas.openxmlformats.org/drawingml/2006/chart">
          <c:chart r:id="rId4"/>
        </a:graphicData>
      </a:graphic>
    </graphicFrame>
    <clientData/>
  </oneCellAnchor>
</wsDr>
</file>

<file path=xl/drawings/drawing47.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36</row>
      <rowOff>0</rowOff>
    </from>
    <ext cx="7200000" cy="3420000"/>
    <graphicFrame>
      <nvGraphicFramePr>
        <cNvPr id="1" name="Chart 1"/>
        <cNvGraphicFramePr/>
      </nvGraphicFramePr>
      <xfrm/>
      <a:graphic>
        <a:graphicData uri="http://schemas.openxmlformats.org/drawingml/2006/chart">
          <c:chart r:id="rId1"/>
        </a:graphicData>
      </a:graphic>
    </graphicFrame>
    <clientData/>
  </oneCellAnchor>
  <oneCellAnchor>
    <from>
      <col>3</col>
      <colOff>0</colOff>
      <row>56</row>
      <rowOff>0</rowOff>
    </from>
    <ext cx="7200000" cy="3420000"/>
    <graphicFrame>
      <nvGraphicFramePr>
        <cNvPr id="2" name="Chart 2"/>
        <cNvGraphicFramePr/>
      </nvGraphicFramePr>
      <xfrm/>
      <a:graphic>
        <a:graphicData uri="http://schemas.openxmlformats.org/drawingml/2006/chart">
          <c:chart r:id="rId2"/>
        </a:graphicData>
      </a:graphic>
    </graphicFrame>
    <clientData/>
  </oneCellAnchor>
  <oneCellAnchor>
    <from>
      <col>3</col>
      <colOff>0</colOff>
      <row>76</row>
      <rowOff>0</rowOff>
    </from>
    <ext cx="7200000" cy="2520000"/>
    <graphicFrame>
      <nvGraphicFramePr>
        <cNvPr id="3" name="Chart 3"/>
        <cNvGraphicFramePr/>
      </nvGraphicFramePr>
      <xfrm/>
      <a:graphic>
        <a:graphicData uri="http://schemas.openxmlformats.org/drawingml/2006/chart">
          <c:chart r:id="rId3"/>
        </a:graphicData>
      </a:graphic>
    </graphicFrame>
    <clientData/>
  </oneCellAnchor>
  <oneCellAnchor>
    <from>
      <col>3</col>
      <colOff>0</colOff>
      <row>92</row>
      <rowOff>0</rowOff>
    </from>
    <ext cx="7200000" cy="2520000"/>
    <graphicFrame>
      <nvGraphicFramePr>
        <cNvPr id="4" name="Chart 4"/>
        <cNvGraphicFramePr/>
      </nvGraphicFramePr>
      <xfrm/>
      <a:graphic>
        <a:graphicData uri="http://schemas.openxmlformats.org/drawingml/2006/chart">
          <c:chart r:id="rId4"/>
        </a:graphicData>
      </a:graphic>
    </graphicFrame>
    <clientData/>
  </oneCellAnchor>
</wsDr>
</file>

<file path=xl/tables/table1.xml><?xml version="1.0" encoding="utf-8"?>
<table xmlns="http://schemas.openxmlformats.org/spreadsheetml/2006/main" id="1" name="Таблиця_1" displayName="Таблиця_1" ref="A1062:E1077" headerRowCount="1">
  <autoFilter ref="A1062:E1077"/>
  <tableColumns count="5">
    <tableColumn id="1" name="Таблиця"/>
    <tableColumn id="2" name="Поле"/>
    <tableColumn id="3" name="Рядків"/>
    <tableColumn id="4" name="Заповнено"/>
    <tableColumn id="5" name="Частка"/>
  </tableColumns>
  <tableStyleInfo name="TableStyleLight8" showRowStripes="1" showColumnStripes="0"/>
</table>
</file>

<file path=xl/tables/table2.xml><?xml version="1.0" encoding="utf-8"?>
<table xmlns="http://schemas.openxmlformats.org/spreadsheetml/2006/main" id="2" name="Таблиця_2" displayName="Таблиця_2" ref="A1080:E1165" headerRowCount="1">
  <autoFilter ref="A1080:E1165"/>
  <tableColumns count="5">
    <tableColumn id="1" name="Таблиця"/>
    <tableColumn id="2" name="Ключ"/>
    <tableColumn id="3" name="Проблема"/>
    <tableColumn id="4" name="Деталі"/>
    <tableColumn id="5" name="Дія"/>
  </tableColumns>
  <tableStyleInfo name="TableStyleLight8" showRowStripes="1" showColumnStripes="0"/>
</table>
</file>

<file path=xl/tables/table3.xml><?xml version="1.0" encoding="utf-8"?>
<table xmlns="http://schemas.openxmlformats.org/spreadsheetml/2006/main" id="3" name="Таблиця_3" displayName="Таблиця_3" ref="A1168:I1170" headerRowCount="1">
  <autoFilter ref="A1168:I1170"/>
  <tableColumns count="9">
    <tableColumn id="1" name="Код ДК021"/>
    <tableColumn id="2" name="Назва"/>
    <tableColumn id="3" name="Угод"/>
    <tableColumn id="4" name="Медіана"/>
    <tableColumn id="5" name="Нижній квартиль"/>
    <tableColumn id="6" name="Верхній квартиль"/>
    <tableColumn id="7" name="Мінімум"/>
    <tableColumn id="8" name="Максимум"/>
    <tableColumn id="9" name="Викидів"/>
  </tableColumns>
  <tableStyleInfo name="TableStyleLight8" showRowStripes="1" showColumnStripes="0"/>
</table>
</file>

<file path=xl/tables/table4.xml><?xml version="1.0" encoding="utf-8"?>
<table xmlns="http://schemas.openxmlformats.org/spreadsheetml/2006/main" id="4" name="Таблиця_4" displayName="Таблиця_4" ref="A1173:I1196" headerRowCount="1">
  <autoFilter ref="A1173:I1196"/>
  <tableColumns count="9">
    <tableColumn id="1" name="Код ДК021"/>
    <tableColumn id="2" name="Назва"/>
    <tableColumn id="3" name="Позицій"/>
    <tableColumn id="4" name="Медіана"/>
    <tableColumn id="5" name="Нижній квартиль"/>
    <tableColumn id="6" name="Верхній квартиль"/>
    <tableColumn id="7" name="Мінімум"/>
    <tableColumn id="8" name="Максимум"/>
    <tableColumn id="9" name="Викидів"/>
  </tableColumns>
  <tableStyleInfo name="TableStyleLight8" showRowStripes="1" showColumnStripes="0"/>
</table>
</file>

<file path=xl/tables/table5.xml><?xml version="1.0" encoding="utf-8"?>
<table xmlns="http://schemas.openxmlformats.org/spreadsheetml/2006/main" id="5" name="Таблиця_5" displayName="Таблиця_5" ref="A216:G219" headerRowCount="1">
  <autoFilter ref="A216:G219"/>
  <tableColumns count="7">
    <tableColumn id="1" name="Рівень конкуренції"/>
    <tableColumn id="2" name="Закупівель"/>
    <tableColumn id="3" name="Очікувана вартість, грн"/>
    <tableColumn id="4" name="Сума угод, грн"/>
    <tableColumn id="5" name="Зекономлено, грн"/>
    <tableColumn id="6" name="Зважена економія"/>
    <tableColumn id="7" name="Медіанна економія"/>
  </tableColumns>
  <tableStyleInfo name="TableStyleLight8" showRowStripes="1" showColumnStripes="0"/>
</table>
</file>

<file path=xl/tables/table6.xml><?xml version="1.0" encoding="utf-8"?>
<table xmlns="http://schemas.openxmlformats.org/spreadsheetml/2006/main" id="6" name="Таблиця_6" displayName="Таблиця_6" ref="A222:O574" headerRowCount="1">
  <autoFilter ref="A222:O574"/>
  <tableColumns count="15">
    <tableColumn id="1" name="Місце"/>
    <tableColumn id="2" name="ЄДРПОУ"/>
    <tableColumn id="3" name="Компанія"/>
    <tableColumn id="4" name="Наша"/>
    <tableColumn id="5" name="Угод"/>
    <tableColumn id="6" name="Закупівель"/>
    <tableColumn id="7" name="Сума угод, грн"/>
    <tableColumn id="8" name="Частка ринку"/>
    <tableColumn id="9" name="Середня угода, грн"/>
    <tableColumn id="10" name="Медіанна угода, грн"/>
    <tableColumn id="11" name="Замовників"/>
    <tableColumn id="12" name="Областей"/>
    <tableColumn id="13" name="Основна галузь"/>
    <tableColumn id="14" name="Перша угода"/>
    <tableColumn id="15" name="Остання угода"/>
  </tableColumns>
  <tableStyleInfo name="TableStyleLight8" showRowStripes="1" showColumnStripes="0"/>
</table>
</file>

<file path=xl/tables/table7.xml><?xml version="1.0" encoding="utf-8"?>
<table xmlns="http://schemas.openxmlformats.org/spreadsheetml/2006/main" id="7" name="Таблиця_7" displayName="Таблиця_7" ref="A577:I945" headerRowCount="1">
  <autoFilter ref="A577:I945"/>
  <tableColumns count="9">
    <tableColumn id="1" name="ЄДРПОУ"/>
    <tableColumn id="2" name="Замовник"/>
    <tableColumn id="3" name="Регіон"/>
    <tableColumn id="4" name="Закупівель"/>
    <tableColumn id="5" name="Очікувана вартість, грн"/>
    <tableColumn id="6" name="Сума угод, грн"/>
    <tableColumn id="7" name="Постачальників"/>
    <tableColumn id="8" name="Наша сума, грн"/>
    <tableColumn id="9" name="Наша частка"/>
  </tableColumns>
  <tableStyleInfo name="TableStyleLight8" showRowStripes="1" showColumnStripes="0"/>
</table>
</file>

<file path=xl/tables/table8.xml><?xml version="1.0" encoding="utf-8"?>
<table xmlns="http://schemas.openxmlformats.org/spreadsheetml/2006/main" id="8" name="Таблиця_8" displayName="Таблиця_8" ref="A948:J951" headerRowCount="1">
  <autoFilter ref="A948:J951"/>
  <tableColumns count="10">
    <tableColumn id="1" name="Галузь ДК021"/>
    <tableColumn id="2" name="Назва"/>
    <tableColumn id="3" name="Угод"/>
    <tableColumn id="4" name="Закупівель"/>
    <tableColumn id="5" name="Сума угод, грн"/>
    <tableColumn id="6" name="Частка ринку"/>
    <tableColumn id="7" name="Постачальників"/>
    <tableColumn id="8" name="Замовників"/>
    <tableColumn id="9" name="Наша сума, грн"/>
    <tableColumn id="10" name="Наша частка"/>
  </tableColumns>
  <tableStyleInfo name="TableStyleLight8" showRowStripes="1" showColumnStripes="0"/>
</table>
</file>

<file path=xl/tables/table9.xml><?xml version="1.0" encoding="utf-8"?>
<table xmlns="http://schemas.openxmlformats.org/spreadsheetml/2006/main" id="9" name="Таблиця_9" displayName="Таблиця_9" ref="A954:E958" headerRowCount="1">
  <autoFilter ref="A954:E958"/>
  <tableColumns count="5">
    <tableColumn id="1" name="Процедура"/>
    <tableColumn id="2" name="Угод"/>
    <tableColumn id="3" name="Сума угод, грн"/>
    <tableColumn id="4" name="Частка"/>
    <tableColumn id="5" name="Середня угода, грн"/>
  </tableColumns>
  <tableStyleInfo name="TableStyleLight8" showRowStripes="1" showColumnStripes="0"/>
</table>
</file>

<file path=xl/tables/table10.xml><?xml version="1.0" encoding="utf-8"?>
<table xmlns="http://schemas.openxmlformats.org/spreadsheetml/2006/main" id="10" name="Таблиця_10" displayName="Таблиця_10" ref="A961:E962" headerRowCount="1">
  <autoFilter ref="A961:E962"/>
  <tableColumns count="5">
    <tableColumn id="1" name="Регіон"/>
    <tableColumn id="2" name="Угод"/>
    <tableColumn id="3" name="Сума угод, грн"/>
    <tableColumn id="4" name="Частка"/>
    <tableColumn id="5" name="Середня угода, грн"/>
  </tableColumns>
  <tableStyleInfo name="TableStyleLight8" showRowStripes="1" showColumnStripes="0"/>
</table>
</file>

<file path=xl/tables/table11.xml><?xml version="1.0" encoding="utf-8"?>
<table xmlns="http://schemas.openxmlformats.org/spreadsheetml/2006/main" id="11" name="Таблиця_11" displayName="Таблиця_11" ref="A965:H978" headerRowCount="1">
  <autoFilter ref="A965:H978"/>
  <tableColumns count="8">
    <tableColumn id="1" name="Місяць"/>
    <tableColumn id="2" name="Повний місяць"/>
    <tableColumn id="3" name="Очікувана вартість, грн"/>
    <tableColumn id="4" name="Сума угод, грн"/>
    <tableColumn id="5" name="Сума за датою підпису, грн"/>
    <tableColumn id="6" name="Закупівель"/>
    <tableColumn id="7" name="Наша сума, грн"/>
    <tableColumn id="8" name="Наша частка"/>
  </tableColumns>
  <tableStyleInfo name="TableStyleLight8" showRowStripes="1" showColumnStripes="0"/>
</table>
</file>

<file path=xl/tables/table12.xml><?xml version="1.0" encoding="utf-8"?>
<table xmlns="http://schemas.openxmlformats.org/spreadsheetml/2006/main" id="12" name="Таблиця_12" displayName="Таблиця_12" ref="A110:I122" headerRowCount="1">
  <autoFilter ref="A110:I122"/>
  <tableColumns count="9">
    <tableColumn id="1" name="Показник"/>
    <tableColumn id="2" name="Місяць"/>
    <tableColumn id="3" name="Прогноз"/>
    <tableColumn id="4" name="Нижня межа 80%"/>
    <tableColumn id="5" name="Верхня межа 80%"/>
    <tableColumn id="6" name="Модель"/>
    <tableColumn id="7" name="MASE"/>
    <tableColumn id="8" name="Звірок"/>
    <tableColumn id="9" name="Перевірка"/>
  </tableColumns>
  <tableStyleInfo name="TableStyleLight8" showRowStripes="1" showColumnStripes="0"/>
</table>
</file>

<file path=xl/tables/table13.xml><?xml version="1.0" encoding="utf-8"?>
<table xmlns="http://schemas.openxmlformats.org/spreadsheetml/2006/main" id="13" name="Таблиця_13" displayName="Таблиця_13" ref="A158:B164" headerRowCount="1">
  <autoFilter ref="A158:B164"/>
  <tableColumns count="2">
    <tableColumn id="1" name="Днів від оприлюднення"/>
    <tableColumn id="2" name="Видно суми"/>
  </tableColumns>
  <tableStyleInfo name="TableStyleLight8" showRowStripes="1" showColumnStripes="0"/>
</table>
</file>

<file path=xl/tables/table14.xml><?xml version="1.0" encoding="utf-8"?>
<table xmlns="http://schemas.openxmlformats.org/spreadsheetml/2006/main" id="14" name="Таблиця_14" displayName="Таблиця_14" ref="A167:H177" headerRowCount="1">
  <autoFilter ref="A167:H177"/>
  <tableColumns count="8">
    <tableColumn id="1" name="Місяць"/>
    <tableColumn id="2" name="Показник"/>
    <tableColumn id="3" name="Спостережено"/>
    <tableColumn id="4" name="Частка місяця у вибірці"/>
    <tableColumn id="5" name="Розвиток договорів"/>
    <tableColumn id="6" name="Повнота"/>
    <tableColumn id="7" name="З поправкою"/>
    <tableColumn id="8" name="У підгонці"/>
  </tableColumns>
  <tableStyleInfo name="TableStyleLight8" showRowStripes="1" showColumnStripes="0"/>
</table>
</file>

<file path=xl/tables/table15.xml><?xml version="1.0" encoding="utf-8"?>
<table xmlns="http://schemas.openxmlformats.org/spreadsheetml/2006/main" id="15" name="Таблиця_15" displayName="Таблиця_15" ref="A180:F191" headerRowCount="1">
  <autoFilter ref="A180:F191"/>
  <tableColumns count="6">
    <tableColumn id="1" name="Місяць"/>
    <tableColumn id="2" name="Видно було на кінець місяця"/>
    <tableColumn id="3" name="Скориговано тоді"/>
    <tableColumn id="4" name="Насправді виявилося"/>
    <tableColumn id="5" name="Похибка без поправки"/>
    <tableColumn id="6" name="Похибка з поправкою"/>
  </tableColumns>
  <tableStyleInfo name="TableStyleLight8" showRowStripes="1" showColumnStripes="0"/>
</table>
</file>

<file path=xl/tables/table16.xml><?xml version="1.0" encoding="utf-8"?>
<table xmlns="http://schemas.openxmlformats.org/spreadsheetml/2006/main" id="16" name="Таблиця_16" displayName="Таблиця_16" ref="A194:F238" headerRowCount="1">
  <autoFilter ref="A194:F238"/>
  <tableColumns count="6">
    <tableColumn id="1" name="Показник"/>
    <tableColumn id="2" name="Модель"/>
    <tableColumn id="3" name="Рішень у моделі"/>
    <tableColumn id="4" name="MASE"/>
    <tableColumn id="5" name="Звірок з фактом"/>
    <tableColumn id="6" name="Обрана"/>
  </tableColumns>
  <tableStyleInfo name="TableStyleLight8" showRowStripes="1" showColumnStripes="0"/>
</table>
</file>

<file path=xl/tables/table17.xml><?xml version="1.0" encoding="utf-8"?>
<table xmlns="http://schemas.openxmlformats.org/spreadsheetml/2006/main" id="17" name="Таблиця_17" displayName="Таблиця_17" ref="A272:L281" headerRowCount="1">
  <autoFilter ref="A272:L281"/>
  <tableColumns count="12">
    <tableColumn id="1" name="ЄДРПОУ"/>
    <tableColumn id="2" name="Компанія"/>
    <tableColumn id="3" name="Наша"/>
    <tableColumn id="4" name="Місце"/>
    <tableColumn id="5" name="Остання сума, грн"/>
    <tableColumn id="6" name="Прогноз, грн"/>
    <tableColumn id="7" name="Нижня межа 80%, грн"/>
    <tableColumn id="8" name="Верхня межа 80%, грн"/>
    <tableColumn id="9" name="Разом за 3 міс., грн"/>
    <tableColumn id="10" name="Модель"/>
    <tableColumn id="11" name="MASE"/>
    <tableColumn id="12" name="Перевірка"/>
  </tableColumns>
  <tableStyleInfo name="TableStyleLight8" showRowStripes="1" showColumnStripes="0"/>
</table>
</file>

<file path=xl/tables/table18.xml><?xml version="1.0" encoding="utf-8"?>
<table xmlns="http://schemas.openxmlformats.org/spreadsheetml/2006/main" id="18" name="Таблиця_18" displayName="Таблиця_18" ref="A86:F95" headerRowCount="1">
  <autoFilter ref="A86:F95"/>
  <tableColumns count="6">
    <tableColumn id="1" name="Причина"/>
    <tableColumn id="2" name="Випадків"/>
    <tableColumn id="3" name="Частка"/>
    <tableColumn id="4" name="Сума, грн"/>
    <tableColumn id="5" name="Компаній"/>
    <tableColumn id="6" name="Приклад формулювання"/>
  </tableColumns>
  <tableStyleInfo name="TableStyleLight8" showRowStripes="1" showColumnStripes="0"/>
</table>
</file>

<file path=xl/tables/table19.xml><?xml version="1.0" encoding="utf-8"?>
<table xmlns="http://schemas.openxmlformats.org/spreadsheetml/2006/main" id="19" name="Таблиця_19" displayName="Таблиця_19" ref="A98:H175" headerRowCount="1">
  <autoFilter ref="A98:H175"/>
  <tableColumns count="8">
    <tableColumn id="1" name="ЄДРПОУ"/>
    <tableColumn id="2" name="Компанія"/>
    <tableColumn id="3" name="Скасовано перемог"/>
    <tableColumn id="4" name="Виграно закупівель"/>
    <tableColumn id="5" name="Частка зривів"/>
    <tableColumn id="6" name="Сума, грн"/>
    <tableColumn id="7" name="Головна причина"/>
    <tableColumn id="8" name="Наша"/>
  </tableColumns>
  <tableStyleInfo name="TableStyleLight8" showRowStripes="1" showColumnStripes="0"/>
</table>
</file>

<file path=xl/tables/table20.xml><?xml version="1.0" encoding="utf-8"?>
<table xmlns="http://schemas.openxmlformats.org/spreadsheetml/2006/main" id="20" name="Таблиця_20" displayName="Таблиця_20" ref="A178:F235" headerRowCount="1">
  <autoFilter ref="A178:F235"/>
  <tableColumns count="6">
    <tableColumn id="1" name="Замовник"/>
    <tableColumn id="2" name="ЄДРПОУ"/>
    <tableColumn id="3" name="Скасовано перемог"/>
    <tableColumn id="4" name="Сума, грн"/>
    <tableColumn id="5" name="Компаній"/>
    <tableColumn id="6" name="Головна причина"/>
  </tableColumns>
  <tableStyleInfo name="TableStyleLight8" showRowStripes="1" showColumnStripes="0"/>
</table>
</file>

<file path=xl/tables/table21.xml><?xml version="1.0" encoding="utf-8"?>
<table xmlns="http://schemas.openxmlformats.org/spreadsheetml/2006/main" id="21" name="Таблиця_21" displayName="Таблиця_21" ref="A238:I447" headerRowCount="1">
  <autoFilter ref="A238:I447"/>
  <tableColumns count="9">
    <tableColumn id="1" name="Закупівля"/>
    <tableColumn id="2" name="Дата"/>
    <tableColumn id="3" name="Компанія"/>
    <tableColumn id="4" name="ЄДРПОУ"/>
    <tableColumn id="5" name="Замовник"/>
    <tableColumn id="6" name="Сума, грн"/>
    <tableColumn id="7" name="Причина"/>
    <tableColumn id="8" name="Формулювання замовника"/>
    <tableColumn id="9" name="Пояснення"/>
  </tableColumns>
  <tableStyleInfo name="TableStyleLight8" showRowStripes="1" showColumnStripes="0"/>
</table>
</file>

<file path=xl/tables/table22.xml><?xml version="1.0" encoding="utf-8"?>
<table xmlns="http://schemas.openxmlformats.org/spreadsheetml/2006/main" id="22" name="Таблиця_22" displayName="Таблиця_22" ref="A483:C486" headerRowCount="1">
  <autoFilter ref="A483:C486"/>
  <tableColumns count="3">
    <tableColumn id="1" name="Підстава"/>
    <tableColumn id="2" name="Закупівель"/>
    <tableColumn id="3" name="Очікувана вартість, грн"/>
  </tableColumns>
  <tableStyleInfo name="TableStyleLight8" showRowStripes="1" showColumnStripes="0"/>
</table>
</file>

<file path=xl/tables/table23.xml><?xml version="1.0" encoding="utf-8"?>
<table xmlns="http://schemas.openxmlformats.org/spreadsheetml/2006/main" id="23" name="Таблиця_23" displayName="Таблиця_23" ref="A489:F523" headerRowCount="1">
  <autoFilter ref="A489:F523"/>
  <tableColumns count="6">
    <tableColumn id="1" name="Закупівля"/>
    <tableColumn id="2" name="Дата відміни"/>
    <tableColumn id="3" name="Замовник"/>
    <tableColumn id="4" name="Очікувана вартість, грн"/>
    <tableColumn id="5" name="Підстава"/>
    <tableColumn id="6" name="Обґрунтування"/>
  </tableColumns>
  <tableStyleInfo name="TableStyleLight8" showRowStripes="1" showColumnStripes="0"/>
</table>
</file>

<file path=xl/tables/table24.xml><?xml version="1.0" encoding="utf-8"?>
<table xmlns="http://schemas.openxmlformats.org/spreadsheetml/2006/main" id="24" name="Таблиця_24" displayName="Таблиця_24" ref="A81:O83" headerRowCount="1">
  <autoFilter ref="A81:O83"/>
  <tableColumns count="15">
    <tableColumn id="1" name="ЄДРПОУ"/>
    <tableColumn id="2" name="Компанія"/>
    <tableColumn id="3" name="Місце"/>
    <tableColumn id="4" name="Сума угод, грн"/>
    <tableColumn id="5" name="Частка ринку"/>
    <tableColumn id="6" name="Угод"/>
    <tableColumn id="7" name="Закупівель"/>
    <tableColumn id="8" name="Подань"/>
    <tableColumn id="9" name="Результативність"/>
    <tableColumn id="10" name="Середня угода, грн"/>
    <tableColumn id="11" name="Замовників"/>
    <tableColumn id="12" name="Областей"/>
    <tableColumn id="13" name="Основна ТМ"/>
    <tableColumn id="14" name="Основний товар"/>
    <tableColumn id="15" name="Відрив від лідера, грн"/>
  </tableColumns>
  <tableStyleInfo name="TableStyleLight8" showRowStripes="1" showColumnStripes="0"/>
</table>
</file>

<file path=xl/tables/table25.xml><?xml version="1.0" encoding="utf-8"?>
<table xmlns="http://schemas.openxmlformats.org/spreadsheetml/2006/main" id="25" name="Таблиця_25" displayName="Таблиця_25" ref="A86:H386" headerRowCount="1">
  <autoFilter ref="A86:H386"/>
  <tableColumns count="8">
    <tableColumn id="1" name="Закупівля"/>
    <tableColumn id="2" name="Дата"/>
    <tableColumn id="3" name="Замовник"/>
    <tableColumn id="4" name="Регіон"/>
    <tableColumn id="5" name="Предмет"/>
    <tableColumn id="6" name="Очікувана вартість, грн"/>
    <tableColumn id="7" name="Процедура"/>
    <tableColumn id="8" name="Переможець"/>
  </tableColumns>
  <tableStyleInfo name="TableStyleLight8" showRowStripes="1" showColumnStripes="0"/>
</table>
</file>

<file path=xl/tables/table26.xml><?xml version="1.0" encoding="utf-8"?>
<table xmlns="http://schemas.openxmlformats.org/spreadsheetml/2006/main" id="26" name="Таблиця_26" displayName="Таблиця_26" ref="A389:G467" headerRowCount="1">
  <autoFilter ref="A389:G467"/>
  <tableColumns count="7">
    <tableColumn id="1" name="ЄДРПОУ"/>
    <tableColumn id="2" name="Конкурент"/>
    <tableColumn id="3" name="Спільних закупівель"/>
    <tableColumn id="4" name="Виграли ми"/>
    <tableColumn id="5" name="Виграв конкурент"/>
    <tableColumn id="6" name="Медіанний розрив ціни"/>
    <tableColumn id="7" name="Сума їхніх перемог, грн"/>
  </tableColumns>
  <tableStyleInfo name="TableStyleLight8" showRowStripes="1" showColumnStripes="0"/>
</table>
</file>

<file path=xl/tables/table27.xml><?xml version="1.0" encoding="utf-8"?>
<table xmlns="http://schemas.openxmlformats.org/spreadsheetml/2006/main" id="27" name="Таблиця_27" displayName="Таблиця_27" ref="A55:T89" headerRowCount="1">
  <autoFilter ref="A55:T89"/>
  <tableColumns count="20">
    <tableColumn id="1" name="Місце"/>
    <tableColumn id="2" name="ЄДРПОУ"/>
    <tableColumn id="3" name="Компанія"/>
    <tableColumn id="4" name="Сума угод, грн"/>
    <tableColumn id="5" name="Частка"/>
    <tableColumn id="6" name="Угод"/>
    <tableColumn id="7" name="Подань"/>
    <tableColumn id="8" name="Результативність"/>
    <tableColumn id="9" name="Середня угода, грн"/>
    <tableColumn id="10" name="Основна ТМ"/>
    <tableColumn id="11" name="Частка ТМ"/>
    <tableColumn id="12" name="Основний товар"/>
    <tableColumn id="13" name="Без торгів"/>
    <tableColumn id="14" name="Дисконт"/>
    <tableColumn id="15" name="Областей"/>
    <tableColumn id="16" name="Замовників"/>
    <tableColumn id="17" name="Повторні"/>
    <tableColumn id="18" name="Сертифікатів"/>
    <tableColumn id="19" name="Авторизацій"/>
    <tableColumn id="20" name="Динаміка"/>
  </tableColumns>
  <tableStyleInfo name="TableStyleLight8" showRowStripes="1" showColumnStripes="0"/>
</table>
</file>

<file path=xl/tables/table28.xml><?xml version="1.0" encoding="utf-8"?>
<table xmlns="http://schemas.openxmlformats.org/spreadsheetml/2006/main" id="28" name="Таблиця_28" displayName="Таблиця_28" ref="A92:H125" headerRowCount="1">
  <autoFilter ref="A92:H125"/>
  <tableColumns count="8">
    <tableColumn id="1" name="ЄДРПОУ"/>
    <tableColumn id="2" name="Конкурент"/>
    <tableColumn id="3" name="Його перемог"/>
    <tableColumn id="4" name="Ми не подавалися"/>
    <tableColumn id="5" name="Програли за ціною"/>
    <tableColumn id="6" name="Програли не за ціною"/>
    <tableColumn id="7" name="Медіанний розрив ціни"/>
    <tableColumn id="8" name="Сума його перемог, грн"/>
  </tableColumns>
  <tableStyleInfo name="TableStyleLight8" showRowStripes="1" showColumnStripes="0"/>
</table>
</file>

<file path=xl/tables/table29.xml><?xml version="1.0" encoding="utf-8"?>
<table xmlns="http://schemas.openxmlformats.org/spreadsheetml/2006/main" id="29" name="Таблиця_29" displayName="Таблиця_29" ref="A120:K183" headerRowCount="1">
  <autoFilter ref="A120:K183"/>
  <tableColumns count="11">
    <tableColumn id="1" name="Торгова марка"/>
    <tableColumn id="2" name="Закупівель"/>
    <tableColumn id="3" name="Позицій"/>
    <tableColumn id="4" name="Сума угод, грн"/>
    <tableColumn id="5" name="Частка ринку"/>
    <tableColumn id="6" name="Компаній із цією ТМ"/>
    <tableColumn id="7" name="Головний гравець"/>
    <tableColumn id="8" name="Його частка в ТМ"/>
    <tableColumn id="9" name="Ексклюзив у вибірці"/>
    <tableColumn id="10" name="Власник ТМ за довідником"/>
    <tableColumn id="11" name="Дистриб'ютори"/>
  </tableColumns>
  <tableStyleInfo name="TableStyleLight8" showRowStripes="1" showColumnStripes="0"/>
</table>
</file>

<file path=xl/tables/table30.xml><?xml version="1.0" encoding="utf-8"?>
<table xmlns="http://schemas.openxmlformats.org/spreadsheetml/2006/main" id="30" name="Таблиця_30" displayName="Таблиця_30" ref="A186:P201" headerRowCount="1">
  <autoFilter ref="A186:P201"/>
  <tableColumns count="16">
    <tableColumn id="1" name="Компанія"/>
    <tableColumn id="2" name="ЄДРПОУ"/>
    <tableColumn id="3" name="Наша"/>
    <tableColumn id="4" name="Intel"/>
    <tableColumn id="5" name="Canon"/>
    <tableColumn id="6" name="HP"/>
    <tableColumn id="7" name="Lenovo"/>
    <tableColumn id="8" name="Samsung"/>
    <tableColumn id="9" name="AMD"/>
    <tableColumn id="10" name="ASUS"/>
    <tableColumn id="11" name="Dell"/>
    <tableColumn id="12" name="Vinga"/>
    <tableColumn id="13" name="Acer"/>
    <tableColumn id="14" name="Microsoft"/>
    <tableColumn id="15" name="Artline"/>
    <tableColumn id="16" name="Разом, грн"/>
  </tableColumns>
  <tableStyleInfo name="TableStyleLight8" showRowStripes="1" showColumnStripes="0"/>
</table>
</file>

<file path=xl/tables/table31.xml><?xml version="1.0" encoding="utf-8"?>
<table xmlns="http://schemas.openxmlformats.org/spreadsheetml/2006/main" id="31" name="Таблиця_31" displayName="Таблиця_31" ref="A204:I333" headerRowCount="1">
  <autoFilter ref="A204:I333"/>
  <tableColumns count="9">
    <tableColumn id="1" name="Товар"/>
    <tableColumn id="2" name="Позицій"/>
    <tableColumn id="3" name="Закупівель"/>
    <tableColumn id="4" name="Кількість"/>
    <tableColumn id="5" name="Медіанна ціна, грн"/>
    <tableColumn id="6" name="Мін. ціна, грн"/>
    <tableColumn id="7" name="Макс. ціна, грн"/>
    <tableColumn id="8" name="Головні ТМ"/>
    <tableColumn id="9" name="Варіанти назви"/>
  </tableColumns>
  <tableStyleInfo name="TableStyleLight8" showRowStripes="1" showColumnStripes="0"/>
</table>
</file>

<file path=xl/tables/table32.xml><?xml version="1.0" encoding="utf-8"?>
<table xmlns="http://schemas.openxmlformats.org/spreadsheetml/2006/main" id="32" name="Таблиця_32" displayName="Таблиця_32" ref="A336:H1027" headerRowCount="1">
  <autoFilter ref="A336:H1027"/>
  <tableColumns count="8">
    <tableColumn id="1" name="Товар"/>
    <tableColumn id="2" name="Позицій"/>
    <tableColumn id="3" name="Закупівель"/>
    <tableColumn id="4" name="Кількість"/>
    <tableColumn id="5" name="Медіанна ціна, грн"/>
    <tableColumn id="6" name="Мін. ціна, грн"/>
    <tableColumn id="7" name="Макс. ціна, грн"/>
    <tableColumn id="8" name="Головні ТМ"/>
  </tableColumns>
  <tableStyleInfo name="TableStyleLight8" showRowStripes="1" showColumnStripes="0"/>
</table>
</file>

<file path=xl/tables/table33.xml><?xml version="1.0" encoding="utf-8"?>
<table xmlns="http://schemas.openxmlformats.org/spreadsheetml/2006/main" id="33" name="Таблиця_33" displayName="Таблиця_33" ref="A1030:G1258" headerRowCount="1">
  <autoFilter ref="A1030:G1258"/>
  <tableColumns count="7">
    <tableColumn id="1" name="Бренд"/>
    <tableColumn id="2" name="Карток"/>
    <tableColumn id="3" name="Медіана нижнього квартиля, грн"/>
    <tableColumn id="4" name="Медіана верхнього квартиля, грн"/>
    <tableColumn id="5" name="Середньо характеристик"/>
    <tableColumn id="6" name="Середньо фото"/>
    <tableColumn id="7" name="Постачальники карток"/>
  </tableColumns>
  <tableStyleInfo name="TableStyleLight8" showRowStripes="1" showColumnStripes="0"/>
</table>
</file>

<file path=xl/tables/table34.xml><?xml version="1.0" encoding="utf-8"?>
<table xmlns="http://schemas.openxmlformats.org/spreadsheetml/2006/main" id="34" name="Таблиця_34" displayName="Таблиця_34" ref="A1261:B1321" headerRowCount="1">
  <autoFilter ref="A1261:B1321"/>
  <tableColumns count="2">
    <tableColumn id="1" name="Слово"/>
    <tableColumn id="2" name="Згадок"/>
  </tableColumns>
  <tableStyleInfo name="TableStyleLight8" showRowStripes="1" showColumnStripes="0"/>
</table>
</file>

<file path=xl/tables/table35.xml><?xml version="1.0" encoding="utf-8"?>
<table xmlns="http://schemas.openxmlformats.org/spreadsheetml/2006/main" id="35" name="Таблиця_35" displayName="Таблиця_35" ref="A35:K71" headerRowCount="1">
  <autoFilter ref="A35:K71"/>
  <tableColumns count="11">
    <tableColumn id="1" name="ЄДРПОУ"/>
    <tableColumn id="2" name="Компанія"/>
    <tableColumn id="3" name="Наша"/>
    <tableColumn id="4" name="Основні ТМ"/>
    <tableColumn id="5" name="Ексклюзивні ТМ"/>
    <tableColumn id="6" name="Власна ТМ за довідником"/>
    <tableColumn id="7" name="Авторизаційних листів"/>
    <tableColumn id="8" name="Сертифікатів"/>
    <tableColumn id="9" name="Постачальник картки в е-каталозі"/>
    <tableColumn id="10" name="Дистриб'ютори з довідника"/>
    <tableColumn id="11" name="Висновок про канал"/>
  </tableColumns>
  <tableStyleInfo name="TableStyleLight8" showRowStripes="1" showColumnStripes="0"/>
</table>
</file>

<file path=xl/tables/table36.xml><?xml version="1.0" encoding="utf-8"?>
<table xmlns="http://schemas.openxmlformats.org/spreadsheetml/2006/main" id="36" name="Таблиця_36" displayName="Таблиця_36" ref="A74:E126" headerRowCount="1">
  <autoFilter ref="A74:E126"/>
  <tableColumns count="5">
    <tableColumn id="1" name="Торгова марка"/>
    <tableColumn id="2" name="Компаній"/>
    <tableColumn id="3" name="Гравці (сума угод, грн)"/>
    <tableColumn id="4" name="Ексклюзив"/>
    <tableColumn id="5" name="Власник ТМ за довідником"/>
  </tableColumns>
  <tableStyleInfo name="TableStyleLight8" showRowStripes="1" showColumnStripes="0"/>
</table>
</file>

<file path=xl/tables/table37.xml><?xml version="1.0" encoding="utf-8"?>
<table xmlns="http://schemas.openxmlformats.org/spreadsheetml/2006/main" id="37" name="Таблиця_37" displayName="Таблиця_37" ref="A129:B141" headerRowCount="1">
  <autoFilter ref="A129:B141"/>
  <tableColumns count="2">
    <tableColumn id="1" name="Тип документа"/>
    <tableColumn id="2" name="Файлів"/>
  </tableColumns>
  <tableStyleInfo name="TableStyleLight8" showRowStripes="1" showColumnStripes="0"/>
</table>
</file>

<file path=xl/tables/table38.xml><?xml version="1.0" encoding="utf-8"?>
<table xmlns="http://schemas.openxmlformats.org/spreadsheetml/2006/main" id="38" name="Таблиця_38" displayName="Таблиця_38" ref="A83:R119" headerRowCount="1">
  <autoFilter ref="A83:R119"/>
  <tableColumns count="18">
    <tableColumn id="1" name="ЄДРПОУ"/>
    <tableColumn id="2" name="Компанія"/>
    <tableColumn id="3" name="Наша"/>
    <tableColumn id="4" name="Основна ТМ"/>
    <tableColumn id="5" name="Частка основної ТМ"/>
    <tableColumn id="6" name="ТМ у портфелі"/>
    <tableColumn id="7" name="З них продано ТМ"/>
    <tableColumn id="8" name="Власна ТМ"/>
    <tableColumn id="9" name="Сертифікатів"/>
    <tableColumn id="10" name="Авторизацій"/>
    <tableColumn id="11" name="Результативність"/>
    <tableColumn id="12" name="Дисконт"/>
    <tableColumn id="13" name="Областей"/>
    <tableColumn id="14" name="Замовників"/>
    <tableColumn id="15" name="Повторні замовники"/>
    <tableColumn id="16" name="Сильні сторони"/>
    <tableColumn id="17" name="Слабкі сторони"/>
    <tableColumn id="18" name="Що не виводиться з цифр"/>
  </tableColumns>
  <tableStyleInfo name="TableStyleLight8" showRowStripes="1" showColumnStripes="0"/>
</table>
</file>

<file path=xl/tables/table39.xml><?xml version="1.0" encoding="utf-8"?>
<table xmlns="http://schemas.openxmlformats.org/spreadsheetml/2006/main" id="39" name="Таблиця_39" displayName="Таблиця_39" ref="A141:D157" headerRowCount="1">
  <autoFilter ref="A141:D157"/>
  <tableColumns count="4">
    <tableColumn id="1" name="Торгова марка"/>
    <tableColumn id="2" name="Позицій"/>
    <tableColumn id="3" name="Частка"/>
    <tableColumn id="4" name="Власна ТМ за довідником"/>
  </tableColumns>
  <tableStyleInfo name="TableStyleLight8" showRowStripes="1" showColumnStripes="0"/>
</table>
</file>

<file path=xl/tables/table40.xml><?xml version="1.0" encoding="utf-8"?>
<table xmlns="http://schemas.openxmlformats.org/spreadsheetml/2006/main" id="40" name="Таблиця_40" displayName="Таблиця_40" ref="A160:B172" headerRowCount="1">
  <autoFilter ref="A160:B172"/>
  <tableColumns count="2">
    <tableColumn id="1" name="Товар"/>
    <tableColumn id="2" name="Позицій"/>
  </tableColumns>
  <tableStyleInfo name="TableStyleLight8" showRowStripes="1" showColumnStripes="0"/>
</table>
</file>

<file path=xl/tables/table41.xml><?xml version="1.0" encoding="utf-8"?>
<table xmlns="http://schemas.openxmlformats.org/spreadsheetml/2006/main" id="41" name="Таблиця_41" displayName="Таблиця_41" ref="A175:B187" headerRowCount="1">
  <autoFilter ref="A175:B187"/>
  <tableColumns count="2">
    <tableColumn id="1" name="Тип документа"/>
    <tableColumn id="2" name="Файлів"/>
  </tableColumns>
  <tableStyleInfo name="TableStyleLight8" showRowStripes="1" showColumnStripes="0"/>
</table>
</file>

<file path=xl/tables/table42.xml><?xml version="1.0" encoding="utf-8"?>
<table xmlns="http://schemas.openxmlformats.org/spreadsheetml/2006/main" id="42" name="Таблиця_42" displayName="Таблиця_42" ref="A190:F191" headerRowCount="1">
  <autoFilter ref="A190:F191"/>
  <tableColumns count="6">
    <tableColumn id="1" name="Закупівля"/>
    <tableColumn id="2" name="Дата"/>
    <tableColumn id="3" name="Замовник"/>
    <tableColumn id="4" name="Сума, грн"/>
    <tableColumn id="5" name="Причина"/>
    <tableColumn id="6" name="Формулювання замовника"/>
  </tableColumns>
  <tableStyleInfo name="TableStyleLight8" showRowStripes="1" showColumnStripes="0"/>
</table>
</file>

<file path=xl/tables/table43.xml><?xml version="1.0" encoding="utf-8"?>
<table xmlns="http://schemas.openxmlformats.org/spreadsheetml/2006/main" id="43" name="Таблиця_43" displayName="Таблиця_43" ref="A194:I207" headerRowCount="1">
  <autoFilter ref="A194:I207"/>
  <tableColumns count="9">
    <tableColumn id="1" name="Закупівля"/>
    <tableColumn id="2" name="Дата"/>
    <tableColumn id="3" name="Замовник"/>
    <tableColumn id="4" name="Регіон"/>
    <tableColumn id="5" name="Сума, грн"/>
    <tableColumn id="6" name="Очікувана, грн"/>
    <tableColumn id="7" name="Процедура"/>
    <tableColumn id="8" name="Галузь"/>
    <tableColumn id="9" name="Джерело"/>
  </tableColumns>
  <tableStyleInfo name="TableStyleLight8" showRowStripes="1" showColumnStripes="0"/>
</table>
</file>

<file path=xl/tables/table44.xml><?xml version="1.0" encoding="utf-8"?>
<table xmlns="http://schemas.openxmlformats.org/spreadsheetml/2006/main" id="44" name="Таблиця_44" displayName="Таблиця_44" ref="A91:B93" headerRowCount="1">
  <autoFilter ref="A91:B93"/>
  <tableColumns count="2">
    <tableColumn id="1" name="Товар"/>
    <tableColumn id="2" name="Позицій"/>
  </tableColumns>
  <tableStyleInfo name="TableStyleLight8" showRowStripes="1" showColumnStripes="0"/>
</table>
</file>

<file path=xl/tables/table45.xml><?xml version="1.0" encoding="utf-8"?>
<table xmlns="http://schemas.openxmlformats.org/spreadsheetml/2006/main" id="45" name="Таблиця_45" displayName="Таблиця_45" ref="A96:B107" headerRowCount="1">
  <autoFilter ref="A96:B107"/>
  <tableColumns count="2">
    <tableColumn id="1" name="Тип документа"/>
    <tableColumn id="2" name="Файлів"/>
  </tableColumns>
  <tableStyleInfo name="TableStyleLight8" showRowStripes="1" showColumnStripes="0"/>
</table>
</file>

<file path=xl/tables/table46.xml><?xml version="1.0" encoding="utf-8"?>
<table xmlns="http://schemas.openxmlformats.org/spreadsheetml/2006/main" id="46" name="Таблиця_46" displayName="Таблиця_46" ref="A110:I112" headerRowCount="1">
  <autoFilter ref="A110:I112"/>
  <tableColumns count="9">
    <tableColumn id="1" name="Закупівля"/>
    <tableColumn id="2" name="Дата"/>
    <tableColumn id="3" name="Замовник"/>
    <tableColumn id="4" name="Регіон"/>
    <tableColumn id="5" name="Сума, грн"/>
    <tableColumn id="6" name="Очікувана, грн"/>
    <tableColumn id="7" name="Процедура"/>
    <tableColumn id="8" name="Галузь"/>
    <tableColumn id="9" name="Джерело"/>
  </tableColumns>
  <tableStyleInfo name="TableStyleLight8" showRowStripes="1" showColumnStripes="0"/>
</table>
</file>

<file path=xl/tables/table47.xml><?xml version="1.0" encoding="utf-8"?>
<table xmlns="http://schemas.openxmlformats.org/spreadsheetml/2006/main" id="47" name="Таблиця_47" displayName="Таблиця_47" ref="A69:B71" headerRowCount="1">
  <autoFilter ref="A69:B71"/>
  <tableColumns count="2">
    <tableColumn id="1" name="Товар"/>
    <tableColumn id="2" name="Позицій"/>
  </tableColumns>
  <tableStyleInfo name="TableStyleLight8" showRowStripes="1" showColumnStripes="0"/>
</table>
</file>

<file path=xl/tables/table48.xml><?xml version="1.0" encoding="utf-8"?>
<table xmlns="http://schemas.openxmlformats.org/spreadsheetml/2006/main" id="48" name="Таблиця_48" displayName="Таблиця_48" ref="A74:B86" headerRowCount="1">
  <autoFilter ref="A74:B86"/>
  <tableColumns count="2">
    <tableColumn id="1" name="Тип документа"/>
    <tableColumn id="2" name="Файлів"/>
  </tableColumns>
  <tableStyleInfo name="TableStyleLight8" showRowStripes="1" showColumnStripes="0"/>
</table>
</file>

<file path=xl/tables/table49.xml><?xml version="1.0" encoding="utf-8"?>
<table xmlns="http://schemas.openxmlformats.org/spreadsheetml/2006/main" id="49" name="Таблиця_49" displayName="Таблиця_49" ref="A89:I91" headerRowCount="1">
  <autoFilter ref="A89:I91"/>
  <tableColumns count="9">
    <tableColumn id="1" name="Закупівля"/>
    <tableColumn id="2" name="Дата"/>
    <tableColumn id="3" name="Замовник"/>
    <tableColumn id="4" name="Регіон"/>
    <tableColumn id="5" name="Сума, грн"/>
    <tableColumn id="6" name="Очікувана, грн"/>
    <tableColumn id="7" name="Процедура"/>
    <tableColumn id="8" name="Галузь"/>
    <tableColumn id="9" name="Джерело"/>
  </tableColumns>
  <tableStyleInfo name="TableStyleLight8" showRowStripes="1" showColumnStripes="0"/>
</table>
</file>

<file path=xl/tables/table50.xml><?xml version="1.0" encoding="utf-8"?>
<table xmlns="http://schemas.openxmlformats.org/spreadsheetml/2006/main" id="50" name="Таблиця_50" displayName="Таблиця_50" ref="A94:H96" headerRowCount="1">
  <autoFilter ref="A94:H96"/>
  <tableColumns count="8">
    <tableColumn id="1" name="Закупівля"/>
    <tableColumn id="2" name="Дата"/>
    <tableColumn id="3" name="Замовник"/>
    <tableColumn id="4" name="Предмет"/>
    <tableColumn id="5" name="Сума переможця, грн"/>
    <tableColumn id="6" name="Наша пропозиція, грн"/>
    <tableColumn id="7" name="Розрив"/>
    <tableColumn id="8" name="Що сталося"/>
  </tableColumns>
  <tableStyleInfo name="TableStyleLight8" showRowStripes="1" showColumnStripes="0"/>
</table>
</file>

<file path=xl/tables/table51.xml><?xml version="1.0" encoding="utf-8"?>
<table xmlns="http://schemas.openxmlformats.org/spreadsheetml/2006/main" id="51" name="Таблиця_51" displayName="Таблиця_51" ref="A90:D93" headerRowCount="1">
  <autoFilter ref="A90:D93"/>
  <tableColumns count="4">
    <tableColumn id="1" name="Торгова марка"/>
    <tableColumn id="2" name="Позицій"/>
    <tableColumn id="3" name="Частка"/>
    <tableColumn id="4" name="Власна ТМ за довідником"/>
  </tableColumns>
  <tableStyleInfo name="TableStyleLight8" showRowStripes="1" showColumnStripes="0"/>
</table>
</file>

<file path=xl/tables/table52.xml><?xml version="1.0" encoding="utf-8"?>
<table xmlns="http://schemas.openxmlformats.org/spreadsheetml/2006/main" id="52" name="Таблиця_52" displayName="Таблиця_52" ref="A96:B98" headerRowCount="1">
  <autoFilter ref="A96:B98"/>
  <tableColumns count="2">
    <tableColumn id="1" name="Товар"/>
    <tableColumn id="2" name="Позицій"/>
  </tableColumns>
  <tableStyleInfo name="TableStyleLight8" showRowStripes="1" showColumnStripes="0"/>
</table>
</file>

<file path=xl/tables/table53.xml><?xml version="1.0" encoding="utf-8"?>
<table xmlns="http://schemas.openxmlformats.org/spreadsheetml/2006/main" id="53" name="Таблиця_53" displayName="Таблиця_53" ref="A101:B105" headerRowCount="1">
  <autoFilter ref="A101:B105"/>
  <tableColumns count="2">
    <tableColumn id="1" name="Тип документа"/>
    <tableColumn id="2" name="Файлів"/>
  </tableColumns>
  <tableStyleInfo name="TableStyleLight8" showRowStripes="1" showColumnStripes="0"/>
</table>
</file>

<file path=xl/tables/table54.xml><?xml version="1.0" encoding="utf-8"?>
<table xmlns="http://schemas.openxmlformats.org/spreadsheetml/2006/main" id="54" name="Таблиця_54" displayName="Таблиця_54" ref="A108:I109" headerRowCount="1">
  <autoFilter ref="A108:I109"/>
  <tableColumns count="9">
    <tableColumn id="1" name="Закупівля"/>
    <tableColumn id="2" name="Дата"/>
    <tableColumn id="3" name="Замовник"/>
    <tableColumn id="4" name="Регіон"/>
    <tableColumn id="5" name="Сума, грн"/>
    <tableColumn id="6" name="Очікувана, грн"/>
    <tableColumn id="7" name="Процедура"/>
    <tableColumn id="8" name="Галузь"/>
    <tableColumn id="9" name="Джерело"/>
  </tableColumns>
  <tableStyleInfo name="TableStyleLight8" showRowStripes="1" showColumnStripes="0"/>
</table>
</file>

<file path=xl/tables/table55.xml><?xml version="1.0" encoding="utf-8"?>
<table xmlns="http://schemas.openxmlformats.org/spreadsheetml/2006/main" id="55" name="Таблиця_55" displayName="Таблиця_55" ref="A112:H113" headerRowCount="1">
  <autoFilter ref="A112:H113"/>
  <tableColumns count="8">
    <tableColumn id="1" name="Закупівля"/>
    <tableColumn id="2" name="Дата"/>
    <tableColumn id="3" name="Замовник"/>
    <tableColumn id="4" name="Предмет"/>
    <tableColumn id="5" name="Сума переможця, грн"/>
    <tableColumn id="6" name="Наша пропозиція, грн"/>
    <tableColumn id="7" name="Розрив"/>
    <tableColumn id="8" name="Що сталося"/>
  </tableColumns>
  <tableStyleInfo name="TableStyleLight8" showRowStripes="1" showColumnStripes="0"/>
</table>
</file>

<file path=xl/tables/table56.xml><?xml version="1.0" encoding="utf-8"?>
<table xmlns="http://schemas.openxmlformats.org/spreadsheetml/2006/main" id="56" name="Таблиця_56" displayName="Таблиця_56" ref="A135:D139" headerRowCount="1">
  <autoFilter ref="A135:D139"/>
  <tableColumns count="4">
    <tableColumn id="1" name="Торгова марка"/>
    <tableColumn id="2" name="Позицій"/>
    <tableColumn id="3" name="Частка"/>
    <tableColumn id="4" name="Власна ТМ за довідником"/>
  </tableColumns>
  <tableStyleInfo name="TableStyleLight8" showRowStripes="1" showColumnStripes="0"/>
</table>
</file>

<file path=xl/tables/table57.xml><?xml version="1.0" encoding="utf-8"?>
<table xmlns="http://schemas.openxmlformats.org/spreadsheetml/2006/main" id="57" name="Таблиця_57" displayName="Таблиця_57" ref="A142:B146" headerRowCount="1">
  <autoFilter ref="A142:B146"/>
  <tableColumns count="2">
    <tableColumn id="1" name="Товар"/>
    <tableColumn id="2" name="Позицій"/>
  </tableColumns>
  <tableStyleInfo name="TableStyleLight8" showRowStripes="1" showColumnStripes="0"/>
</table>
</file>

<file path=xl/tables/table58.xml><?xml version="1.0" encoding="utf-8"?>
<table xmlns="http://schemas.openxmlformats.org/spreadsheetml/2006/main" id="58" name="Таблиця_58" displayName="Таблиця_58" ref="A149:B159" headerRowCount="1">
  <autoFilter ref="A149:B159"/>
  <tableColumns count="2">
    <tableColumn id="1" name="Тип документа"/>
    <tableColumn id="2" name="Файлів"/>
  </tableColumns>
  <tableStyleInfo name="TableStyleLight8" showRowStripes="1" showColumnStripes="0"/>
</table>
</file>

<file path=xl/tables/table59.xml><?xml version="1.0" encoding="utf-8"?>
<table xmlns="http://schemas.openxmlformats.org/spreadsheetml/2006/main" id="59" name="Таблиця_59" displayName="Таблиця_59" ref="A162:F163" headerRowCount="1">
  <autoFilter ref="A162:F163"/>
  <tableColumns count="6">
    <tableColumn id="1" name="Закупівля"/>
    <tableColumn id="2" name="Дата"/>
    <tableColumn id="3" name="Замовник"/>
    <tableColumn id="4" name="Сума, грн"/>
    <tableColumn id="5" name="Причина"/>
    <tableColumn id="6" name="Формулювання замовника"/>
  </tableColumns>
  <tableStyleInfo name="TableStyleLight8" showRowStripes="1" showColumnStripes="0"/>
</table>
</file>

<file path=xl/tables/table60.xml><?xml version="1.0" encoding="utf-8"?>
<table xmlns="http://schemas.openxmlformats.org/spreadsheetml/2006/main" id="60" name="Таблиця_60" displayName="Таблиця_60" ref="A166:I175" headerRowCount="1">
  <autoFilter ref="A166:I175"/>
  <tableColumns count="9">
    <tableColumn id="1" name="Закупівля"/>
    <tableColumn id="2" name="Дата"/>
    <tableColumn id="3" name="Замовник"/>
    <tableColumn id="4" name="Регіон"/>
    <tableColumn id="5" name="Сума, грн"/>
    <tableColumn id="6" name="Очікувана, грн"/>
    <tableColumn id="7" name="Процедура"/>
    <tableColumn id="8" name="Галузь"/>
    <tableColumn id="9" name="Джерело"/>
  </tableColumns>
  <tableStyleInfo name="TableStyleLight8" showRowStripes="1" showColumnStripes="0"/>
</table>
</file>

<file path=xl/tables/table61.xml><?xml version="1.0" encoding="utf-8"?>
<table xmlns="http://schemas.openxmlformats.org/spreadsheetml/2006/main" id="61" name="Таблиця_61" displayName="Таблиця_61" ref="A178:H187" headerRowCount="1">
  <autoFilter ref="A178:H187"/>
  <tableColumns count="8">
    <tableColumn id="1" name="Закупівля"/>
    <tableColumn id="2" name="Дата"/>
    <tableColumn id="3" name="Замовник"/>
    <tableColumn id="4" name="Предмет"/>
    <tableColumn id="5" name="Сума переможця, грн"/>
    <tableColumn id="6" name="Наша пропозиція, грн"/>
    <tableColumn id="7" name="Розрив"/>
    <tableColumn id="8" name="Що сталося"/>
  </tableColumns>
  <tableStyleInfo name="TableStyleLight8" showRowStripes="1" showColumnStripes="0"/>
</table>
</file>

<file path=xl/tables/table62.xml><?xml version="1.0" encoding="utf-8"?>
<table xmlns="http://schemas.openxmlformats.org/spreadsheetml/2006/main" id="62" name="Таблиця_62" displayName="Таблиця_62" ref="A137:D144" headerRowCount="1">
  <autoFilter ref="A137:D144"/>
  <tableColumns count="4">
    <tableColumn id="1" name="Торгова марка"/>
    <tableColumn id="2" name="Позицій"/>
    <tableColumn id="3" name="Частка"/>
    <tableColumn id="4" name="Власна ТМ за довідником"/>
  </tableColumns>
  <tableStyleInfo name="TableStyleLight8" showRowStripes="1" showColumnStripes="0"/>
</table>
</file>

<file path=xl/tables/table63.xml><?xml version="1.0" encoding="utf-8"?>
<table xmlns="http://schemas.openxmlformats.org/spreadsheetml/2006/main" id="63" name="Таблиця_63" displayName="Таблиця_63" ref="A147:B153" headerRowCount="1">
  <autoFilter ref="A147:B153"/>
  <tableColumns count="2">
    <tableColumn id="1" name="Товар"/>
    <tableColumn id="2" name="Позицій"/>
  </tableColumns>
  <tableStyleInfo name="TableStyleLight8" showRowStripes="1" showColumnStripes="0"/>
</table>
</file>

<file path=xl/tables/table64.xml><?xml version="1.0" encoding="utf-8"?>
<table xmlns="http://schemas.openxmlformats.org/spreadsheetml/2006/main" id="64" name="Таблиця_64" displayName="Таблиця_64" ref="A156:B167" headerRowCount="1">
  <autoFilter ref="A156:B167"/>
  <tableColumns count="2">
    <tableColumn id="1" name="Тип документа"/>
    <tableColumn id="2" name="Файлів"/>
  </tableColumns>
  <tableStyleInfo name="TableStyleLight8" showRowStripes="1" showColumnStripes="0"/>
</table>
</file>

<file path=xl/tables/table65.xml><?xml version="1.0" encoding="utf-8"?>
<table xmlns="http://schemas.openxmlformats.org/spreadsheetml/2006/main" id="65" name="Таблиця_65" displayName="Таблиця_65" ref="A170:F185" headerRowCount="1">
  <autoFilter ref="A170:F185"/>
  <tableColumns count="6">
    <tableColumn id="1" name="Закупівля"/>
    <tableColumn id="2" name="Дата"/>
    <tableColumn id="3" name="Замовник"/>
    <tableColumn id="4" name="Сума, грн"/>
    <tableColumn id="5" name="Причина"/>
    <tableColumn id="6" name="Формулювання замовника"/>
  </tableColumns>
  <tableStyleInfo name="TableStyleLight8" showRowStripes="1" showColumnStripes="0"/>
</table>
</file>

<file path=xl/tables/table66.xml><?xml version="1.0" encoding="utf-8"?>
<table xmlns="http://schemas.openxmlformats.org/spreadsheetml/2006/main" id="66" name="Таблиця_66" displayName="Таблиця_66" ref="A188:I193" headerRowCount="1">
  <autoFilter ref="A188:I193"/>
  <tableColumns count="9">
    <tableColumn id="1" name="Закупівля"/>
    <tableColumn id="2" name="Дата"/>
    <tableColumn id="3" name="Замовник"/>
    <tableColumn id="4" name="Регіон"/>
    <tableColumn id="5" name="Сума, грн"/>
    <tableColumn id="6" name="Очікувана, грн"/>
    <tableColumn id="7" name="Процедура"/>
    <tableColumn id="8" name="Галузь"/>
    <tableColumn id="9" name="Джерело"/>
  </tableColumns>
  <tableStyleInfo name="TableStyleLight8" showRowStripes="1" showColumnStripes="0"/>
</table>
</file>

<file path=xl/tables/table67.xml><?xml version="1.0" encoding="utf-8"?>
<table xmlns="http://schemas.openxmlformats.org/spreadsheetml/2006/main" id="67" name="Таблиця_67" displayName="Таблиця_67" ref="A196:H201" headerRowCount="1">
  <autoFilter ref="A196:H201"/>
  <tableColumns count="8">
    <tableColumn id="1" name="Закупівля"/>
    <tableColumn id="2" name="Дата"/>
    <tableColumn id="3" name="Замовник"/>
    <tableColumn id="4" name="Предмет"/>
    <tableColumn id="5" name="Сума переможця, грн"/>
    <tableColumn id="6" name="Наша пропозиція, грн"/>
    <tableColumn id="7" name="Розрив"/>
    <tableColumn id="8" name="Що сталося"/>
  </tableColumns>
  <tableStyleInfo name="TableStyleLight8" showRowStripes="1" showColumnStripes="0"/>
</table>
</file>

<file path=xl/tables/table68.xml><?xml version="1.0" encoding="utf-8"?>
<table xmlns="http://schemas.openxmlformats.org/spreadsheetml/2006/main" id="68" name="Таблиця_68" displayName="Таблиця_68" ref="A70:B72" headerRowCount="1">
  <autoFilter ref="A70:B72"/>
  <tableColumns count="2">
    <tableColumn id="1" name="Товар"/>
    <tableColumn id="2" name="Позицій"/>
  </tableColumns>
  <tableStyleInfo name="TableStyleLight8" showRowStripes="1" showColumnStripes="0"/>
</table>
</file>

<file path=xl/tables/table69.xml><?xml version="1.0" encoding="utf-8"?>
<table xmlns="http://schemas.openxmlformats.org/spreadsheetml/2006/main" id="69" name="Таблиця_69" displayName="Таблиця_69" ref="A75:B84" headerRowCount="1">
  <autoFilter ref="A75:B84"/>
  <tableColumns count="2">
    <tableColumn id="1" name="Тип документа"/>
    <tableColumn id="2" name="Файлів"/>
  </tableColumns>
  <tableStyleInfo name="TableStyleLight8" showRowStripes="1" showColumnStripes="0"/>
</table>
</file>

<file path=xl/tables/table70.xml><?xml version="1.0" encoding="utf-8"?>
<table xmlns="http://schemas.openxmlformats.org/spreadsheetml/2006/main" id="70" name="Таблиця_70" displayName="Таблиця_70" ref="A87:I89" headerRowCount="1">
  <autoFilter ref="A87:I89"/>
  <tableColumns count="9">
    <tableColumn id="1" name="Закупівля"/>
    <tableColumn id="2" name="Дата"/>
    <tableColumn id="3" name="Замовник"/>
    <tableColumn id="4" name="Регіон"/>
    <tableColumn id="5" name="Сума, грн"/>
    <tableColumn id="6" name="Очікувана, грн"/>
    <tableColumn id="7" name="Процедура"/>
    <tableColumn id="8" name="Галузь"/>
    <tableColumn id="9" name="Джерело"/>
  </tableColumns>
  <tableStyleInfo name="TableStyleLight8" showRowStripes="1" showColumnStripes="0"/>
</table>
</file>

<file path=xl/tables/table71.xml><?xml version="1.0" encoding="utf-8"?>
<table xmlns="http://schemas.openxmlformats.org/spreadsheetml/2006/main" id="71" name="Таблиця_71" displayName="Таблиця_71" ref="A92:H94" headerRowCount="1">
  <autoFilter ref="A92:H94"/>
  <tableColumns count="8">
    <tableColumn id="1" name="Закупівля"/>
    <tableColumn id="2" name="Дата"/>
    <tableColumn id="3" name="Замовник"/>
    <tableColumn id="4" name="Предмет"/>
    <tableColumn id="5" name="Сума переможця, грн"/>
    <tableColumn id="6" name="Наша пропозиція, грн"/>
    <tableColumn id="7" name="Розрив"/>
    <tableColumn id="8" name="Що сталося"/>
  </tableColumns>
  <tableStyleInfo name="TableStyleLight8" showRowStripes="1" showColumnStripes="0"/>
</table>
</file>

<file path=xl/tables/table72.xml><?xml version="1.0" encoding="utf-8"?>
<table xmlns="http://schemas.openxmlformats.org/spreadsheetml/2006/main" id="72" name="Таблиця_72" displayName="Таблиця_72" ref="A140:D158" headerRowCount="1">
  <autoFilter ref="A140:D158"/>
  <tableColumns count="4">
    <tableColumn id="1" name="Торгова марка"/>
    <tableColumn id="2" name="Позицій"/>
    <tableColumn id="3" name="Частка"/>
    <tableColumn id="4" name="Власна ТМ за довідником"/>
  </tableColumns>
  <tableStyleInfo name="TableStyleLight8" showRowStripes="1" showColumnStripes="0"/>
</table>
</file>

<file path=xl/tables/table73.xml><?xml version="1.0" encoding="utf-8"?>
<table xmlns="http://schemas.openxmlformats.org/spreadsheetml/2006/main" id="73" name="Таблиця_73" displayName="Таблиця_73" ref="A161:B172" headerRowCount="1">
  <autoFilter ref="A161:B172"/>
  <tableColumns count="2">
    <tableColumn id="1" name="Товар"/>
    <tableColumn id="2" name="Позицій"/>
  </tableColumns>
  <tableStyleInfo name="TableStyleLight8" showRowStripes="1" showColumnStripes="0"/>
</table>
</file>

<file path=xl/tables/table74.xml><?xml version="1.0" encoding="utf-8"?>
<table xmlns="http://schemas.openxmlformats.org/spreadsheetml/2006/main" id="74" name="Таблиця_74" displayName="Таблиця_74" ref="A175:B187" headerRowCount="1">
  <autoFilter ref="A175:B187"/>
  <tableColumns count="2">
    <tableColumn id="1" name="Тип документа"/>
    <tableColumn id="2" name="Файлів"/>
  </tableColumns>
  <tableStyleInfo name="TableStyleLight8" showRowStripes="1" showColumnStripes="0"/>
</table>
</file>

<file path=xl/tables/table75.xml><?xml version="1.0" encoding="utf-8"?>
<table xmlns="http://schemas.openxmlformats.org/spreadsheetml/2006/main" id="75" name="Таблиця_75" displayName="Таблиця_75" ref="A190:F194" headerRowCount="1">
  <autoFilter ref="A190:F194"/>
  <tableColumns count="6">
    <tableColumn id="1" name="Закупівля"/>
    <tableColumn id="2" name="Дата"/>
    <tableColumn id="3" name="Замовник"/>
    <tableColumn id="4" name="Сума, грн"/>
    <tableColumn id="5" name="Причина"/>
    <tableColumn id="6" name="Формулювання замовника"/>
  </tableColumns>
  <tableStyleInfo name="TableStyleLight8" showRowStripes="1" showColumnStripes="0"/>
</table>
</file>

<file path=xl/tables/table76.xml><?xml version="1.0" encoding="utf-8"?>
<table xmlns="http://schemas.openxmlformats.org/spreadsheetml/2006/main" id="76" name="Таблиця_76" displayName="Таблиця_76" ref="A197:I207" headerRowCount="1">
  <autoFilter ref="A197:I207"/>
  <tableColumns count="9">
    <tableColumn id="1" name="Закупівля"/>
    <tableColumn id="2" name="Дата"/>
    <tableColumn id="3" name="Замовник"/>
    <tableColumn id="4" name="Регіон"/>
    <tableColumn id="5" name="Сума, грн"/>
    <tableColumn id="6" name="Очікувана, грн"/>
    <tableColumn id="7" name="Процедура"/>
    <tableColumn id="8" name="Галузь"/>
    <tableColumn id="9" name="Джерело"/>
  </tableColumns>
  <tableStyleInfo name="TableStyleLight8" showRowStripes="1" showColumnStripes="0"/>
</table>
</file>

<file path=xl/tables/table77.xml><?xml version="1.0" encoding="utf-8"?>
<table xmlns="http://schemas.openxmlformats.org/spreadsheetml/2006/main" id="77" name="Таблиця_77" displayName="Таблиця_77" ref="A210:H220" headerRowCount="1">
  <autoFilter ref="A210:H220"/>
  <tableColumns count="8">
    <tableColumn id="1" name="Закупівля"/>
    <tableColumn id="2" name="Дата"/>
    <tableColumn id="3" name="Замовник"/>
    <tableColumn id="4" name="Предмет"/>
    <tableColumn id="5" name="Сума переможця, грн"/>
    <tableColumn id="6" name="Наша пропозиція, грн"/>
    <tableColumn id="7" name="Розрив"/>
    <tableColumn id="8" name="Що сталося"/>
  </tableColumns>
  <tableStyleInfo name="TableStyleLight8" showRowStripes="1" showColumnStripes="0"/>
</table>
</file>

<file path=xl/tables/table78.xml><?xml version="1.0" encoding="utf-8"?>
<table xmlns="http://schemas.openxmlformats.org/spreadsheetml/2006/main" id="78" name="Таблиця_78" displayName="Таблиця_78" ref="A137:D143" headerRowCount="1">
  <autoFilter ref="A137:D143"/>
  <tableColumns count="4">
    <tableColumn id="1" name="Торгова марка"/>
    <tableColumn id="2" name="Позицій"/>
    <tableColumn id="3" name="Частка"/>
    <tableColumn id="4" name="Власна ТМ за довідником"/>
  </tableColumns>
  <tableStyleInfo name="TableStyleLight8" showRowStripes="1" showColumnStripes="0"/>
</table>
</file>

<file path=xl/tables/table79.xml><?xml version="1.0" encoding="utf-8"?>
<table xmlns="http://schemas.openxmlformats.org/spreadsheetml/2006/main" id="79" name="Таблиця_79" displayName="Таблиця_79" ref="A146:B151" headerRowCount="1">
  <autoFilter ref="A146:B151"/>
  <tableColumns count="2">
    <tableColumn id="1" name="Товар"/>
    <tableColumn id="2" name="Позицій"/>
  </tableColumns>
  <tableStyleInfo name="TableStyleLight8" showRowStripes="1" showColumnStripes="0"/>
</table>
</file>

<file path=xl/tables/table80.xml><?xml version="1.0" encoding="utf-8"?>
<table xmlns="http://schemas.openxmlformats.org/spreadsheetml/2006/main" id="80" name="Таблиця_80" displayName="Таблиця_80" ref="A154:B157" headerRowCount="1">
  <autoFilter ref="A154:B157"/>
  <tableColumns count="2">
    <tableColumn id="1" name="Тип документа"/>
    <tableColumn id="2" name="Файлів"/>
  </tableColumns>
  <tableStyleInfo name="TableStyleLight8" showRowStripes="1" showColumnStripes="0"/>
</table>
</file>

<file path=xl/tables/table81.xml><?xml version="1.0" encoding="utf-8"?>
<table xmlns="http://schemas.openxmlformats.org/spreadsheetml/2006/main" id="81" name="Таблиця_81" displayName="Таблиця_81" ref="A160:F180" headerRowCount="1">
  <autoFilter ref="A160:F180"/>
  <tableColumns count="6">
    <tableColumn id="1" name="Закупівля"/>
    <tableColumn id="2" name="Дата"/>
    <tableColumn id="3" name="Замовник"/>
    <tableColumn id="4" name="Сума, грн"/>
    <tableColumn id="5" name="Причина"/>
    <tableColumn id="6" name="Формулювання замовника"/>
  </tableColumns>
  <tableStyleInfo name="TableStyleLight8" showRowStripes="1" showColumnStripes="0"/>
</table>
</file>

<file path=xl/tables/table82.xml><?xml version="1.0" encoding="utf-8"?>
<table xmlns="http://schemas.openxmlformats.org/spreadsheetml/2006/main" id="82" name="Таблиця_82" displayName="Таблиця_82" ref="A183:I196" headerRowCount="1">
  <autoFilter ref="A183:I196"/>
  <tableColumns count="9">
    <tableColumn id="1" name="Закупівля"/>
    <tableColumn id="2" name="Дата"/>
    <tableColumn id="3" name="Замовник"/>
    <tableColumn id="4" name="Регіон"/>
    <tableColumn id="5" name="Сума, грн"/>
    <tableColumn id="6" name="Очікувана, грн"/>
    <tableColumn id="7" name="Процедура"/>
    <tableColumn id="8" name="Галузь"/>
    <tableColumn id="9" name="Джерело"/>
  </tableColumns>
  <tableStyleInfo name="TableStyleLight8" showRowStripes="1" showColumnStripes="0"/>
</table>
</file>

<file path=xl/tables/table83.xml><?xml version="1.0" encoding="utf-8"?>
<table xmlns="http://schemas.openxmlformats.org/spreadsheetml/2006/main" id="83" name="Таблиця_83" displayName="Таблиця_83" ref="A199:H212" headerRowCount="1">
  <autoFilter ref="A199:H212"/>
  <tableColumns count="8">
    <tableColumn id="1" name="Закупівля"/>
    <tableColumn id="2" name="Дата"/>
    <tableColumn id="3" name="Замовник"/>
    <tableColumn id="4" name="Предмет"/>
    <tableColumn id="5" name="Сума переможця, грн"/>
    <tableColumn id="6" name="Наша пропозиція, грн"/>
    <tableColumn id="7" name="Розрив"/>
    <tableColumn id="8" name="Що сталося"/>
  </tableColumns>
  <tableStyleInfo name="TableStyleLight8" showRowStripes="1" showColumnStripes="0"/>
</table>
</file>

<file path=xl/tables/table84.xml><?xml version="1.0" encoding="utf-8"?>
<table xmlns="http://schemas.openxmlformats.org/spreadsheetml/2006/main" id="84" name="Таблиця_84" displayName="Таблиця_84" ref="A69:B70" headerRowCount="1">
  <autoFilter ref="A69:B70"/>
  <tableColumns count="2">
    <tableColumn id="1" name="Товар"/>
    <tableColumn id="2" name="Позицій"/>
  </tableColumns>
  <tableStyleInfo name="TableStyleLight8" showRowStripes="1" showColumnStripes="0"/>
</table>
</file>

<file path=xl/tables/table85.xml><?xml version="1.0" encoding="utf-8"?>
<table xmlns="http://schemas.openxmlformats.org/spreadsheetml/2006/main" id="85" name="Таблиця_85" displayName="Таблиця_85" ref="A73:B82" headerRowCount="1">
  <autoFilter ref="A73:B82"/>
  <tableColumns count="2">
    <tableColumn id="1" name="Тип документа"/>
    <tableColumn id="2" name="Файлів"/>
  </tableColumns>
  <tableStyleInfo name="TableStyleLight8" showRowStripes="1" showColumnStripes="0"/>
</table>
</file>

<file path=xl/tables/table86.xml><?xml version="1.0" encoding="utf-8"?>
<table xmlns="http://schemas.openxmlformats.org/spreadsheetml/2006/main" id="86" name="Таблиця_86" displayName="Таблиця_86" ref="A85:I87" headerRowCount="1">
  <autoFilter ref="A85:I87"/>
  <tableColumns count="9">
    <tableColumn id="1" name="Закупівля"/>
    <tableColumn id="2" name="Дата"/>
    <tableColumn id="3" name="Замовник"/>
    <tableColumn id="4" name="Регіон"/>
    <tableColumn id="5" name="Сума, грн"/>
    <tableColumn id="6" name="Очікувана, грн"/>
    <tableColumn id="7" name="Процедура"/>
    <tableColumn id="8" name="Галузь"/>
    <tableColumn id="9" name="Джерело"/>
  </tableColumns>
  <tableStyleInfo name="TableStyleLight8" showRowStripes="1" showColumnStripes="0"/>
</table>
</file>

<file path=xl/tables/table87.xml><?xml version="1.0" encoding="utf-8"?>
<table xmlns="http://schemas.openxmlformats.org/spreadsheetml/2006/main" id="87" name="Таблиця_87" displayName="Таблиця_87" ref="A90:H92" headerRowCount="1">
  <autoFilter ref="A90:H92"/>
  <tableColumns count="8">
    <tableColumn id="1" name="Закупівля"/>
    <tableColumn id="2" name="Дата"/>
    <tableColumn id="3" name="Замовник"/>
    <tableColumn id="4" name="Предмет"/>
    <tableColumn id="5" name="Сума переможця, грн"/>
    <tableColumn id="6" name="Наша пропозиція, грн"/>
    <tableColumn id="7" name="Розрив"/>
    <tableColumn id="8" name="Що сталося"/>
  </tableColumns>
  <tableStyleInfo name="TableStyleLight8" showRowStripes="1" showColumnStripes="0"/>
</table>
</file>

<file path=xl/tables/table88.xml><?xml version="1.0" encoding="utf-8"?>
<table xmlns="http://schemas.openxmlformats.org/spreadsheetml/2006/main" id="88" name="Таблиця_88" displayName="Таблиця_88" ref="A136:D141" headerRowCount="1">
  <autoFilter ref="A136:D141"/>
  <tableColumns count="4">
    <tableColumn id="1" name="Торгова марка"/>
    <tableColumn id="2" name="Позицій"/>
    <tableColumn id="3" name="Частка"/>
    <tableColumn id="4" name="Власна ТМ за довідником"/>
  </tableColumns>
  <tableStyleInfo name="TableStyleLight8" showRowStripes="1" showColumnStripes="0"/>
</table>
</file>

<file path=xl/tables/table89.xml><?xml version="1.0" encoding="utf-8"?>
<table xmlns="http://schemas.openxmlformats.org/spreadsheetml/2006/main" id="89" name="Таблиця_89" displayName="Таблиця_89" ref="A144:B148" headerRowCount="1">
  <autoFilter ref="A144:B148"/>
  <tableColumns count="2">
    <tableColumn id="1" name="Товар"/>
    <tableColumn id="2" name="Позицій"/>
  </tableColumns>
  <tableStyleInfo name="TableStyleLight8" showRowStripes="1" showColumnStripes="0"/>
</table>
</file>

<file path=xl/tables/table90.xml><?xml version="1.0" encoding="utf-8"?>
<table xmlns="http://schemas.openxmlformats.org/spreadsheetml/2006/main" id="90" name="Таблиця_90" displayName="Таблиця_90" ref="A151:B160" headerRowCount="1">
  <autoFilter ref="A151:B160"/>
  <tableColumns count="2">
    <tableColumn id="1" name="Тип документа"/>
    <tableColumn id="2" name="Файлів"/>
  </tableColumns>
  <tableStyleInfo name="TableStyleLight8" showRowStripes="1" showColumnStripes="0"/>
</table>
</file>

<file path=xl/tables/table91.xml><?xml version="1.0" encoding="utf-8"?>
<table xmlns="http://schemas.openxmlformats.org/spreadsheetml/2006/main" id="91" name="Таблиця_91" displayName="Таблиця_91" ref="A163:F165" headerRowCount="1">
  <autoFilter ref="A163:F165"/>
  <tableColumns count="6">
    <tableColumn id="1" name="Закупівля"/>
    <tableColumn id="2" name="Дата"/>
    <tableColumn id="3" name="Замовник"/>
    <tableColumn id="4" name="Сума, грн"/>
    <tableColumn id="5" name="Причина"/>
    <tableColumn id="6" name="Формулювання замовника"/>
  </tableColumns>
  <tableStyleInfo name="TableStyleLight8" showRowStripes="1" showColumnStripes="0"/>
</table>
</file>

<file path=xl/tables/table92.xml><?xml version="1.0" encoding="utf-8"?>
<table xmlns="http://schemas.openxmlformats.org/spreadsheetml/2006/main" id="92" name="Таблиця_92" displayName="Таблиця_92" ref="A168:I179" headerRowCount="1">
  <autoFilter ref="A168:I179"/>
  <tableColumns count="9">
    <tableColumn id="1" name="Закупівля"/>
    <tableColumn id="2" name="Дата"/>
    <tableColumn id="3" name="Замовник"/>
    <tableColumn id="4" name="Регіон"/>
    <tableColumn id="5" name="Сума, грн"/>
    <tableColumn id="6" name="Очікувана, грн"/>
    <tableColumn id="7" name="Процедура"/>
    <tableColumn id="8" name="Галузь"/>
    <tableColumn id="9" name="Джерело"/>
  </tableColumns>
  <tableStyleInfo name="TableStyleLight8" showRowStripes="1" showColumnStripes="0"/>
</table>
</file>

<file path=xl/tables/table93.xml><?xml version="1.0" encoding="utf-8"?>
<table xmlns="http://schemas.openxmlformats.org/spreadsheetml/2006/main" id="93" name="Таблиця_93" displayName="Таблиця_93" ref="A182:H193" headerRowCount="1">
  <autoFilter ref="A182:H193"/>
  <tableColumns count="8">
    <tableColumn id="1" name="Закупівля"/>
    <tableColumn id="2" name="Дата"/>
    <tableColumn id="3" name="Замовник"/>
    <tableColumn id="4" name="Предмет"/>
    <tableColumn id="5" name="Сума переможця, грн"/>
    <tableColumn id="6" name="Наша пропозиція, грн"/>
    <tableColumn id="7" name="Розрив"/>
    <tableColumn id="8" name="Що сталося"/>
  </tableColumns>
  <tableStyleInfo name="TableStyleLight8" showRowStripes="1" showColumnStripes="0"/>
</table>
</file>

<file path=xl/tables/table94.xml><?xml version="1.0" encoding="utf-8"?>
<table xmlns="http://schemas.openxmlformats.org/spreadsheetml/2006/main" id="94" name="Таблиця_94" displayName="Таблиця_94" ref="A134:D145" headerRowCount="1">
  <autoFilter ref="A134:D145"/>
  <tableColumns count="4">
    <tableColumn id="1" name="Торгова марка"/>
    <tableColumn id="2" name="Позицій"/>
    <tableColumn id="3" name="Частка"/>
    <tableColumn id="4" name="Власна ТМ за довідником"/>
  </tableColumns>
  <tableStyleInfo name="TableStyleLight8" showRowStripes="1" showColumnStripes="0"/>
</table>
</file>

<file path=xl/tables/table95.xml><?xml version="1.0" encoding="utf-8"?>
<table xmlns="http://schemas.openxmlformats.org/spreadsheetml/2006/main" id="95" name="Таблиця_95" displayName="Таблиця_95" ref="A148:B154" headerRowCount="1">
  <autoFilter ref="A148:B154"/>
  <tableColumns count="2">
    <tableColumn id="1" name="Товар"/>
    <tableColumn id="2" name="Позицій"/>
  </tableColumns>
  <tableStyleInfo name="TableStyleLight8" showRowStripes="1" showColumnStripes="0"/>
</table>
</file>

<file path=xl/tables/table96.xml><?xml version="1.0" encoding="utf-8"?>
<table xmlns="http://schemas.openxmlformats.org/spreadsheetml/2006/main" id="96" name="Таблиця_96" displayName="Таблиця_96" ref="A157:B164" headerRowCount="1">
  <autoFilter ref="A157:B164"/>
  <tableColumns count="2">
    <tableColumn id="1" name="Тип документа"/>
    <tableColumn id="2" name="Файлів"/>
  </tableColumns>
  <tableStyleInfo name="TableStyleLight8" showRowStripes="1" showColumnStripes="0"/>
</table>
</file>

<file path=xl/tables/table97.xml><?xml version="1.0" encoding="utf-8"?>
<table xmlns="http://schemas.openxmlformats.org/spreadsheetml/2006/main" id="97" name="Таблиця_97" displayName="Таблиця_97" ref="A167:I174" headerRowCount="1">
  <autoFilter ref="A167:I174"/>
  <tableColumns count="9">
    <tableColumn id="1" name="Закупівля"/>
    <tableColumn id="2" name="Дата"/>
    <tableColumn id="3" name="Замовник"/>
    <tableColumn id="4" name="Регіон"/>
    <tableColumn id="5" name="Сума, грн"/>
    <tableColumn id="6" name="Очікувана, грн"/>
    <tableColumn id="7" name="Процедура"/>
    <tableColumn id="8" name="Галузь"/>
    <tableColumn id="9" name="Джерело"/>
  </tableColumns>
  <tableStyleInfo name="TableStyleLight8" showRowStripes="1" showColumnStripes="0"/>
</table>
</file>

<file path=xl/tables/table98.xml><?xml version="1.0" encoding="utf-8"?>
<table xmlns="http://schemas.openxmlformats.org/spreadsheetml/2006/main" id="98" name="Таблиця_98" displayName="Таблиця_98" ref="A177:H184" headerRowCount="1">
  <autoFilter ref="A177:H184"/>
  <tableColumns count="8">
    <tableColumn id="1" name="Закупівля"/>
    <tableColumn id="2" name="Дата"/>
    <tableColumn id="3" name="Замовник"/>
    <tableColumn id="4" name="Предмет"/>
    <tableColumn id="5" name="Сума переможця, грн"/>
    <tableColumn id="6" name="Наша пропозиція, грн"/>
    <tableColumn id="7" name="Розрив"/>
    <tableColumn id="8" name="Що сталося"/>
  </tableColumns>
  <tableStyleInfo name="TableStyleLight8" showRowStripes="1" showColumnStripes="0"/>
</table>
</file>

<file path=xl/tables/table99.xml><?xml version="1.0" encoding="utf-8"?>
<table xmlns="http://schemas.openxmlformats.org/spreadsheetml/2006/main" id="99" name="Таблиця_99" displayName="Таблиця_99" ref="A140:D146" headerRowCount="1">
  <autoFilter ref="A140:D146"/>
  <tableColumns count="4">
    <tableColumn id="1" name="Торгова марка"/>
    <tableColumn id="2" name="Позицій"/>
    <tableColumn id="3" name="Частка"/>
    <tableColumn id="4" name="Власна ТМ за довідником"/>
  </tableColumns>
  <tableStyleInfo name="TableStyleLight8" showRowStripes="1" showColumnStripes="0"/>
</table>
</file>

<file path=xl/tables/table100.xml><?xml version="1.0" encoding="utf-8"?>
<table xmlns="http://schemas.openxmlformats.org/spreadsheetml/2006/main" id="100" name="Таблиця_100" displayName="Таблиця_100" ref="A149:B161" headerRowCount="1">
  <autoFilter ref="A149:B161"/>
  <tableColumns count="2">
    <tableColumn id="1" name="Товар"/>
    <tableColumn id="2" name="Позицій"/>
  </tableColumns>
  <tableStyleInfo name="TableStyleLight8" showRowStripes="1" showColumnStripes="0"/>
</table>
</file>

<file path=xl/tables/table101.xml><?xml version="1.0" encoding="utf-8"?>
<table xmlns="http://schemas.openxmlformats.org/spreadsheetml/2006/main" id="101" name="Таблиця_101" displayName="Таблиця_101" ref="A164:B176" headerRowCount="1">
  <autoFilter ref="A164:B176"/>
  <tableColumns count="2">
    <tableColumn id="1" name="Тип документа"/>
    <tableColumn id="2" name="Файлів"/>
  </tableColumns>
  <tableStyleInfo name="TableStyleLight8" showRowStripes="1" showColumnStripes="0"/>
</table>
</file>

<file path=xl/tables/table102.xml><?xml version="1.0" encoding="utf-8"?>
<table xmlns="http://schemas.openxmlformats.org/spreadsheetml/2006/main" id="102" name="Таблиця_102" displayName="Таблиця_102" ref="A179:F190" headerRowCount="1">
  <autoFilter ref="A179:F190"/>
  <tableColumns count="6">
    <tableColumn id="1" name="Закупівля"/>
    <tableColumn id="2" name="Дата"/>
    <tableColumn id="3" name="Замовник"/>
    <tableColumn id="4" name="Сума, грн"/>
    <tableColumn id="5" name="Причина"/>
    <tableColumn id="6" name="Формулювання замовника"/>
  </tableColumns>
  <tableStyleInfo name="TableStyleLight8" showRowStripes="1" showColumnStripes="0"/>
</table>
</file>

<file path=xl/tables/table103.xml><?xml version="1.0" encoding="utf-8"?>
<table xmlns="http://schemas.openxmlformats.org/spreadsheetml/2006/main" id="103" name="Таблиця_103" displayName="Таблиця_103" ref="A193:I205" headerRowCount="1">
  <autoFilter ref="A193:I205"/>
  <tableColumns count="9">
    <tableColumn id="1" name="Закупівля"/>
    <tableColumn id="2" name="Дата"/>
    <tableColumn id="3" name="Замовник"/>
    <tableColumn id="4" name="Регіон"/>
    <tableColumn id="5" name="Сума, грн"/>
    <tableColumn id="6" name="Очікувана, грн"/>
    <tableColumn id="7" name="Процедура"/>
    <tableColumn id="8" name="Галузь"/>
    <tableColumn id="9" name="Джерело"/>
  </tableColumns>
  <tableStyleInfo name="TableStyleLight8" showRowStripes="1" showColumnStripes="0"/>
</table>
</file>

<file path=xl/tables/table104.xml><?xml version="1.0" encoding="utf-8"?>
<table xmlns="http://schemas.openxmlformats.org/spreadsheetml/2006/main" id="104" name="Таблиця_104" displayName="Таблиця_104" ref="A208:H220" headerRowCount="1">
  <autoFilter ref="A208:H220"/>
  <tableColumns count="8">
    <tableColumn id="1" name="Закупівля"/>
    <tableColumn id="2" name="Дата"/>
    <tableColumn id="3" name="Замовник"/>
    <tableColumn id="4" name="Предмет"/>
    <tableColumn id="5" name="Сума переможця, грн"/>
    <tableColumn id="6" name="Наша пропозиція, грн"/>
    <tableColumn id="7" name="Розрив"/>
    <tableColumn id="8" name="Що сталося"/>
  </tableColumns>
  <tableStyleInfo name="TableStyleLight8" showRowStripes="1" showColumnStripes="0"/>
</table>
</file>

<file path=xl/tables/table105.xml><?xml version="1.0" encoding="utf-8"?>
<table xmlns="http://schemas.openxmlformats.org/spreadsheetml/2006/main" id="105" name="Таблиця_105" displayName="Таблиця_105" ref="A141:D142" headerRowCount="1">
  <autoFilter ref="A141:D142"/>
  <tableColumns count="4">
    <tableColumn id="1" name="Торгова марка"/>
    <tableColumn id="2" name="Позицій"/>
    <tableColumn id="3" name="Частка"/>
    <tableColumn id="4" name="Власна ТМ за довідником"/>
  </tableColumns>
  <tableStyleInfo name="TableStyleLight8" showRowStripes="1" showColumnStripes="0"/>
</table>
</file>

<file path=xl/tables/table106.xml><?xml version="1.0" encoding="utf-8"?>
<table xmlns="http://schemas.openxmlformats.org/spreadsheetml/2006/main" id="106" name="Таблиця_106" displayName="Таблиця_106" ref="A145:B163" headerRowCount="1">
  <autoFilter ref="A145:B163"/>
  <tableColumns count="2">
    <tableColumn id="1" name="Товар"/>
    <tableColumn id="2" name="Позицій"/>
  </tableColumns>
  <tableStyleInfo name="TableStyleLight8" showRowStripes="1" showColumnStripes="0"/>
</table>
</file>

<file path=xl/tables/table107.xml><?xml version="1.0" encoding="utf-8"?>
<table xmlns="http://schemas.openxmlformats.org/spreadsheetml/2006/main" id="107" name="Таблиця_107" displayName="Таблиця_107" ref="A166:B177" headerRowCount="1">
  <autoFilter ref="A166:B177"/>
  <tableColumns count="2">
    <tableColumn id="1" name="Тип документа"/>
    <tableColumn id="2" name="Файлів"/>
  </tableColumns>
  <tableStyleInfo name="TableStyleLight8" showRowStripes="1" showColumnStripes="0"/>
</table>
</file>

<file path=xl/tables/table108.xml><?xml version="1.0" encoding="utf-8"?>
<table xmlns="http://schemas.openxmlformats.org/spreadsheetml/2006/main" id="108" name="Таблиця_108" displayName="Таблиця_108" ref="A180:F181" headerRowCount="1">
  <autoFilter ref="A180:F181"/>
  <tableColumns count="6">
    <tableColumn id="1" name="Закупівля"/>
    <tableColumn id="2" name="Дата"/>
    <tableColumn id="3" name="Замовник"/>
    <tableColumn id="4" name="Сума, грн"/>
    <tableColumn id="5" name="Причина"/>
    <tableColumn id="6" name="Формулювання замовника"/>
  </tableColumns>
  <tableStyleInfo name="TableStyleLight8" showRowStripes="1" showColumnStripes="0"/>
</table>
</file>

<file path=xl/tables/table109.xml><?xml version="1.0" encoding="utf-8"?>
<table xmlns="http://schemas.openxmlformats.org/spreadsheetml/2006/main" id="109" name="Таблиця_109" displayName="Таблиця_109" ref="A184:I204" headerRowCount="1">
  <autoFilter ref="A184:I204"/>
  <tableColumns count="9">
    <tableColumn id="1" name="Закупівля"/>
    <tableColumn id="2" name="Дата"/>
    <tableColumn id="3" name="Замовник"/>
    <tableColumn id="4" name="Регіон"/>
    <tableColumn id="5" name="Сума, грн"/>
    <tableColumn id="6" name="Очікувана, грн"/>
    <tableColumn id="7" name="Процедура"/>
    <tableColumn id="8" name="Галузь"/>
    <tableColumn id="9" name="Джерело"/>
  </tableColumns>
  <tableStyleInfo name="TableStyleLight8" showRowStripes="1" showColumnStripes="0"/>
</table>
</file>

<file path=xl/tables/table110.xml><?xml version="1.0" encoding="utf-8"?>
<table xmlns="http://schemas.openxmlformats.org/spreadsheetml/2006/main" id="110" name="Таблиця_110" displayName="Таблиця_110" ref="A207:H227" headerRowCount="1">
  <autoFilter ref="A207:H227"/>
  <tableColumns count="8">
    <tableColumn id="1" name="Закупівля"/>
    <tableColumn id="2" name="Дата"/>
    <tableColumn id="3" name="Замовник"/>
    <tableColumn id="4" name="Предмет"/>
    <tableColumn id="5" name="Сума переможця, грн"/>
    <tableColumn id="6" name="Наша пропозиція, грн"/>
    <tableColumn id="7" name="Розрив"/>
    <tableColumn id="8" name="Що сталося"/>
  </tableColumns>
  <tableStyleInfo name="TableStyleLight8" showRowStripes="1" showColumnStripes="0"/>
</table>
</file>

<file path=xl/tables/table111.xml><?xml version="1.0" encoding="utf-8"?>
<table xmlns="http://schemas.openxmlformats.org/spreadsheetml/2006/main" id="111" name="Таблиця_111" displayName="Таблиця_111" ref="A70:B71" headerRowCount="1">
  <autoFilter ref="A70:B71"/>
  <tableColumns count="2">
    <tableColumn id="1" name="Товар"/>
    <tableColumn id="2" name="Позицій"/>
  </tableColumns>
  <tableStyleInfo name="TableStyleLight8" showRowStripes="1" showColumnStripes="0"/>
</table>
</file>

<file path=xl/tables/table112.xml><?xml version="1.0" encoding="utf-8"?>
<table xmlns="http://schemas.openxmlformats.org/spreadsheetml/2006/main" id="112" name="Таблиця_112" displayName="Таблиця_112" ref="A74:B80" headerRowCount="1">
  <autoFilter ref="A74:B80"/>
  <tableColumns count="2">
    <tableColumn id="1" name="Тип документа"/>
    <tableColumn id="2" name="Файлів"/>
  </tableColumns>
  <tableStyleInfo name="TableStyleLight8" showRowStripes="1" showColumnStripes="0"/>
</table>
</file>

<file path=xl/tables/table113.xml><?xml version="1.0" encoding="utf-8"?>
<table xmlns="http://schemas.openxmlformats.org/spreadsheetml/2006/main" id="113" name="Таблиця_113" displayName="Таблиця_113" ref="A83:I84" headerRowCount="1">
  <autoFilter ref="A83:I84"/>
  <tableColumns count="9">
    <tableColumn id="1" name="Закупівля"/>
    <tableColumn id="2" name="Дата"/>
    <tableColumn id="3" name="Замовник"/>
    <tableColumn id="4" name="Регіон"/>
    <tableColumn id="5" name="Сума, грн"/>
    <tableColumn id="6" name="Очікувана, грн"/>
    <tableColumn id="7" name="Процедура"/>
    <tableColumn id="8" name="Галузь"/>
    <tableColumn id="9" name="Джерело"/>
  </tableColumns>
  <tableStyleInfo name="TableStyleLight8" showRowStripes="1" showColumnStripes="0"/>
</table>
</file>

<file path=xl/tables/table114.xml><?xml version="1.0" encoding="utf-8"?>
<table xmlns="http://schemas.openxmlformats.org/spreadsheetml/2006/main" id="114" name="Таблиця_114" displayName="Таблиця_114" ref="A87:H88" headerRowCount="1">
  <autoFilter ref="A87:H88"/>
  <tableColumns count="8">
    <tableColumn id="1" name="Закупівля"/>
    <tableColumn id="2" name="Дата"/>
    <tableColumn id="3" name="Замовник"/>
    <tableColumn id="4" name="Предмет"/>
    <tableColumn id="5" name="Сума переможця, грн"/>
    <tableColumn id="6" name="Наша пропозиція, грн"/>
    <tableColumn id="7" name="Розрив"/>
    <tableColumn id="8" name="Що сталося"/>
  </tableColumns>
  <tableStyleInfo name="TableStyleLight8" showRowStripes="1" showColumnStripes="0"/>
</table>
</file>

<file path=xl/tables/table115.xml><?xml version="1.0" encoding="utf-8"?>
<table xmlns="http://schemas.openxmlformats.org/spreadsheetml/2006/main" id="115" name="Таблиця_115" displayName="Таблиця_115" ref="A113:B116" headerRowCount="1">
  <autoFilter ref="A113:B116"/>
  <tableColumns count="2">
    <tableColumn id="1" name="Товар"/>
    <tableColumn id="2" name="Позицій"/>
  </tableColumns>
  <tableStyleInfo name="TableStyleLight8" showRowStripes="1" showColumnStripes="0"/>
</table>
</file>

<file path=xl/tables/table116.xml><?xml version="1.0" encoding="utf-8"?>
<table xmlns="http://schemas.openxmlformats.org/spreadsheetml/2006/main" id="116" name="Таблиця_116" displayName="Таблиця_116" ref="A119:B126" headerRowCount="1">
  <autoFilter ref="A119:B126"/>
  <tableColumns count="2">
    <tableColumn id="1" name="Тип документа"/>
    <tableColumn id="2" name="Файлів"/>
  </tableColumns>
  <tableStyleInfo name="TableStyleLight8" showRowStripes="1" showColumnStripes="0"/>
</table>
</file>

<file path=xl/tables/table117.xml><?xml version="1.0" encoding="utf-8"?>
<table xmlns="http://schemas.openxmlformats.org/spreadsheetml/2006/main" id="117" name="Таблиця_117" displayName="Таблиця_117" ref="A129:I132" headerRowCount="1">
  <autoFilter ref="A129:I132"/>
  <tableColumns count="9">
    <tableColumn id="1" name="Закупівля"/>
    <tableColumn id="2" name="Дата"/>
    <tableColumn id="3" name="Замовник"/>
    <tableColumn id="4" name="Регіон"/>
    <tableColumn id="5" name="Сума, грн"/>
    <tableColumn id="6" name="Очікувана, грн"/>
    <tableColumn id="7" name="Процедура"/>
    <tableColumn id="8" name="Галузь"/>
    <tableColumn id="9" name="Джерело"/>
  </tableColumns>
  <tableStyleInfo name="TableStyleLight8" showRowStripes="1" showColumnStripes="0"/>
</table>
</file>

<file path=xl/tables/table118.xml><?xml version="1.0" encoding="utf-8"?>
<table xmlns="http://schemas.openxmlformats.org/spreadsheetml/2006/main" id="118" name="Таблиця_118" displayName="Таблиця_118" ref="A135:H138" headerRowCount="1">
  <autoFilter ref="A135:H138"/>
  <tableColumns count="8">
    <tableColumn id="1" name="Закупівля"/>
    <tableColumn id="2" name="Дата"/>
    <tableColumn id="3" name="Замовник"/>
    <tableColumn id="4" name="Предмет"/>
    <tableColumn id="5" name="Сума переможця, грн"/>
    <tableColumn id="6" name="Наша пропозиція, грн"/>
    <tableColumn id="7" name="Розрив"/>
    <tableColumn id="8" name="Що сталося"/>
  </tableColumns>
  <tableStyleInfo name="TableStyleLight8" showRowStripes="1" showColumnStripes="0"/>
</table>
</file>

<file path=xl/tables/table119.xml><?xml version="1.0" encoding="utf-8"?>
<table xmlns="http://schemas.openxmlformats.org/spreadsheetml/2006/main" id="119" name="Таблиця_119" displayName="Таблиця_119" ref="A139:D140" headerRowCount="1">
  <autoFilter ref="A139:D140"/>
  <tableColumns count="4">
    <tableColumn id="1" name="Торгова марка"/>
    <tableColumn id="2" name="Позицій"/>
    <tableColumn id="3" name="Частка"/>
    <tableColumn id="4" name="Власна ТМ за довідником"/>
  </tableColumns>
  <tableStyleInfo name="TableStyleLight8" showRowStripes="1" showColumnStripes="0"/>
</table>
</file>

<file path=xl/tables/table120.xml><?xml version="1.0" encoding="utf-8"?>
<table xmlns="http://schemas.openxmlformats.org/spreadsheetml/2006/main" id="120" name="Таблиця_120" displayName="Таблиця_120" ref="A143:B162" headerRowCount="1">
  <autoFilter ref="A143:B162"/>
  <tableColumns count="2">
    <tableColumn id="1" name="Товар"/>
    <tableColumn id="2" name="Позицій"/>
  </tableColumns>
  <tableStyleInfo name="TableStyleLight8" showRowStripes="1" showColumnStripes="0"/>
</table>
</file>

<file path=xl/tables/table121.xml><?xml version="1.0" encoding="utf-8"?>
<table xmlns="http://schemas.openxmlformats.org/spreadsheetml/2006/main" id="121" name="Таблиця_121" displayName="Таблиця_121" ref="A165:B168" headerRowCount="1">
  <autoFilter ref="A165:B168"/>
  <tableColumns count="2">
    <tableColumn id="1" name="Тип документа"/>
    <tableColumn id="2" name="Файлів"/>
  </tableColumns>
  <tableStyleInfo name="TableStyleLight8" showRowStripes="1" showColumnStripes="0"/>
</table>
</file>

<file path=xl/tables/table122.xml><?xml version="1.0" encoding="utf-8"?>
<table xmlns="http://schemas.openxmlformats.org/spreadsheetml/2006/main" id="122" name="Таблиця_122" displayName="Таблиця_122" ref="A171:F172" headerRowCount="1">
  <autoFilter ref="A171:F172"/>
  <tableColumns count="6">
    <tableColumn id="1" name="Закупівля"/>
    <tableColumn id="2" name="Дата"/>
    <tableColumn id="3" name="Замовник"/>
    <tableColumn id="4" name="Сума, грн"/>
    <tableColumn id="5" name="Причина"/>
    <tableColumn id="6" name="Формулювання замовника"/>
  </tableColumns>
  <tableStyleInfo name="TableStyleLight8" showRowStripes="1" showColumnStripes="0"/>
</table>
</file>

<file path=xl/tables/table123.xml><?xml version="1.0" encoding="utf-8"?>
<table xmlns="http://schemas.openxmlformats.org/spreadsheetml/2006/main" id="123" name="Таблиця_123" displayName="Таблиця_123" ref="A175:I235" headerRowCount="1">
  <autoFilter ref="A175:I235"/>
  <tableColumns count="9">
    <tableColumn id="1" name="Закупівля"/>
    <tableColumn id="2" name="Дата"/>
    <tableColumn id="3" name="Замовник"/>
    <tableColumn id="4" name="Регіон"/>
    <tableColumn id="5" name="Сума, грн"/>
    <tableColumn id="6" name="Очікувана, грн"/>
    <tableColumn id="7" name="Процедура"/>
    <tableColumn id="8" name="Галузь"/>
    <tableColumn id="9" name="Джерело"/>
  </tableColumns>
  <tableStyleInfo name="TableStyleLight8" showRowStripes="1" showColumnStripes="0"/>
</table>
</file>

<file path=xl/tables/table124.xml><?xml version="1.0" encoding="utf-8"?>
<table xmlns="http://schemas.openxmlformats.org/spreadsheetml/2006/main" id="124" name="Таблиця_124" displayName="Таблиця_124" ref="A238:H298" headerRowCount="1">
  <autoFilter ref="A238:H298"/>
  <tableColumns count="8">
    <tableColumn id="1" name="Закупівля"/>
    <tableColumn id="2" name="Дата"/>
    <tableColumn id="3" name="Замовник"/>
    <tableColumn id="4" name="Предмет"/>
    <tableColumn id="5" name="Сума переможця, грн"/>
    <tableColumn id="6" name="Наша пропозиція, грн"/>
    <tableColumn id="7" name="Розрив"/>
    <tableColumn id="8" name="Що сталося"/>
  </tableColumns>
  <tableStyleInfo name="TableStyleLight8" showRowStripes="1" showColumnStripes="0"/>
</table>
</file>

<file path=xl/tables/table125.xml><?xml version="1.0" encoding="utf-8"?>
<table xmlns="http://schemas.openxmlformats.org/spreadsheetml/2006/main" id="125" name="Таблиця_125" displayName="Таблиця_125" ref="A137:D141" headerRowCount="1">
  <autoFilter ref="A137:D141"/>
  <tableColumns count="4">
    <tableColumn id="1" name="Торгова марка"/>
    <tableColumn id="2" name="Позицій"/>
    <tableColumn id="3" name="Частка"/>
    <tableColumn id="4" name="Власна ТМ за довідником"/>
  </tableColumns>
  <tableStyleInfo name="TableStyleLight8" showRowStripes="1" showColumnStripes="0"/>
</table>
</file>

<file path=xl/tables/table126.xml><?xml version="1.0" encoding="utf-8"?>
<table xmlns="http://schemas.openxmlformats.org/spreadsheetml/2006/main" id="126" name="Таблиця_126" displayName="Таблиця_126" ref="A144:B152" headerRowCount="1">
  <autoFilter ref="A144:B152"/>
  <tableColumns count="2">
    <tableColumn id="1" name="Товар"/>
    <tableColumn id="2" name="Позицій"/>
  </tableColumns>
  <tableStyleInfo name="TableStyleLight8" showRowStripes="1" showColumnStripes="0"/>
</table>
</file>

<file path=xl/tables/table127.xml><?xml version="1.0" encoding="utf-8"?>
<table xmlns="http://schemas.openxmlformats.org/spreadsheetml/2006/main" id="127" name="Таблиця_127" displayName="Таблиця_127" ref="A155:B167" headerRowCount="1">
  <autoFilter ref="A155:B167"/>
  <tableColumns count="2">
    <tableColumn id="1" name="Тип документа"/>
    <tableColumn id="2" name="Файлів"/>
  </tableColumns>
  <tableStyleInfo name="TableStyleLight8" showRowStripes="1" showColumnStripes="0"/>
</table>
</file>

<file path=xl/tables/table128.xml><?xml version="1.0" encoding="utf-8"?>
<table xmlns="http://schemas.openxmlformats.org/spreadsheetml/2006/main" id="128" name="Таблиця_128" displayName="Таблиця_128" ref="A170:F171" headerRowCount="1">
  <autoFilter ref="A170:F171"/>
  <tableColumns count="6">
    <tableColumn id="1" name="Закупівля"/>
    <tableColumn id="2" name="Дата"/>
    <tableColumn id="3" name="Замовник"/>
    <tableColumn id="4" name="Сума, грн"/>
    <tableColumn id="5" name="Причина"/>
    <tableColumn id="6" name="Формулювання замовника"/>
  </tableColumns>
  <tableStyleInfo name="TableStyleLight8" showRowStripes="1" showColumnStripes="0"/>
</table>
</file>

<file path=xl/tables/table129.xml><?xml version="1.0" encoding="utf-8"?>
<table xmlns="http://schemas.openxmlformats.org/spreadsheetml/2006/main" id="129" name="Таблиця_129" displayName="Таблиця_129" ref="A174:I189" headerRowCount="1">
  <autoFilter ref="A174:I189"/>
  <tableColumns count="9">
    <tableColumn id="1" name="Закупівля"/>
    <tableColumn id="2" name="Дата"/>
    <tableColumn id="3" name="Замовник"/>
    <tableColumn id="4" name="Регіон"/>
    <tableColumn id="5" name="Сума, грн"/>
    <tableColumn id="6" name="Очікувана, грн"/>
    <tableColumn id="7" name="Процедура"/>
    <tableColumn id="8" name="Галузь"/>
    <tableColumn id="9" name="Джерело"/>
  </tableColumns>
  <tableStyleInfo name="TableStyleLight8" showRowStripes="1" showColumnStripes="0"/>
</table>
</file>

<file path=xl/tables/table130.xml><?xml version="1.0" encoding="utf-8"?>
<table xmlns="http://schemas.openxmlformats.org/spreadsheetml/2006/main" id="130" name="Таблиця_130" displayName="Таблиця_130" ref="A192:H207" headerRowCount="1">
  <autoFilter ref="A192:H207"/>
  <tableColumns count="8">
    <tableColumn id="1" name="Закупівля"/>
    <tableColumn id="2" name="Дата"/>
    <tableColumn id="3" name="Замовник"/>
    <tableColumn id="4" name="Предмет"/>
    <tableColumn id="5" name="Сума переможця, грн"/>
    <tableColumn id="6" name="Наша пропозиція, грн"/>
    <tableColumn id="7" name="Розрив"/>
    <tableColumn id="8" name="Що сталося"/>
  </tableColumns>
  <tableStyleInfo name="TableStyleLight8" showRowStripes="1" showColumnStripes="0"/>
</table>
</file>

<file path=xl/tables/table131.xml><?xml version="1.0" encoding="utf-8"?>
<table xmlns="http://schemas.openxmlformats.org/spreadsheetml/2006/main" id="131" name="Таблиця_131" displayName="Таблиця_131" ref="A90:B91" headerRowCount="1">
  <autoFilter ref="A90:B91"/>
  <tableColumns count="2">
    <tableColumn id="1" name="Товар"/>
    <tableColumn id="2" name="Позицій"/>
  </tableColumns>
  <tableStyleInfo name="TableStyleLight8" showRowStripes="1" showColumnStripes="0"/>
</table>
</file>

<file path=xl/tables/table132.xml><?xml version="1.0" encoding="utf-8"?>
<table xmlns="http://schemas.openxmlformats.org/spreadsheetml/2006/main" id="132" name="Таблиця_132" displayName="Таблиця_132" ref="A94:B103" headerRowCount="1">
  <autoFilter ref="A94:B103"/>
  <tableColumns count="2">
    <tableColumn id="1" name="Тип документа"/>
    <tableColumn id="2" name="Файлів"/>
  </tableColumns>
  <tableStyleInfo name="TableStyleLight8" showRowStripes="1" showColumnStripes="0"/>
</table>
</file>

<file path=xl/tables/table133.xml><?xml version="1.0" encoding="utf-8"?>
<table xmlns="http://schemas.openxmlformats.org/spreadsheetml/2006/main" id="133" name="Таблиця_133" displayName="Таблиця_133" ref="A106:I108" headerRowCount="1">
  <autoFilter ref="A106:I108"/>
  <tableColumns count="9">
    <tableColumn id="1" name="Закупівля"/>
    <tableColumn id="2" name="Дата"/>
    <tableColumn id="3" name="Замовник"/>
    <tableColumn id="4" name="Регіон"/>
    <tableColumn id="5" name="Сума, грн"/>
    <tableColumn id="6" name="Очікувана, грн"/>
    <tableColumn id="7" name="Процедура"/>
    <tableColumn id="8" name="Галузь"/>
    <tableColumn id="9" name="Джерело"/>
  </tableColumns>
  <tableStyleInfo name="TableStyleLight8" showRowStripes="1" showColumnStripes="0"/>
</table>
</file>

<file path=xl/tables/table134.xml><?xml version="1.0" encoding="utf-8"?>
<table xmlns="http://schemas.openxmlformats.org/spreadsheetml/2006/main" id="134" name="Таблиця_134" displayName="Таблиця_134" ref="A111:H113" headerRowCount="1">
  <autoFilter ref="A111:H113"/>
  <tableColumns count="8">
    <tableColumn id="1" name="Закупівля"/>
    <tableColumn id="2" name="Дата"/>
    <tableColumn id="3" name="Замовник"/>
    <tableColumn id="4" name="Предмет"/>
    <tableColumn id="5" name="Сума переможця, грн"/>
    <tableColumn id="6" name="Наша пропозиція, грн"/>
    <tableColumn id="7" name="Розрив"/>
    <tableColumn id="8" name="Що сталося"/>
  </tableColumns>
  <tableStyleInfo name="TableStyleLight8" showRowStripes="1" showColumnStripes="0"/>
</table>
</file>

<file path=xl/tables/table135.xml><?xml version="1.0" encoding="utf-8"?>
<table xmlns="http://schemas.openxmlformats.org/spreadsheetml/2006/main" id="135" name="Таблиця_135" displayName="Таблиця_135" ref="A90:B92" headerRowCount="1">
  <autoFilter ref="A90:B92"/>
  <tableColumns count="2">
    <tableColumn id="1" name="Товар"/>
    <tableColumn id="2" name="Позицій"/>
  </tableColumns>
  <tableStyleInfo name="TableStyleLight8" showRowStripes="1" showColumnStripes="0"/>
</table>
</file>

<file path=xl/tables/table136.xml><?xml version="1.0" encoding="utf-8"?>
<table xmlns="http://schemas.openxmlformats.org/spreadsheetml/2006/main" id="136" name="Таблиця_136" displayName="Таблиця_136" ref="A95:B103" headerRowCount="1">
  <autoFilter ref="A95:B103"/>
  <tableColumns count="2">
    <tableColumn id="1" name="Тип документа"/>
    <tableColumn id="2" name="Файлів"/>
  </tableColumns>
  <tableStyleInfo name="TableStyleLight8" showRowStripes="1" showColumnStripes="0"/>
</table>
</file>

<file path=xl/tables/table137.xml><?xml version="1.0" encoding="utf-8"?>
<table xmlns="http://schemas.openxmlformats.org/spreadsheetml/2006/main" id="137" name="Таблиця_137" displayName="Таблиця_137" ref="A106:I108" headerRowCount="1">
  <autoFilter ref="A106:I108"/>
  <tableColumns count="9">
    <tableColumn id="1" name="Закупівля"/>
    <tableColumn id="2" name="Дата"/>
    <tableColumn id="3" name="Замовник"/>
    <tableColumn id="4" name="Регіон"/>
    <tableColumn id="5" name="Сума, грн"/>
    <tableColumn id="6" name="Очікувана, грн"/>
    <tableColumn id="7" name="Процедура"/>
    <tableColumn id="8" name="Галузь"/>
    <tableColumn id="9" name="Джерело"/>
  </tableColumns>
  <tableStyleInfo name="TableStyleLight8" showRowStripes="1" showColumnStripes="0"/>
</table>
</file>

<file path=xl/tables/table138.xml><?xml version="1.0" encoding="utf-8"?>
<table xmlns="http://schemas.openxmlformats.org/spreadsheetml/2006/main" id="138" name="Таблиця_138" displayName="Таблиця_138" ref="A111:H113" headerRowCount="1">
  <autoFilter ref="A111:H113"/>
  <tableColumns count="8">
    <tableColumn id="1" name="Закупівля"/>
    <tableColumn id="2" name="Дата"/>
    <tableColumn id="3" name="Замовник"/>
    <tableColumn id="4" name="Предмет"/>
    <tableColumn id="5" name="Сума переможця, грн"/>
    <tableColumn id="6" name="Наша пропозиція, грн"/>
    <tableColumn id="7" name="Розрив"/>
    <tableColumn id="8" name="Що сталося"/>
  </tableColumns>
  <tableStyleInfo name="TableStyleLight8" showRowStripes="1" showColumnStripes="0"/>
</table>
</file>

<file path=xl/tables/table139.xml><?xml version="1.0" encoding="utf-8"?>
<table xmlns="http://schemas.openxmlformats.org/spreadsheetml/2006/main" id="139" name="Таблиця_139" displayName="Таблиця_139" ref="A119:D129" headerRowCount="1">
  <autoFilter ref="A119:D129"/>
  <tableColumns count="4">
    <tableColumn id="1" name="Торгова марка"/>
    <tableColumn id="2" name="Позицій"/>
    <tableColumn id="3" name="Частка"/>
    <tableColumn id="4" name="Власна ТМ за довідником"/>
  </tableColumns>
  <tableStyleInfo name="TableStyleLight8" showRowStripes="1" showColumnStripes="0"/>
</table>
</file>

<file path=xl/tables/table140.xml><?xml version="1.0" encoding="utf-8"?>
<table xmlns="http://schemas.openxmlformats.org/spreadsheetml/2006/main" id="140" name="Таблиця_140" displayName="Таблиця_140" ref="A132:B149" headerRowCount="1">
  <autoFilter ref="A132:B149"/>
  <tableColumns count="2">
    <tableColumn id="1" name="Товар"/>
    <tableColumn id="2" name="Позицій"/>
  </tableColumns>
  <tableStyleInfo name="TableStyleLight8" showRowStripes="1" showColumnStripes="0"/>
</table>
</file>

<file path=xl/tables/table141.xml><?xml version="1.0" encoding="utf-8"?>
<table xmlns="http://schemas.openxmlformats.org/spreadsheetml/2006/main" id="141" name="Таблиця_141" displayName="Таблиця_141" ref="A152:I206" headerRowCount="1">
  <autoFilter ref="A152:I206"/>
  <tableColumns count="9">
    <tableColumn id="1" name="Закупівля"/>
    <tableColumn id="2" name="Дата"/>
    <tableColumn id="3" name="Замовник"/>
    <tableColumn id="4" name="Регіон"/>
    <tableColumn id="5" name="Сума, грн"/>
    <tableColumn id="6" name="Очікувана, грн"/>
    <tableColumn id="7" name="Процедура"/>
    <tableColumn id="8" name="Галузь"/>
    <tableColumn id="9" name="Джерело"/>
  </tableColumns>
  <tableStyleInfo name="TableStyleLight8" showRowStripes="1" showColumnStripes="0"/>
</table>
</file>

<file path=xl/tables/table142.xml><?xml version="1.0" encoding="utf-8"?>
<table xmlns="http://schemas.openxmlformats.org/spreadsheetml/2006/main" id="142" name="Таблиця_142" displayName="Таблиця_142" ref="A209:H263" headerRowCount="1">
  <autoFilter ref="A209:H263"/>
  <tableColumns count="8">
    <tableColumn id="1" name="Закупівля"/>
    <tableColumn id="2" name="Дата"/>
    <tableColumn id="3" name="Замовник"/>
    <tableColumn id="4" name="Предмет"/>
    <tableColumn id="5" name="Сума переможця, грн"/>
    <tableColumn id="6" name="Наша пропозиція, грн"/>
    <tableColumn id="7" name="Розрив"/>
    <tableColumn id="8" name="Що сталося"/>
  </tableColumns>
  <tableStyleInfo name="TableStyleLight8" showRowStripes="1" showColumnStripes="0"/>
</table>
</file>

<file path=xl/tables/table143.xml><?xml version="1.0" encoding="utf-8"?>
<table xmlns="http://schemas.openxmlformats.org/spreadsheetml/2006/main" id="143" name="Таблиця_143" displayName="Таблиця_143" ref="A134:D138" headerRowCount="1">
  <autoFilter ref="A134:D138"/>
  <tableColumns count="4">
    <tableColumn id="1" name="Торгова марка"/>
    <tableColumn id="2" name="Позицій"/>
    <tableColumn id="3" name="Частка"/>
    <tableColumn id="4" name="Власна ТМ за довідником"/>
  </tableColumns>
  <tableStyleInfo name="TableStyleLight8" showRowStripes="1" showColumnStripes="0"/>
</table>
</file>

<file path=xl/tables/table144.xml><?xml version="1.0" encoding="utf-8"?>
<table xmlns="http://schemas.openxmlformats.org/spreadsheetml/2006/main" id="144" name="Таблиця_144" displayName="Таблиця_144" ref="A141:B144" headerRowCount="1">
  <autoFilter ref="A141:B144"/>
  <tableColumns count="2">
    <tableColumn id="1" name="Товар"/>
    <tableColumn id="2" name="Позицій"/>
  </tableColumns>
  <tableStyleInfo name="TableStyleLight8" showRowStripes="1" showColumnStripes="0"/>
</table>
</file>

<file path=xl/tables/table145.xml><?xml version="1.0" encoding="utf-8"?>
<table xmlns="http://schemas.openxmlformats.org/spreadsheetml/2006/main" id="145" name="Таблиця_145" displayName="Таблиця_145" ref="A147:B149" headerRowCount="1">
  <autoFilter ref="A147:B149"/>
  <tableColumns count="2">
    <tableColumn id="1" name="Тип документа"/>
    <tableColumn id="2" name="Файлів"/>
  </tableColumns>
  <tableStyleInfo name="TableStyleLight8" showRowStripes="1" showColumnStripes="0"/>
</table>
</file>

<file path=xl/tables/table146.xml><?xml version="1.0" encoding="utf-8"?>
<table xmlns="http://schemas.openxmlformats.org/spreadsheetml/2006/main" id="146" name="Таблиця_146" displayName="Таблиця_146" ref="A152:I161" headerRowCount="1">
  <autoFilter ref="A152:I161"/>
  <tableColumns count="9">
    <tableColumn id="1" name="Закупівля"/>
    <tableColumn id="2" name="Дата"/>
    <tableColumn id="3" name="Замовник"/>
    <tableColumn id="4" name="Регіон"/>
    <tableColumn id="5" name="Сума, грн"/>
    <tableColumn id="6" name="Очікувана, грн"/>
    <tableColumn id="7" name="Процедура"/>
    <tableColumn id="8" name="Галузь"/>
    <tableColumn id="9" name="Джерело"/>
  </tableColumns>
  <tableStyleInfo name="TableStyleLight8" showRowStripes="1" showColumnStripes="0"/>
</table>
</file>

<file path=xl/tables/table147.xml><?xml version="1.0" encoding="utf-8"?>
<table xmlns="http://schemas.openxmlformats.org/spreadsheetml/2006/main" id="147" name="Таблиця_147" displayName="Таблиця_147" ref="A164:H173" headerRowCount="1">
  <autoFilter ref="A164:H173"/>
  <tableColumns count="8">
    <tableColumn id="1" name="Закупівля"/>
    <tableColumn id="2" name="Дата"/>
    <tableColumn id="3" name="Замовник"/>
    <tableColumn id="4" name="Предмет"/>
    <tableColumn id="5" name="Сума переможця, грн"/>
    <tableColumn id="6" name="Наша пропозиція, грн"/>
    <tableColumn id="7" name="Розрив"/>
    <tableColumn id="8" name="Що сталося"/>
  </tableColumns>
  <tableStyleInfo name="TableStyleLight8" showRowStripes="1" showColumnStripes="0"/>
</table>
</file>

<file path=xl/tables/table148.xml><?xml version="1.0" encoding="utf-8"?>
<table xmlns="http://schemas.openxmlformats.org/spreadsheetml/2006/main" id="148" name="Таблиця_148" displayName="Таблиця_148" ref="A114:B117" headerRowCount="1">
  <autoFilter ref="A114:B117"/>
  <tableColumns count="2">
    <tableColumn id="1" name="Товар"/>
    <tableColumn id="2" name="Позицій"/>
  </tableColumns>
  <tableStyleInfo name="TableStyleLight8" showRowStripes="1" showColumnStripes="0"/>
</table>
</file>

<file path=xl/tables/table149.xml><?xml version="1.0" encoding="utf-8"?>
<table xmlns="http://schemas.openxmlformats.org/spreadsheetml/2006/main" id="149" name="Таблиця_149" displayName="Таблиця_149" ref="A120:B131" headerRowCount="1">
  <autoFilter ref="A120:B131"/>
  <tableColumns count="2">
    <tableColumn id="1" name="Тип документа"/>
    <tableColumn id="2" name="Файлів"/>
  </tableColumns>
  <tableStyleInfo name="TableStyleLight8" showRowStripes="1" showColumnStripes="0"/>
</table>
</file>

<file path=xl/tables/table150.xml><?xml version="1.0" encoding="utf-8"?>
<table xmlns="http://schemas.openxmlformats.org/spreadsheetml/2006/main" id="150" name="Таблиця_150" displayName="Таблиця_150" ref="A134:I140" headerRowCount="1">
  <autoFilter ref="A134:I140"/>
  <tableColumns count="9">
    <tableColumn id="1" name="Закупівля"/>
    <tableColumn id="2" name="Дата"/>
    <tableColumn id="3" name="Замовник"/>
    <tableColumn id="4" name="Регіон"/>
    <tableColumn id="5" name="Сума, грн"/>
    <tableColumn id="6" name="Очікувана, грн"/>
    <tableColumn id="7" name="Процедура"/>
    <tableColumn id="8" name="Галузь"/>
    <tableColumn id="9" name="Джерело"/>
  </tableColumns>
  <tableStyleInfo name="TableStyleLight8" showRowStripes="1" showColumnStripes="0"/>
</table>
</file>

<file path=xl/tables/table151.xml><?xml version="1.0" encoding="utf-8"?>
<table xmlns="http://schemas.openxmlformats.org/spreadsheetml/2006/main" id="151" name="Таблиця_151" displayName="Таблиця_151" ref="A143:H149" headerRowCount="1">
  <autoFilter ref="A143:H149"/>
  <tableColumns count="8">
    <tableColumn id="1" name="Закупівля"/>
    <tableColumn id="2" name="Дата"/>
    <tableColumn id="3" name="Замовник"/>
    <tableColumn id="4" name="Предмет"/>
    <tableColumn id="5" name="Сума переможця, грн"/>
    <tableColumn id="6" name="Наша пропозиція, грн"/>
    <tableColumn id="7" name="Розрив"/>
    <tableColumn id="8" name="Що сталося"/>
  </tableColumns>
  <tableStyleInfo name="TableStyleLight8" showRowStripes="1" showColumnStripes="0"/>
</table>
</file>

<file path=xl/tables/table152.xml><?xml version="1.0" encoding="utf-8"?>
<table xmlns="http://schemas.openxmlformats.org/spreadsheetml/2006/main" id="152" name="Таблиця_152" displayName="Таблиця_152" ref="A112:D115" headerRowCount="1">
  <autoFilter ref="A112:D115"/>
  <tableColumns count="4">
    <tableColumn id="1" name="Торгова марка"/>
    <tableColumn id="2" name="Позицій"/>
    <tableColumn id="3" name="Частка"/>
    <tableColumn id="4" name="Власна ТМ за довідником"/>
  </tableColumns>
  <tableStyleInfo name="TableStyleLight8" showRowStripes="1" showColumnStripes="0"/>
</table>
</file>

<file path=xl/tables/table153.xml><?xml version="1.0" encoding="utf-8"?>
<table xmlns="http://schemas.openxmlformats.org/spreadsheetml/2006/main" id="153" name="Таблиця_153" displayName="Таблиця_153" ref="A118:B123" headerRowCount="1">
  <autoFilter ref="A118:B123"/>
  <tableColumns count="2">
    <tableColumn id="1" name="Товар"/>
    <tableColumn id="2" name="Позицій"/>
  </tableColumns>
  <tableStyleInfo name="TableStyleLight8" showRowStripes="1" showColumnStripes="0"/>
</table>
</file>

<file path=xl/tables/table154.xml><?xml version="1.0" encoding="utf-8"?>
<table xmlns="http://schemas.openxmlformats.org/spreadsheetml/2006/main" id="154" name="Таблиця_154" displayName="Таблиця_154" ref="A126:B127" headerRowCount="1">
  <autoFilter ref="A126:B127"/>
  <tableColumns count="2">
    <tableColumn id="1" name="Тип документа"/>
    <tableColumn id="2" name="Файлів"/>
  </tableColumns>
  <tableStyleInfo name="TableStyleLight8" showRowStripes="1" showColumnStripes="0"/>
</table>
</file>

<file path=xl/tables/table155.xml><?xml version="1.0" encoding="utf-8"?>
<table xmlns="http://schemas.openxmlformats.org/spreadsheetml/2006/main" id="155" name="Таблиця_155" displayName="Таблиця_155" ref="A130:I133" headerRowCount="1">
  <autoFilter ref="A130:I133"/>
  <tableColumns count="9">
    <tableColumn id="1" name="Закупівля"/>
    <tableColumn id="2" name="Дата"/>
    <tableColumn id="3" name="Замовник"/>
    <tableColumn id="4" name="Регіон"/>
    <tableColumn id="5" name="Сума, грн"/>
    <tableColumn id="6" name="Очікувана, грн"/>
    <tableColumn id="7" name="Процедура"/>
    <tableColumn id="8" name="Галузь"/>
    <tableColumn id="9" name="Джерело"/>
  </tableColumns>
  <tableStyleInfo name="TableStyleLight8" showRowStripes="1" showColumnStripes="0"/>
</table>
</file>

<file path=xl/tables/table156.xml><?xml version="1.0" encoding="utf-8"?>
<table xmlns="http://schemas.openxmlformats.org/spreadsheetml/2006/main" id="156" name="Таблиця_156" displayName="Таблиця_156" ref="A136:H139" headerRowCount="1">
  <autoFilter ref="A136:H139"/>
  <tableColumns count="8">
    <tableColumn id="1" name="Закупівля"/>
    <tableColumn id="2" name="Дата"/>
    <tableColumn id="3" name="Замовник"/>
    <tableColumn id="4" name="Предмет"/>
    <tableColumn id="5" name="Сума переможця, грн"/>
    <tableColumn id="6" name="Наша пропозиція, грн"/>
    <tableColumn id="7" name="Розрив"/>
    <tableColumn id="8" name="Що сталося"/>
  </tableColumns>
  <tableStyleInfo name="TableStyleLight8" showRowStripes="1" showColumnStripes="0"/>
</table>
</file>

<file path=xl/tables/table157.xml><?xml version="1.0" encoding="utf-8"?>
<table xmlns="http://schemas.openxmlformats.org/spreadsheetml/2006/main" id="157" name="Таблиця_157" displayName="Таблиця_157" ref="A138:D141" headerRowCount="1">
  <autoFilter ref="A138:D141"/>
  <tableColumns count="4">
    <tableColumn id="1" name="Торгова марка"/>
    <tableColumn id="2" name="Позицій"/>
    <tableColumn id="3" name="Частка"/>
    <tableColumn id="4" name="Власна ТМ за довідником"/>
  </tableColumns>
  <tableStyleInfo name="TableStyleLight8" showRowStripes="1" showColumnStripes="0"/>
</table>
</file>

<file path=xl/tables/table158.xml><?xml version="1.0" encoding="utf-8"?>
<table xmlns="http://schemas.openxmlformats.org/spreadsheetml/2006/main" id="158" name="Таблиця_158" displayName="Таблиця_158" ref="A144:B164" headerRowCount="1">
  <autoFilter ref="A144:B164"/>
  <tableColumns count="2">
    <tableColumn id="1" name="Товар"/>
    <tableColumn id="2" name="Позицій"/>
  </tableColumns>
  <tableStyleInfo name="TableStyleLight8" showRowStripes="1" showColumnStripes="0"/>
</table>
</file>

<file path=xl/tables/table159.xml><?xml version="1.0" encoding="utf-8"?>
<table xmlns="http://schemas.openxmlformats.org/spreadsheetml/2006/main" id="159" name="Таблиця_159" displayName="Таблиця_159" ref="A167:B170" headerRowCount="1">
  <autoFilter ref="A167:B170"/>
  <tableColumns count="2">
    <tableColumn id="1" name="Тип документа"/>
    <tableColumn id="2" name="Файлів"/>
  </tableColumns>
  <tableStyleInfo name="TableStyleLight8" showRowStripes="1" showColumnStripes="0"/>
</table>
</file>

<file path=xl/tables/table160.xml><?xml version="1.0" encoding="utf-8"?>
<table xmlns="http://schemas.openxmlformats.org/spreadsheetml/2006/main" id="160" name="Таблиця_160" displayName="Таблиця_160" ref="A173:F178" headerRowCount="1">
  <autoFilter ref="A173:F178"/>
  <tableColumns count="6">
    <tableColumn id="1" name="Закупівля"/>
    <tableColumn id="2" name="Дата"/>
    <tableColumn id="3" name="Замовник"/>
    <tableColumn id="4" name="Сума, грн"/>
    <tableColumn id="5" name="Причина"/>
    <tableColumn id="6" name="Формулювання замовника"/>
  </tableColumns>
  <tableStyleInfo name="TableStyleLight8" showRowStripes="1" showColumnStripes="0"/>
</table>
</file>

<file path=xl/tables/table161.xml><?xml version="1.0" encoding="utf-8"?>
<table xmlns="http://schemas.openxmlformats.org/spreadsheetml/2006/main" id="161" name="Таблиця_161" displayName="Таблиця_161" ref="A181:I197" headerRowCount="1">
  <autoFilter ref="A181:I197"/>
  <tableColumns count="9">
    <tableColumn id="1" name="Закупівля"/>
    <tableColumn id="2" name="Дата"/>
    <tableColumn id="3" name="Замовник"/>
    <tableColumn id="4" name="Регіон"/>
    <tableColumn id="5" name="Сума, грн"/>
    <tableColumn id="6" name="Очікувана, грн"/>
    <tableColumn id="7" name="Процедура"/>
    <tableColumn id="8" name="Галузь"/>
    <tableColumn id="9" name="Джерело"/>
  </tableColumns>
  <tableStyleInfo name="TableStyleLight8" showRowStripes="1" showColumnStripes="0"/>
</table>
</file>

<file path=xl/tables/table162.xml><?xml version="1.0" encoding="utf-8"?>
<table xmlns="http://schemas.openxmlformats.org/spreadsheetml/2006/main" id="162" name="Таблиця_162" displayName="Таблиця_162" ref="A200:H216" headerRowCount="1">
  <autoFilter ref="A200:H216"/>
  <tableColumns count="8">
    <tableColumn id="1" name="Закупівля"/>
    <tableColumn id="2" name="Дата"/>
    <tableColumn id="3" name="Замовник"/>
    <tableColumn id="4" name="Предмет"/>
    <tableColumn id="5" name="Сума переможця, грн"/>
    <tableColumn id="6" name="Наша пропозиція, грн"/>
    <tableColumn id="7" name="Розрив"/>
    <tableColumn id="8" name="Що сталося"/>
  </tableColumns>
  <tableStyleInfo name="TableStyleLight8" showRowStripes="1" showColumnStripes="0"/>
</table>
</file>

<file path=xl/tables/table163.xml><?xml version="1.0" encoding="utf-8"?>
<table xmlns="http://schemas.openxmlformats.org/spreadsheetml/2006/main" id="163" name="Таблиця_163" displayName="Таблиця_163" ref="A138:D149" headerRowCount="1">
  <autoFilter ref="A138:D149"/>
  <tableColumns count="4">
    <tableColumn id="1" name="Торгова марка"/>
    <tableColumn id="2" name="Позицій"/>
    <tableColumn id="3" name="Частка"/>
    <tableColumn id="4" name="Власна ТМ за довідником"/>
  </tableColumns>
  <tableStyleInfo name="TableStyleLight8" showRowStripes="1" showColumnStripes="0"/>
</table>
</file>

<file path=xl/tables/table164.xml><?xml version="1.0" encoding="utf-8"?>
<table xmlns="http://schemas.openxmlformats.org/spreadsheetml/2006/main" id="164" name="Таблиця_164" displayName="Таблиця_164" ref="A152:B161" headerRowCount="1">
  <autoFilter ref="A152:B161"/>
  <tableColumns count="2">
    <tableColumn id="1" name="Товар"/>
    <tableColumn id="2" name="Позицій"/>
  </tableColumns>
  <tableStyleInfo name="TableStyleLight8" showRowStripes="1" showColumnStripes="0"/>
</table>
</file>

<file path=xl/tables/table165.xml><?xml version="1.0" encoding="utf-8"?>
<table xmlns="http://schemas.openxmlformats.org/spreadsheetml/2006/main" id="165" name="Таблиця_165" displayName="Таблиця_165" ref="A164:B176" headerRowCount="1">
  <autoFilter ref="A164:B176"/>
  <tableColumns count="2">
    <tableColumn id="1" name="Тип документа"/>
    <tableColumn id="2" name="Файлів"/>
  </tableColumns>
  <tableStyleInfo name="TableStyleLight8" showRowStripes="1" showColumnStripes="0"/>
</table>
</file>

<file path=xl/tables/table166.xml><?xml version="1.0" encoding="utf-8"?>
<table xmlns="http://schemas.openxmlformats.org/spreadsheetml/2006/main" id="166" name="Таблиця_166" displayName="Таблиця_166" ref="A179:F200" headerRowCount="1">
  <autoFilter ref="A179:F200"/>
  <tableColumns count="6">
    <tableColumn id="1" name="Закупівля"/>
    <tableColumn id="2" name="Дата"/>
    <tableColumn id="3" name="Замовник"/>
    <tableColumn id="4" name="Сума, грн"/>
    <tableColumn id="5" name="Причина"/>
    <tableColumn id="6" name="Формулювання замовника"/>
  </tableColumns>
  <tableStyleInfo name="TableStyleLight8" showRowStripes="1" showColumnStripes="0"/>
</table>
</file>

<file path=xl/tables/table167.xml><?xml version="1.0" encoding="utf-8"?>
<table xmlns="http://schemas.openxmlformats.org/spreadsheetml/2006/main" id="167" name="Таблиця_167" displayName="Таблиця_167" ref="A203:I212" headerRowCount="1">
  <autoFilter ref="A203:I212"/>
  <tableColumns count="9">
    <tableColumn id="1" name="Закупівля"/>
    <tableColumn id="2" name="Дата"/>
    <tableColumn id="3" name="Замовник"/>
    <tableColumn id="4" name="Регіон"/>
    <tableColumn id="5" name="Сума, грн"/>
    <tableColumn id="6" name="Очікувана, грн"/>
    <tableColumn id="7" name="Процедура"/>
    <tableColumn id="8" name="Галузь"/>
    <tableColumn id="9" name="Джерело"/>
  </tableColumns>
  <tableStyleInfo name="TableStyleLight8" showRowStripes="1" showColumnStripes="0"/>
</table>
</file>

<file path=xl/tables/table168.xml><?xml version="1.0" encoding="utf-8"?>
<table xmlns="http://schemas.openxmlformats.org/spreadsheetml/2006/main" id="168" name="Таблиця_168" displayName="Таблиця_168" ref="A215:H223" headerRowCount="1">
  <autoFilter ref="A215:H223"/>
  <tableColumns count="8">
    <tableColumn id="1" name="Закупівля"/>
    <tableColumn id="2" name="Дата"/>
    <tableColumn id="3" name="Замовник"/>
    <tableColumn id="4" name="Предмет"/>
    <tableColumn id="5" name="Сума переможця, грн"/>
    <tableColumn id="6" name="Наша пропозиція, грн"/>
    <tableColumn id="7" name="Розрив"/>
    <tableColumn id="8" name="Що сталося"/>
  </tableColumns>
  <tableStyleInfo name="TableStyleLight8" showRowStripes="1" showColumnStripes="0"/>
</table>
</file>

<file path=xl/tables/table169.xml><?xml version="1.0" encoding="utf-8"?>
<table xmlns="http://schemas.openxmlformats.org/spreadsheetml/2006/main" id="169" name="Таблиця_169" displayName="Таблиця_169" ref="A116:D117" headerRowCount="1">
  <autoFilter ref="A116:D117"/>
  <tableColumns count="4">
    <tableColumn id="1" name="Торгова марка"/>
    <tableColumn id="2" name="Позицій"/>
    <tableColumn id="3" name="Частка"/>
    <tableColumn id="4" name="Власна ТМ за довідником"/>
  </tableColumns>
  <tableStyleInfo name="TableStyleLight8" showRowStripes="1" showColumnStripes="0"/>
</table>
</file>

<file path=xl/tables/table170.xml><?xml version="1.0" encoding="utf-8"?>
<table xmlns="http://schemas.openxmlformats.org/spreadsheetml/2006/main" id="170" name="Таблиця_170" displayName="Таблиця_170" ref="A120:B132" headerRowCount="1">
  <autoFilter ref="A120:B132"/>
  <tableColumns count="2">
    <tableColumn id="1" name="Товар"/>
    <tableColumn id="2" name="Позицій"/>
  </tableColumns>
  <tableStyleInfo name="TableStyleLight8" showRowStripes="1" showColumnStripes="0"/>
</table>
</file>

<file path=xl/tables/table171.xml><?xml version="1.0" encoding="utf-8"?>
<table xmlns="http://schemas.openxmlformats.org/spreadsheetml/2006/main" id="171" name="Таблиця_171" displayName="Таблиця_171" ref="A135:B138" headerRowCount="1">
  <autoFilter ref="A135:B138"/>
  <tableColumns count="2">
    <tableColumn id="1" name="Тип документа"/>
    <tableColumn id="2" name="Файлів"/>
  </tableColumns>
  <tableStyleInfo name="TableStyleLight8" showRowStripes="1" showColumnStripes="0"/>
</table>
</file>

<file path=xl/tables/table172.xml><?xml version="1.0" encoding="utf-8"?>
<table xmlns="http://schemas.openxmlformats.org/spreadsheetml/2006/main" id="172" name="Таблиця_172" displayName="Таблиця_172" ref="A141:F147" headerRowCount="1">
  <autoFilter ref="A141:F147"/>
  <tableColumns count="6">
    <tableColumn id="1" name="Закупівля"/>
    <tableColumn id="2" name="Дата"/>
    <tableColumn id="3" name="Замовник"/>
    <tableColumn id="4" name="Сума, грн"/>
    <tableColumn id="5" name="Причина"/>
    <tableColumn id="6" name="Формулювання замовника"/>
  </tableColumns>
  <tableStyleInfo name="TableStyleLight8" showRowStripes="1" showColumnStripes="0"/>
</table>
</file>

<file path=xl/tables/table173.xml><?xml version="1.0" encoding="utf-8"?>
<table xmlns="http://schemas.openxmlformats.org/spreadsheetml/2006/main" id="173" name="Таблиця_173" displayName="Таблиця_173" ref="A150:I161" headerRowCount="1">
  <autoFilter ref="A150:I161"/>
  <tableColumns count="9">
    <tableColumn id="1" name="Закупівля"/>
    <tableColumn id="2" name="Дата"/>
    <tableColumn id="3" name="Замовник"/>
    <tableColumn id="4" name="Регіон"/>
    <tableColumn id="5" name="Сума, грн"/>
    <tableColumn id="6" name="Очікувана, грн"/>
    <tableColumn id="7" name="Процедура"/>
    <tableColumn id="8" name="Галузь"/>
    <tableColumn id="9" name="Джерело"/>
  </tableColumns>
  <tableStyleInfo name="TableStyleLight8" showRowStripes="1" showColumnStripes="0"/>
</table>
</file>

<file path=xl/tables/table174.xml><?xml version="1.0" encoding="utf-8"?>
<table xmlns="http://schemas.openxmlformats.org/spreadsheetml/2006/main" id="174" name="Таблиця_174" displayName="Таблиця_174" ref="A164:H175" headerRowCount="1">
  <autoFilter ref="A164:H175"/>
  <tableColumns count="8">
    <tableColumn id="1" name="Закупівля"/>
    <tableColumn id="2" name="Дата"/>
    <tableColumn id="3" name="Замовник"/>
    <tableColumn id="4" name="Предмет"/>
    <tableColumn id="5" name="Сума переможця, грн"/>
    <tableColumn id="6" name="Наша пропозиція, грн"/>
    <tableColumn id="7" name="Розрив"/>
    <tableColumn id="8" name="Що сталося"/>
  </tableColumns>
  <tableStyleInfo name="TableStyleLight8" showRowStripes="1" showColumnStripes="0"/>
</table>
</file>

<file path=xl/tables/table175.xml><?xml version="1.0" encoding="utf-8"?>
<table xmlns="http://schemas.openxmlformats.org/spreadsheetml/2006/main" id="175" name="Таблиця_175" displayName="Таблиця_175" ref="A76:D79" headerRowCount="1">
  <autoFilter ref="A76:D79"/>
  <tableColumns count="4">
    <tableColumn id="1" name="Торгова марка"/>
    <tableColumn id="2" name="Позицій"/>
    <tableColumn id="3" name="Частка"/>
    <tableColumn id="4" name="Власна ТМ за довідником"/>
  </tableColumns>
  <tableStyleInfo name="TableStyleLight8" showRowStripes="1" showColumnStripes="0"/>
</table>
</file>

<file path=xl/tables/table176.xml><?xml version="1.0" encoding="utf-8"?>
<table xmlns="http://schemas.openxmlformats.org/spreadsheetml/2006/main" id="176" name="Таблиця_176" displayName="Таблиця_176" ref="A82:B93" headerRowCount="1">
  <autoFilter ref="A82:B93"/>
  <tableColumns count="2">
    <tableColumn id="1" name="Товар"/>
    <tableColumn id="2" name="Позицій"/>
  </tableColumns>
  <tableStyleInfo name="TableStyleLight8" showRowStripes="1" showColumnStripes="0"/>
</table>
</file>

<file path=xl/tables/table177.xml><?xml version="1.0" encoding="utf-8"?>
<table xmlns="http://schemas.openxmlformats.org/spreadsheetml/2006/main" id="177" name="Таблиця_177" displayName="Таблиця_177" ref="A96:B100" headerRowCount="1">
  <autoFilter ref="A96:B100"/>
  <tableColumns count="2">
    <tableColumn id="1" name="Тип документа"/>
    <tableColumn id="2" name="Файлів"/>
  </tableColumns>
  <tableStyleInfo name="TableStyleLight8" showRowStripes="1" showColumnStripes="0"/>
</table>
</file>

<file path=xl/tables/table178.xml><?xml version="1.0" encoding="utf-8"?>
<table xmlns="http://schemas.openxmlformats.org/spreadsheetml/2006/main" id="178" name="Таблиця_178" displayName="Таблиця_178" ref="A103:F112" headerRowCount="1">
  <autoFilter ref="A103:F112"/>
  <tableColumns count="6">
    <tableColumn id="1" name="Закупівля"/>
    <tableColumn id="2" name="Дата"/>
    <tableColumn id="3" name="Замовник"/>
    <tableColumn id="4" name="Сума, грн"/>
    <tableColumn id="5" name="Причина"/>
    <tableColumn id="6" name="Формулювання замовника"/>
  </tableColumns>
  <tableStyleInfo name="TableStyleLight8" showRowStripes="1" showColumnStripes="0"/>
</table>
</file>

<file path=xl/tables/table179.xml><?xml version="1.0" encoding="utf-8"?>
<table xmlns="http://schemas.openxmlformats.org/spreadsheetml/2006/main" id="179" name="Таблиця_179" displayName="Таблиця_179" ref="A93:B102" headerRowCount="1">
  <autoFilter ref="A93:B102"/>
  <tableColumns count="2">
    <tableColumn id="1" name="Товар"/>
    <tableColumn id="2" name="Позицій"/>
  </tableColumns>
  <tableStyleInfo name="TableStyleLight8" showRowStripes="1" showColumnStripes="0"/>
</table>
</file>

<file path=xl/tables/table180.xml><?xml version="1.0" encoding="utf-8"?>
<table xmlns="http://schemas.openxmlformats.org/spreadsheetml/2006/main" id="180" name="Таблиця_180" displayName="Таблиця_180" ref="A105:B107" headerRowCount="1">
  <autoFilter ref="A105:B107"/>
  <tableColumns count="2">
    <tableColumn id="1" name="Тип документа"/>
    <tableColumn id="2" name="Файлів"/>
  </tableColumns>
  <tableStyleInfo name="TableStyleLight8" showRowStripes="1" showColumnStripes="0"/>
</table>
</file>

<file path=xl/tables/table181.xml><?xml version="1.0" encoding="utf-8"?>
<table xmlns="http://schemas.openxmlformats.org/spreadsheetml/2006/main" id="181" name="Таблиця_181" displayName="Таблиця_181" ref="A110:I115" headerRowCount="1">
  <autoFilter ref="A110:I115"/>
  <tableColumns count="9">
    <tableColumn id="1" name="Закупівля"/>
    <tableColumn id="2" name="Дата"/>
    <tableColumn id="3" name="Замовник"/>
    <tableColumn id="4" name="Регіон"/>
    <tableColumn id="5" name="Сума, грн"/>
    <tableColumn id="6" name="Очікувана, грн"/>
    <tableColumn id="7" name="Процедура"/>
    <tableColumn id="8" name="Галузь"/>
    <tableColumn id="9" name="Джерело"/>
  </tableColumns>
  <tableStyleInfo name="TableStyleLight8" showRowStripes="1" showColumnStripes="0"/>
</table>
</file>

<file path=xl/tables/table182.xml><?xml version="1.0" encoding="utf-8"?>
<table xmlns="http://schemas.openxmlformats.org/spreadsheetml/2006/main" id="182" name="Таблиця_182" displayName="Таблиця_182" ref="A118:H123" headerRowCount="1">
  <autoFilter ref="A118:H123"/>
  <tableColumns count="8">
    <tableColumn id="1" name="Закупівля"/>
    <tableColumn id="2" name="Дата"/>
    <tableColumn id="3" name="Замовник"/>
    <tableColumn id="4" name="Предмет"/>
    <tableColumn id="5" name="Сума переможця, грн"/>
    <tableColumn id="6" name="Наша пропозиція, грн"/>
    <tableColumn id="7" name="Розрив"/>
    <tableColumn id="8" name="Що сталося"/>
  </tableColumns>
  <tableStyleInfo name="TableStyleLight8" showRowStripes="1" showColumnStripes="0"/>
</table>
</file>

<file path=xl/tables/table183.xml><?xml version="1.0" encoding="utf-8"?>
<table xmlns="http://schemas.openxmlformats.org/spreadsheetml/2006/main" id="183" name="Таблиця_183" displayName="Таблиця_183" ref="A134:D135" headerRowCount="1">
  <autoFilter ref="A134:D135"/>
  <tableColumns count="4">
    <tableColumn id="1" name="Торгова марка"/>
    <tableColumn id="2" name="Позицій"/>
    <tableColumn id="3" name="Частка"/>
    <tableColumn id="4" name="Власна ТМ за довідником"/>
  </tableColumns>
  <tableStyleInfo name="TableStyleLight8" showRowStripes="1" showColumnStripes="0"/>
</table>
</file>

<file path=xl/tables/table184.xml><?xml version="1.0" encoding="utf-8"?>
<table xmlns="http://schemas.openxmlformats.org/spreadsheetml/2006/main" id="184" name="Таблиця_184" displayName="Таблиця_184" ref="A138:B147" headerRowCount="1">
  <autoFilter ref="A138:B147"/>
  <tableColumns count="2">
    <tableColumn id="1" name="Товар"/>
    <tableColumn id="2" name="Позицій"/>
  </tableColumns>
  <tableStyleInfo name="TableStyleLight8" showRowStripes="1" showColumnStripes="0"/>
</table>
</file>

<file path=xl/tables/table185.xml><?xml version="1.0" encoding="utf-8"?>
<table xmlns="http://schemas.openxmlformats.org/spreadsheetml/2006/main" id="185" name="Таблиця_185" displayName="Таблиця_185" ref="A150:B153" headerRowCount="1">
  <autoFilter ref="A150:B153"/>
  <tableColumns count="2">
    <tableColumn id="1" name="Тип документа"/>
    <tableColumn id="2" name="Файлів"/>
  </tableColumns>
  <tableStyleInfo name="TableStyleLight8" showRowStripes="1" showColumnStripes="0"/>
</table>
</file>

<file path=xl/tables/table186.xml><?xml version="1.0" encoding="utf-8"?>
<table xmlns="http://schemas.openxmlformats.org/spreadsheetml/2006/main" id="186" name="Таблиця_186" displayName="Таблиця_186" ref="A156:F159" headerRowCount="1">
  <autoFilter ref="A156:F159"/>
  <tableColumns count="6">
    <tableColumn id="1" name="Закупівля"/>
    <tableColumn id="2" name="Дата"/>
    <tableColumn id="3" name="Замовник"/>
    <tableColumn id="4" name="Сума, грн"/>
    <tableColumn id="5" name="Причина"/>
    <tableColumn id="6" name="Формулювання замовника"/>
  </tableColumns>
  <tableStyleInfo name="TableStyleLight8" showRowStripes="1" showColumnStripes="0"/>
</table>
</file>

<file path=xl/tables/table187.xml><?xml version="1.0" encoding="utf-8"?>
<table xmlns="http://schemas.openxmlformats.org/spreadsheetml/2006/main" id="187" name="Таблиця_187" displayName="Таблиця_187" ref="A162:I169" headerRowCount="1">
  <autoFilter ref="A162:I169"/>
  <tableColumns count="9">
    <tableColumn id="1" name="Закупівля"/>
    <tableColumn id="2" name="Дата"/>
    <tableColumn id="3" name="Замовник"/>
    <tableColumn id="4" name="Регіон"/>
    <tableColumn id="5" name="Сума, грн"/>
    <tableColumn id="6" name="Очікувана, грн"/>
    <tableColumn id="7" name="Процедура"/>
    <tableColumn id="8" name="Галузь"/>
    <tableColumn id="9" name="Джерело"/>
  </tableColumns>
  <tableStyleInfo name="TableStyleLight8" showRowStripes="1" showColumnStripes="0"/>
</table>
</file>

<file path=xl/tables/table188.xml><?xml version="1.0" encoding="utf-8"?>
<table xmlns="http://schemas.openxmlformats.org/spreadsheetml/2006/main" id="188" name="Таблиця_188" displayName="Таблиця_188" ref="A172:H179" headerRowCount="1">
  <autoFilter ref="A172:H179"/>
  <tableColumns count="8">
    <tableColumn id="1" name="Закупівля"/>
    <tableColumn id="2" name="Дата"/>
    <tableColumn id="3" name="Замовник"/>
    <tableColumn id="4" name="Предмет"/>
    <tableColumn id="5" name="Сума переможця, грн"/>
    <tableColumn id="6" name="Наша пропозиція, грн"/>
    <tableColumn id="7" name="Розрив"/>
    <tableColumn id="8" name="Що сталося"/>
  </tableColumns>
  <tableStyleInfo name="TableStyleLight8" showRowStripes="1" showColumnStripes="0"/>
</table>
</file>

<file path=xl/tables/table189.xml><?xml version="1.0" encoding="utf-8"?>
<table xmlns="http://schemas.openxmlformats.org/spreadsheetml/2006/main" id="189" name="Таблиця_189" displayName="Таблиця_189" ref="A139:D158" headerRowCount="1">
  <autoFilter ref="A139:D158"/>
  <tableColumns count="4">
    <tableColumn id="1" name="Торгова марка"/>
    <tableColumn id="2" name="Позицій"/>
    <tableColumn id="3" name="Частка"/>
    <tableColumn id="4" name="Власна ТМ за довідником"/>
  </tableColumns>
  <tableStyleInfo name="TableStyleLight8" showRowStripes="1" showColumnStripes="0"/>
</table>
</file>

<file path=xl/tables/table190.xml><?xml version="1.0" encoding="utf-8"?>
<table xmlns="http://schemas.openxmlformats.org/spreadsheetml/2006/main" id="190" name="Таблиця_190" displayName="Таблиця_190" ref="A161:B181" headerRowCount="1">
  <autoFilter ref="A161:B181"/>
  <tableColumns count="2">
    <tableColumn id="1" name="Товар"/>
    <tableColumn id="2" name="Позицій"/>
  </tableColumns>
  <tableStyleInfo name="TableStyleLight8" showRowStripes="1" showColumnStripes="0"/>
</table>
</file>

<file path=xl/tables/table191.xml><?xml version="1.0" encoding="utf-8"?>
<table xmlns="http://schemas.openxmlformats.org/spreadsheetml/2006/main" id="191" name="Таблиця_191" displayName="Таблиця_191" ref="A184:B195" headerRowCount="1">
  <autoFilter ref="A184:B195"/>
  <tableColumns count="2">
    <tableColumn id="1" name="Тип документа"/>
    <tableColumn id="2" name="Файлів"/>
  </tableColumns>
  <tableStyleInfo name="TableStyleLight8" showRowStripes="1" showColumnStripes="0"/>
</table>
</file>

<file path=xl/tables/table192.xml><?xml version="1.0" encoding="utf-8"?>
<table xmlns="http://schemas.openxmlformats.org/spreadsheetml/2006/main" id="192" name="Таблиця_192" displayName="Таблиця_192" ref="A198:F201" headerRowCount="1">
  <autoFilter ref="A198:F201"/>
  <tableColumns count="6">
    <tableColumn id="1" name="Закупівля"/>
    <tableColumn id="2" name="Дата"/>
    <tableColumn id="3" name="Замовник"/>
    <tableColumn id="4" name="Сума, грн"/>
    <tableColumn id="5" name="Причина"/>
    <tableColumn id="6" name="Формулювання замовника"/>
  </tableColumns>
  <tableStyleInfo name="TableStyleLight8" showRowStripes="1" showColumnStripes="0"/>
</table>
</file>

<file path=xl/tables/table193.xml><?xml version="1.0" encoding="utf-8"?>
<table xmlns="http://schemas.openxmlformats.org/spreadsheetml/2006/main" id="193" name="Таблиця_193" displayName="Таблиця_193" ref="A204:I210" headerRowCount="1">
  <autoFilter ref="A204:I210"/>
  <tableColumns count="9">
    <tableColumn id="1" name="Закупівля"/>
    <tableColumn id="2" name="Дата"/>
    <tableColumn id="3" name="Замовник"/>
    <tableColumn id="4" name="Регіон"/>
    <tableColumn id="5" name="Сума, грн"/>
    <tableColumn id="6" name="Очікувана, грн"/>
    <tableColumn id="7" name="Процедура"/>
    <tableColumn id="8" name="Галузь"/>
    <tableColumn id="9" name="Джерело"/>
  </tableColumns>
  <tableStyleInfo name="TableStyleLight8" showRowStripes="1" showColumnStripes="0"/>
</table>
</file>

<file path=xl/tables/table194.xml><?xml version="1.0" encoding="utf-8"?>
<table xmlns="http://schemas.openxmlformats.org/spreadsheetml/2006/main" id="194" name="Таблиця_194" displayName="Таблиця_194" ref="A213:H218" headerRowCount="1">
  <autoFilter ref="A213:H218"/>
  <tableColumns count="8">
    <tableColumn id="1" name="Закупівля"/>
    <tableColumn id="2" name="Дата"/>
    <tableColumn id="3" name="Замовник"/>
    <tableColumn id="4" name="Предмет"/>
    <tableColumn id="5" name="Сума переможця, грн"/>
    <tableColumn id="6" name="Наша пропозиція, грн"/>
    <tableColumn id="7" name="Розрив"/>
    <tableColumn id="8" name="Що сталося"/>
  </tableColumns>
  <tableStyleInfo name="TableStyleLight8" showRowStripes="1" showColumnStripes="0"/>
</table>
</file>

<file path=xl/tables/table195.xml><?xml version="1.0" encoding="utf-8"?>
<table xmlns="http://schemas.openxmlformats.org/spreadsheetml/2006/main" id="195" name="Таблиця_195" displayName="Таблиця_195" ref="A96:B109" headerRowCount="1">
  <autoFilter ref="A96:B109"/>
  <tableColumns count="2">
    <tableColumn id="1" name="Товар"/>
    <tableColumn id="2" name="Позицій"/>
  </tableColumns>
  <tableStyleInfo name="TableStyleLight8" showRowStripes="1" showColumnStripes="0"/>
</table>
</file>

<file path=xl/tables/table196.xml><?xml version="1.0" encoding="utf-8"?>
<table xmlns="http://schemas.openxmlformats.org/spreadsheetml/2006/main" id="196" name="Таблиця_196" displayName="Таблиця_196" ref="A112:B115" headerRowCount="1">
  <autoFilter ref="A112:B115"/>
  <tableColumns count="2">
    <tableColumn id="1" name="Тип документа"/>
    <tableColumn id="2" name="Файлів"/>
  </tableColumns>
  <tableStyleInfo name="TableStyleLight8" showRowStripes="1" showColumnStripes="0"/>
</table>
</file>

<file path=xl/tables/table197.xml><?xml version="1.0" encoding="utf-8"?>
<table xmlns="http://schemas.openxmlformats.org/spreadsheetml/2006/main" id="197" name="Таблиця_197" displayName="Таблиця_197" ref="A118:F121" headerRowCount="1">
  <autoFilter ref="A118:F121"/>
  <tableColumns count="6">
    <tableColumn id="1" name="Закупівля"/>
    <tableColumn id="2" name="Дата"/>
    <tableColumn id="3" name="Замовник"/>
    <tableColumn id="4" name="Сума, грн"/>
    <tableColumn id="5" name="Причина"/>
    <tableColumn id="6" name="Формулювання замовника"/>
  </tableColumns>
  <tableStyleInfo name="TableStyleLight8" showRowStripes="1" showColumnStripes="0"/>
</table>
</file>

<file path=xl/tables/table198.xml><?xml version="1.0" encoding="utf-8"?>
<table xmlns="http://schemas.openxmlformats.org/spreadsheetml/2006/main" id="198" name="Таблиця_198" displayName="Таблиця_198" ref="A124:I128" headerRowCount="1">
  <autoFilter ref="A124:I128"/>
  <tableColumns count="9">
    <tableColumn id="1" name="Закупівля"/>
    <tableColumn id="2" name="Дата"/>
    <tableColumn id="3" name="Замовник"/>
    <tableColumn id="4" name="Регіон"/>
    <tableColumn id="5" name="Сума, грн"/>
    <tableColumn id="6" name="Очікувана, грн"/>
    <tableColumn id="7" name="Процедура"/>
    <tableColumn id="8" name="Галузь"/>
    <tableColumn id="9" name="Джерело"/>
  </tableColumns>
  <tableStyleInfo name="TableStyleLight8" showRowStripes="1" showColumnStripes="0"/>
</table>
</file>

<file path=xl/tables/table199.xml><?xml version="1.0" encoding="utf-8"?>
<table xmlns="http://schemas.openxmlformats.org/spreadsheetml/2006/main" id="199" name="Таблиця_199" displayName="Таблиця_199" ref="A131:H135" headerRowCount="1">
  <autoFilter ref="A131:H135"/>
  <tableColumns count="8">
    <tableColumn id="1" name="Закупівля"/>
    <tableColumn id="2" name="Дата"/>
    <tableColumn id="3" name="Замовник"/>
    <tableColumn id="4" name="Предмет"/>
    <tableColumn id="5" name="Сума переможця, грн"/>
    <tableColumn id="6" name="Наша пропозиція, грн"/>
    <tableColumn id="7" name="Розрив"/>
    <tableColumn id="8" name="Що сталося"/>
  </tableColumns>
  <tableStyleInfo name="TableStyleLight8" showRowStripes="1" showColumnStripes="0"/>
</table>
</file>

<file path=xl/tables/table200.xml><?xml version="1.0" encoding="utf-8"?>
<table xmlns="http://schemas.openxmlformats.org/spreadsheetml/2006/main" id="200" name="Таблиця_200" displayName="Таблиця_200" ref="A95:B106" headerRowCount="1">
  <autoFilter ref="A95:B106"/>
  <tableColumns count="2">
    <tableColumn id="1" name="Товар"/>
    <tableColumn id="2" name="Позицій"/>
  </tableColumns>
  <tableStyleInfo name="TableStyleLight8" showRowStripes="1" showColumnStripes="0"/>
</table>
</file>

<file path=xl/tables/table201.xml><?xml version="1.0" encoding="utf-8"?>
<table xmlns="http://schemas.openxmlformats.org/spreadsheetml/2006/main" id="201" name="Таблиця_201" displayName="Таблиця_201" ref="A109:B111" headerRowCount="1">
  <autoFilter ref="A109:B111"/>
  <tableColumns count="2">
    <tableColumn id="1" name="Тип документа"/>
    <tableColumn id="2" name="Файлів"/>
  </tableColumns>
  <tableStyleInfo name="TableStyleLight8" showRowStripes="1" showColumnStripes="0"/>
</table>
</file>

<file path=xl/tables/table202.xml><?xml version="1.0" encoding="utf-8"?>
<table xmlns="http://schemas.openxmlformats.org/spreadsheetml/2006/main" id="202" name="Таблиця_202" displayName="Таблиця_202" ref="A114:F116" headerRowCount="1">
  <autoFilter ref="A114:F116"/>
  <tableColumns count="6">
    <tableColumn id="1" name="Закупівля"/>
    <tableColumn id="2" name="Дата"/>
    <tableColumn id="3" name="Замовник"/>
    <tableColumn id="4" name="Сума, грн"/>
    <tableColumn id="5" name="Причина"/>
    <tableColumn id="6" name="Формулювання замовника"/>
  </tableColumns>
  <tableStyleInfo name="TableStyleLight8" showRowStripes="1" showColumnStripes="0"/>
</table>
</file>

<file path=xl/tables/table203.xml><?xml version="1.0" encoding="utf-8"?>
<table xmlns="http://schemas.openxmlformats.org/spreadsheetml/2006/main" id="203" name="Таблиця_203" displayName="Таблиця_203" ref="A119:I126" headerRowCount="1">
  <autoFilter ref="A119:I126"/>
  <tableColumns count="9">
    <tableColumn id="1" name="Закупівля"/>
    <tableColumn id="2" name="Дата"/>
    <tableColumn id="3" name="Замовник"/>
    <tableColumn id="4" name="Регіон"/>
    <tableColumn id="5" name="Сума, грн"/>
    <tableColumn id="6" name="Очікувана, грн"/>
    <tableColumn id="7" name="Процедура"/>
    <tableColumn id="8" name="Галузь"/>
    <tableColumn id="9" name="Джерело"/>
  </tableColumns>
  <tableStyleInfo name="TableStyleLight8" showRowStripes="1" showColumnStripes="0"/>
</table>
</file>

<file path=xl/tables/table204.xml><?xml version="1.0" encoding="utf-8"?>
<table xmlns="http://schemas.openxmlformats.org/spreadsheetml/2006/main" id="204" name="Таблиця_204" displayName="Таблиця_204" ref="A129:H136" headerRowCount="1">
  <autoFilter ref="A129:H136"/>
  <tableColumns count="8">
    <tableColumn id="1" name="Закупівля"/>
    <tableColumn id="2" name="Дата"/>
    <tableColumn id="3" name="Замовник"/>
    <tableColumn id="4" name="Предмет"/>
    <tableColumn id="5" name="Сума переможця, грн"/>
    <tableColumn id="6" name="Наша пропозиція, грн"/>
    <tableColumn id="7" name="Розрив"/>
    <tableColumn id="8" name="Що сталося"/>
  </tableColumns>
  <tableStyleInfo name="TableStyleLight8" showRowStripes="1" showColumnStripes="0"/>
</table>
</file>

<file path=xl/tables/table205.xml><?xml version="1.0" encoding="utf-8"?>
<table xmlns="http://schemas.openxmlformats.org/spreadsheetml/2006/main" id="205" name="Таблиця_205" displayName="Таблиця_205" ref="A72:B81" headerRowCount="1">
  <autoFilter ref="A72:B81"/>
  <tableColumns count="2">
    <tableColumn id="1" name="Товар"/>
    <tableColumn id="2" name="Позицій"/>
  </tableColumns>
  <tableStyleInfo name="TableStyleLight8" showRowStripes="1" showColumnStripes="0"/>
</table>
</file>

<file path=xl/tables/table206.xml><?xml version="1.0" encoding="utf-8"?>
<table xmlns="http://schemas.openxmlformats.org/spreadsheetml/2006/main" id="206" name="Таблиця_206" displayName="Таблиця_206" ref="A84:B87" headerRowCount="1">
  <autoFilter ref="A84:B87"/>
  <tableColumns count="2">
    <tableColumn id="1" name="Тип документа"/>
    <tableColumn id="2" name="Файлів"/>
  </tableColumns>
  <tableStyleInfo name="TableStyleLight8" showRowStripes="1" showColumnStripes="0"/>
</table>
</file>

<file path=xl/tables/table207.xml><?xml version="1.0" encoding="utf-8"?>
<table xmlns="http://schemas.openxmlformats.org/spreadsheetml/2006/main" id="207" name="Таблиця_207" displayName="Таблиця_207" ref="A90:F92" headerRowCount="1">
  <autoFilter ref="A90:F92"/>
  <tableColumns count="6">
    <tableColumn id="1" name="Закупівля"/>
    <tableColumn id="2" name="Дата"/>
    <tableColumn id="3" name="Замовник"/>
    <tableColumn id="4" name="Сума, грн"/>
    <tableColumn id="5" name="Причина"/>
    <tableColumn id="6" name="Формулювання замовника"/>
  </tableColumns>
  <tableStyleInfo name="TableStyleLight8" showRowStripes="1" showColumnStripes="0"/>
</table>
</file>

<file path=xl/tables/table208.xml><?xml version="1.0" encoding="utf-8"?>
<table xmlns="http://schemas.openxmlformats.org/spreadsheetml/2006/main" id="208" name="Таблиця_208" displayName="Таблиця_208" ref="A95:I96" headerRowCount="1">
  <autoFilter ref="A95:I96"/>
  <tableColumns count="9">
    <tableColumn id="1" name="Закупівля"/>
    <tableColumn id="2" name="Дата"/>
    <tableColumn id="3" name="Замовник"/>
    <tableColumn id="4" name="Регіон"/>
    <tableColumn id="5" name="Сума, грн"/>
    <tableColumn id="6" name="Очікувана, грн"/>
    <tableColumn id="7" name="Процедура"/>
    <tableColumn id="8" name="Галузь"/>
    <tableColumn id="9" name="Джерело"/>
  </tableColumns>
  <tableStyleInfo name="TableStyleLight8" showRowStripes="1" showColumnStripes="0"/>
</table>
</file>

<file path=xl/tables/table209.xml><?xml version="1.0" encoding="utf-8"?>
<table xmlns="http://schemas.openxmlformats.org/spreadsheetml/2006/main" id="209" name="Таблиця_209" displayName="Таблиця_209" ref="A99:H100" headerRowCount="1">
  <autoFilter ref="A99:H100"/>
  <tableColumns count="8">
    <tableColumn id="1" name="Закупівля"/>
    <tableColumn id="2" name="Дата"/>
    <tableColumn id="3" name="Замовник"/>
    <tableColumn id="4" name="Предмет"/>
    <tableColumn id="5" name="Сума переможця, грн"/>
    <tableColumn id="6" name="Наша пропозиція, грн"/>
    <tableColumn id="7" name="Розрив"/>
    <tableColumn id="8" name="Що сталося"/>
  </tableColumns>
  <tableStyleInfo name="TableStyleLight8" showRowStripes="1" showColumnStripes="0"/>
</table>
</file>

<file path=xl/tables/table210.xml><?xml version="1.0" encoding="utf-8"?>
<table xmlns="http://schemas.openxmlformats.org/spreadsheetml/2006/main" id="210" name="Таблиця_210" displayName="Таблиця_210" ref="A119:D120" headerRowCount="1">
  <autoFilter ref="A119:D120"/>
  <tableColumns count="4">
    <tableColumn id="1" name="Торгова марка"/>
    <tableColumn id="2" name="Позицій"/>
    <tableColumn id="3" name="Частка"/>
    <tableColumn id="4" name="Власна ТМ за довідником"/>
  </tableColumns>
  <tableStyleInfo name="TableStyleLight8" showRowStripes="1" showColumnStripes="0"/>
</table>
</file>

<file path=xl/tables/table211.xml><?xml version="1.0" encoding="utf-8"?>
<table xmlns="http://schemas.openxmlformats.org/spreadsheetml/2006/main" id="211" name="Таблиця_211" displayName="Таблиця_211" ref="A123:B135" headerRowCount="1">
  <autoFilter ref="A123:B135"/>
  <tableColumns count="2">
    <tableColumn id="1" name="Товар"/>
    <tableColumn id="2" name="Позицій"/>
  </tableColumns>
  <tableStyleInfo name="TableStyleLight8" showRowStripes="1" showColumnStripes="0"/>
</table>
</file>

<file path=xl/tables/table212.xml><?xml version="1.0" encoding="utf-8"?>
<table xmlns="http://schemas.openxmlformats.org/spreadsheetml/2006/main" id="212" name="Таблиця_212" displayName="Таблиця_212" ref="A138:B148" headerRowCount="1">
  <autoFilter ref="A138:B148"/>
  <tableColumns count="2">
    <tableColumn id="1" name="Тип документа"/>
    <tableColumn id="2" name="Файлів"/>
  </tableColumns>
  <tableStyleInfo name="TableStyleLight8" showRowStripes="1" showColumnStripes="0"/>
</table>
</file>

<file path=xl/tables/table213.xml><?xml version="1.0" encoding="utf-8"?>
<table xmlns="http://schemas.openxmlformats.org/spreadsheetml/2006/main" id="213" name="Таблиця_213" displayName="Таблиця_213" ref="A151:F156" headerRowCount="1">
  <autoFilter ref="A151:F156"/>
  <tableColumns count="6">
    <tableColumn id="1" name="Закупівля"/>
    <tableColumn id="2" name="Дата"/>
    <tableColumn id="3" name="Замовник"/>
    <tableColumn id="4" name="Сума, грн"/>
    <tableColumn id="5" name="Причина"/>
    <tableColumn id="6" name="Формулювання замовника"/>
  </tableColumns>
  <tableStyleInfo name="TableStyleLight8" showRowStripes="1" showColumnStripes="0"/>
</table>
</file>

<file path=xl/tables/table214.xml><?xml version="1.0" encoding="utf-8"?>
<table xmlns="http://schemas.openxmlformats.org/spreadsheetml/2006/main" id="214" name="Таблиця_214" displayName="Таблиця_214" ref="A159:I166" headerRowCount="1">
  <autoFilter ref="A159:I166"/>
  <tableColumns count="9">
    <tableColumn id="1" name="Закупівля"/>
    <tableColumn id="2" name="Дата"/>
    <tableColumn id="3" name="Замовник"/>
    <tableColumn id="4" name="Регіон"/>
    <tableColumn id="5" name="Сума, грн"/>
    <tableColumn id="6" name="Очікувана, грн"/>
    <tableColumn id="7" name="Процедура"/>
    <tableColumn id="8" name="Галузь"/>
    <tableColumn id="9" name="Джерело"/>
  </tableColumns>
  <tableStyleInfo name="TableStyleLight8" showRowStripes="1" showColumnStripes="0"/>
</table>
</file>

<file path=xl/tables/table215.xml><?xml version="1.0" encoding="utf-8"?>
<table xmlns="http://schemas.openxmlformats.org/spreadsheetml/2006/main" id="215" name="Таблиця_215" displayName="Таблиця_215" ref="A169:H176" headerRowCount="1">
  <autoFilter ref="A169:H176"/>
  <tableColumns count="8">
    <tableColumn id="1" name="Закупівля"/>
    <tableColumn id="2" name="Дата"/>
    <tableColumn id="3" name="Замовник"/>
    <tableColumn id="4" name="Предмет"/>
    <tableColumn id="5" name="Сума переможця, грн"/>
    <tableColumn id="6" name="Наша пропозиція, грн"/>
    <tableColumn id="7" name="Розрив"/>
    <tableColumn id="8" name="Що сталося"/>
  </tableColumns>
  <tableStyleInfo name="TableStyleLight8" showRowStripes="1" showColumnStripes="0"/>
</table>
</file>

<file path=xl/tables/table216.xml><?xml version="1.0" encoding="utf-8"?>
<table xmlns="http://schemas.openxmlformats.org/spreadsheetml/2006/main" id="216" name="Таблиця_216" displayName="Таблиця_216" ref="A112:D115" headerRowCount="1">
  <autoFilter ref="A112:D115"/>
  <tableColumns count="4">
    <tableColumn id="1" name="Торгова марка"/>
    <tableColumn id="2" name="Позицій"/>
    <tableColumn id="3" name="Частка"/>
    <tableColumn id="4" name="Власна ТМ за довідником"/>
  </tableColumns>
  <tableStyleInfo name="TableStyleLight8" showRowStripes="1" showColumnStripes="0"/>
</table>
</file>

<file path=xl/tables/table217.xml><?xml version="1.0" encoding="utf-8"?>
<table xmlns="http://schemas.openxmlformats.org/spreadsheetml/2006/main" id="217" name="Таблиця_217" displayName="Таблиця_217" ref="A118:B125" headerRowCount="1">
  <autoFilter ref="A118:B125"/>
  <tableColumns count="2">
    <tableColumn id="1" name="Товар"/>
    <tableColumn id="2" name="Позицій"/>
  </tableColumns>
  <tableStyleInfo name="TableStyleLight8" showRowStripes="1" showColumnStripes="0"/>
</table>
</file>

<file path=xl/tables/table218.xml><?xml version="1.0" encoding="utf-8"?>
<table xmlns="http://schemas.openxmlformats.org/spreadsheetml/2006/main" id="218" name="Таблиця_218" displayName="Таблиця_218" ref="A128:B132" headerRowCount="1">
  <autoFilter ref="A128:B132"/>
  <tableColumns count="2">
    <tableColumn id="1" name="Тип документа"/>
    <tableColumn id="2" name="Файлів"/>
  </tableColumns>
  <tableStyleInfo name="TableStyleLight8" showRowStripes="1" showColumnStripes="0"/>
</table>
</file>

<file path=xl/tables/table219.xml><?xml version="1.0" encoding="utf-8"?>
<table xmlns="http://schemas.openxmlformats.org/spreadsheetml/2006/main" id="219" name="Таблиця_219" displayName="Таблиця_219" ref="A135:F146" headerRowCount="1">
  <autoFilter ref="A135:F146"/>
  <tableColumns count="6">
    <tableColumn id="1" name="Закупівля"/>
    <tableColumn id="2" name="Дата"/>
    <tableColumn id="3" name="Замовник"/>
    <tableColumn id="4" name="Сума, грн"/>
    <tableColumn id="5" name="Причина"/>
    <tableColumn id="6" name="Формулювання замовника"/>
  </tableColumns>
  <tableStyleInfo name="TableStyleLight8" showRowStripes="1" showColumnStripes="0"/>
</table>
</file>

<file path=xl/tables/table220.xml><?xml version="1.0" encoding="utf-8"?>
<table xmlns="http://schemas.openxmlformats.org/spreadsheetml/2006/main" id="220" name="Таблиця_220" displayName="Таблиця_220" ref="A149:I151" headerRowCount="1">
  <autoFilter ref="A149:I151"/>
  <tableColumns count="9">
    <tableColumn id="1" name="Закупівля"/>
    <tableColumn id="2" name="Дата"/>
    <tableColumn id="3" name="Замовник"/>
    <tableColumn id="4" name="Регіон"/>
    <tableColumn id="5" name="Сума, грн"/>
    <tableColumn id="6" name="Очікувана, грн"/>
    <tableColumn id="7" name="Процедура"/>
    <tableColumn id="8" name="Галузь"/>
    <tableColumn id="9" name="Джерело"/>
  </tableColumns>
  <tableStyleInfo name="TableStyleLight8" showRowStripes="1" showColumnStripes="0"/>
</table>
</file>

<file path=xl/tables/table221.xml><?xml version="1.0" encoding="utf-8"?>
<table xmlns="http://schemas.openxmlformats.org/spreadsheetml/2006/main" id="221" name="Таблиця_221" displayName="Таблиця_221" ref="A154:H156" headerRowCount="1">
  <autoFilter ref="A154:H156"/>
  <tableColumns count="8">
    <tableColumn id="1" name="Закупівля"/>
    <tableColumn id="2" name="Дата"/>
    <tableColumn id="3" name="Замовник"/>
    <tableColumn id="4" name="Предмет"/>
    <tableColumn id="5" name="Сума переможця, грн"/>
    <tableColumn id="6" name="Наша пропозиція, грн"/>
    <tableColumn id="7" name="Розрив"/>
    <tableColumn id="8" name="Що сталося"/>
  </tableColumns>
  <tableStyleInfo name="TableStyleLight8"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3.xml.rels><Relationships xmlns="http://schemas.openxmlformats.org/package/2006/relationships"><Relationship Type="http://schemas.openxmlformats.org/officeDocument/2006/relationships/drawing" Target="/xl/drawings/drawing2.xml" Id="rId1" /></Relationships>
</file>

<file path=xl/worksheets/_rels/sheet4.xml.rels><Relationships xmlns="http://schemas.openxmlformats.org/package/2006/relationships"><Relationship Type="http://schemas.openxmlformats.org/officeDocument/2006/relationships/hyperlink" Target="https://prozorro.gov.ua/tender/UA-2026-05-12-005759-a" TargetMode="External" Id="rId1" /><Relationship Type="http://schemas.openxmlformats.org/officeDocument/2006/relationships/hyperlink" Target="https://prozorro.gov.ua/tender/UA-2025-11-19-004062-a" TargetMode="External" Id="rId2" /><Relationship Type="http://schemas.openxmlformats.org/officeDocument/2006/relationships/hyperlink" Target="https://prozorro.gov.ua/tender/UA-2025-09-18-012716-a" TargetMode="External" Id="rId3" /><Relationship Type="http://schemas.openxmlformats.org/officeDocument/2006/relationships/drawing" Target="/xl/drawings/drawing3.xml" Id="rId4" /><Relationship Type="http://schemas.openxmlformats.org/officeDocument/2006/relationships/table" Target="/xl/tables/table1.xml" Id="rId5" /><Relationship Type="http://schemas.openxmlformats.org/officeDocument/2006/relationships/table" Target="/xl/tables/table2.xml" Id="rId6" /><Relationship Type="http://schemas.openxmlformats.org/officeDocument/2006/relationships/table" Target="/xl/tables/table3.xml" Id="rId7" /><Relationship Type="http://schemas.openxmlformats.org/officeDocument/2006/relationships/table" Target="/xl/tables/table4.xml" Id="rId8" /></Relationships>
</file>

<file path=xl/worksheets/_rels/sheet5.xml.rels><Relationships xmlns="http://schemas.openxmlformats.org/package/2006/relationships"><Relationship Type="http://schemas.openxmlformats.org/officeDocument/2006/relationships/drawing" Target="/xl/drawings/drawing4.xml" Id="rId1" /><Relationship Type="http://schemas.openxmlformats.org/officeDocument/2006/relationships/table" Target="/xl/tables/table5.xml" Id="rId2" /><Relationship Type="http://schemas.openxmlformats.org/officeDocument/2006/relationships/table" Target="/xl/tables/table6.xml" Id="rId3" /><Relationship Type="http://schemas.openxmlformats.org/officeDocument/2006/relationships/table" Target="/xl/tables/table7.xml" Id="rId4" /><Relationship Type="http://schemas.openxmlformats.org/officeDocument/2006/relationships/table" Target="/xl/tables/table8.xml" Id="rId5" /><Relationship Type="http://schemas.openxmlformats.org/officeDocument/2006/relationships/table" Target="/xl/tables/table9.xml" Id="rId6" /><Relationship Type="http://schemas.openxmlformats.org/officeDocument/2006/relationships/table" Target="/xl/tables/table10.xml" Id="rId7" /><Relationship Type="http://schemas.openxmlformats.org/officeDocument/2006/relationships/table" Target="/xl/tables/table11.xml" Id="rId8" /></Relationships>
</file>

<file path=xl/worksheets/_rels/sheet6.xml.rels><Relationships xmlns="http://schemas.openxmlformats.org/package/2006/relationships"><Relationship Type="http://schemas.openxmlformats.org/officeDocument/2006/relationships/drawing" Target="/xl/drawings/drawing5.xml" Id="rId1" /><Relationship Type="http://schemas.openxmlformats.org/officeDocument/2006/relationships/table" Target="/xl/tables/table12.xml" Id="rId2" /><Relationship Type="http://schemas.openxmlformats.org/officeDocument/2006/relationships/table" Target="/xl/tables/table13.xml" Id="rId3" /><Relationship Type="http://schemas.openxmlformats.org/officeDocument/2006/relationships/table" Target="/xl/tables/table14.xml" Id="rId4" /><Relationship Type="http://schemas.openxmlformats.org/officeDocument/2006/relationships/table" Target="/xl/tables/table15.xml" Id="rId5" /><Relationship Type="http://schemas.openxmlformats.org/officeDocument/2006/relationships/table" Target="/xl/tables/table16.xml" Id="rId6" /><Relationship Type="http://schemas.openxmlformats.org/officeDocument/2006/relationships/table" Target="/xl/tables/table17.xml" Id="rId7" /></Relationships>
</file>

<file path=xl/worksheets/_rels/sheet7.xml.rels><Relationships xmlns="http://schemas.openxmlformats.org/package/2006/relationships"><Relationship Type="http://schemas.openxmlformats.org/officeDocument/2006/relationships/hyperlink" Target="https://prozorro.gov.ua/tender/UA-2025-11-17-013210-a" TargetMode="External" Id="rId1" /><Relationship Type="http://schemas.openxmlformats.org/officeDocument/2006/relationships/hyperlink" Target="https://prozorro.gov.ua/tender/UA-2026-04-10-009243-a" TargetMode="External" Id="rId2" /><Relationship Type="http://schemas.openxmlformats.org/officeDocument/2006/relationships/hyperlink" Target="https://prozorro.gov.ua/tender/UA-2026-04-10-009243-a" TargetMode="External" Id="rId3" /><Relationship Type="http://schemas.openxmlformats.org/officeDocument/2006/relationships/hyperlink" Target="https://prozorro.gov.ua/tender/UA-2025-09-16-005057-a" TargetMode="External" Id="rId4" /><Relationship Type="http://schemas.openxmlformats.org/officeDocument/2006/relationships/hyperlink" Target="https://prozorro.gov.ua/tender/UA-2025-09-16-005057-a" TargetMode="External" Id="rId5" /><Relationship Type="http://schemas.openxmlformats.org/officeDocument/2006/relationships/hyperlink" Target="https://prozorro.gov.ua/tender/UA-2025-09-16-005057-a" TargetMode="External" Id="rId6" /><Relationship Type="http://schemas.openxmlformats.org/officeDocument/2006/relationships/hyperlink" Target="https://prozorro.gov.ua/tender/UA-2026-05-11-003530-a" TargetMode="External" Id="rId7" /><Relationship Type="http://schemas.openxmlformats.org/officeDocument/2006/relationships/hyperlink" Target="https://prozorro.gov.ua/tender/UA-2025-10-17-013580-a" TargetMode="External" Id="rId8" /><Relationship Type="http://schemas.openxmlformats.org/officeDocument/2006/relationships/hyperlink" Target="https://prozorro.gov.ua/tender/UA-2025-11-12-006000-a" TargetMode="External" Id="rId9" /><Relationship Type="http://schemas.openxmlformats.org/officeDocument/2006/relationships/hyperlink" Target="https://prozorro.gov.ua/tender/UA-2025-11-12-006000-a" TargetMode="External" Id="rId10" /><Relationship Type="http://schemas.openxmlformats.org/officeDocument/2006/relationships/hyperlink" Target="https://prozorro.gov.ua/tender/UA-2025-10-17-011018-a" TargetMode="External" Id="rId11" /><Relationship Type="http://schemas.openxmlformats.org/officeDocument/2006/relationships/hyperlink" Target="https://prozorro.gov.ua/tender/UA-2026-06-10-003459-a" TargetMode="External" Id="rId12" /><Relationship Type="http://schemas.openxmlformats.org/officeDocument/2006/relationships/hyperlink" Target="https://prozorro.gov.ua/tender/UA-2026-07-27-008910-a" TargetMode="External" Id="rId13" /><Relationship Type="http://schemas.openxmlformats.org/officeDocument/2006/relationships/hyperlink" Target="https://prozorro.gov.ua/tender/UA-2026-07-27-008910-a" TargetMode="External" Id="rId14" /><Relationship Type="http://schemas.openxmlformats.org/officeDocument/2006/relationships/hyperlink" Target="https://prozorro.gov.ua/tender/UA-2025-10-17-011018-a" TargetMode="External" Id="rId15" /><Relationship Type="http://schemas.openxmlformats.org/officeDocument/2006/relationships/hyperlink" Target="https://prozorro.gov.ua/tender/UA-2026-06-29-006273-a" TargetMode="External" Id="rId16" /><Relationship Type="http://schemas.openxmlformats.org/officeDocument/2006/relationships/hyperlink" Target="https://prozorro.gov.ua/tender/UA-2026-06-10-003459-a" TargetMode="External" Id="rId17" /><Relationship Type="http://schemas.openxmlformats.org/officeDocument/2006/relationships/hyperlink" Target="https://prozorro.gov.ua/tender/UA-2025-11-15-000640-a" TargetMode="External" Id="rId18" /><Relationship Type="http://schemas.openxmlformats.org/officeDocument/2006/relationships/hyperlink" Target="https://prozorro.gov.ua/tender/UA-2026-05-11-003657-a" TargetMode="External" Id="rId19" /><Relationship Type="http://schemas.openxmlformats.org/officeDocument/2006/relationships/hyperlink" Target="https://prozorro.gov.ua/tender/UA-2025-11-15-000640-a" TargetMode="External" Id="rId20" /><Relationship Type="http://schemas.openxmlformats.org/officeDocument/2006/relationships/hyperlink" Target="https://prozorro.gov.ua/tender/UA-2025-11-10-014743-a" TargetMode="External" Id="rId21" /><Relationship Type="http://schemas.openxmlformats.org/officeDocument/2006/relationships/hyperlink" Target="https://prozorro.gov.ua/tender/UA-2025-11-18-010645-a" TargetMode="External" Id="rId22" /><Relationship Type="http://schemas.openxmlformats.org/officeDocument/2006/relationships/hyperlink" Target="https://prozorro.gov.ua/tender/UA-2026-05-14-008402-a" TargetMode="External" Id="rId23" /><Relationship Type="http://schemas.openxmlformats.org/officeDocument/2006/relationships/hyperlink" Target="https://prozorro.gov.ua/tender/UA-2025-11-14-015599-a" TargetMode="External" Id="rId24" /><Relationship Type="http://schemas.openxmlformats.org/officeDocument/2006/relationships/hyperlink" Target="https://prozorro.gov.ua/tender/UA-2025-11-12-014817-a" TargetMode="External" Id="rId25" /><Relationship Type="http://schemas.openxmlformats.org/officeDocument/2006/relationships/hyperlink" Target="https://prozorro.gov.ua/tender/UA-2025-09-12-006819-a" TargetMode="External" Id="rId26" /><Relationship Type="http://schemas.openxmlformats.org/officeDocument/2006/relationships/hyperlink" Target="https://prozorro.gov.ua/tender/UA-2025-10-01-004593-a" TargetMode="External" Id="rId27" /><Relationship Type="http://schemas.openxmlformats.org/officeDocument/2006/relationships/hyperlink" Target="https://prozorro.gov.ua/tender/UA-2025-11-17-012681-a" TargetMode="External" Id="rId28" /><Relationship Type="http://schemas.openxmlformats.org/officeDocument/2006/relationships/hyperlink" Target="https://prozorro.gov.ua/tender/UA-2026-05-22-002851-a" TargetMode="External" Id="rId29" /><Relationship Type="http://schemas.openxmlformats.org/officeDocument/2006/relationships/hyperlink" Target="https://prozorro.gov.ua/tender/UA-2025-09-26-009240-a" TargetMode="External" Id="rId30" /><Relationship Type="http://schemas.openxmlformats.org/officeDocument/2006/relationships/hyperlink" Target="https://prozorro.gov.ua/tender/UA-2025-10-20-000713-a" TargetMode="External" Id="rId31" /><Relationship Type="http://schemas.openxmlformats.org/officeDocument/2006/relationships/hyperlink" Target="https://prozorro.gov.ua/tender/UA-2025-09-12-006819-a" TargetMode="External" Id="rId32" /><Relationship Type="http://schemas.openxmlformats.org/officeDocument/2006/relationships/hyperlink" Target="https://prozorro.gov.ua/tender/UA-2025-11-14-015599-a" TargetMode="External" Id="rId33" /><Relationship Type="http://schemas.openxmlformats.org/officeDocument/2006/relationships/hyperlink" Target="https://prozorro.gov.ua/tender/UA-2025-10-28-010787-a" TargetMode="External" Id="rId34" /><Relationship Type="http://schemas.openxmlformats.org/officeDocument/2006/relationships/hyperlink" Target="https://prozorro.gov.ua/tender/UA-2025-10-20-014579-a" TargetMode="External" Id="rId35" /><Relationship Type="http://schemas.openxmlformats.org/officeDocument/2006/relationships/hyperlink" Target="https://prozorro.gov.ua/tender/UA-2026-06-26-011036-a" TargetMode="External" Id="rId36" /><Relationship Type="http://schemas.openxmlformats.org/officeDocument/2006/relationships/hyperlink" Target="https://prozorro.gov.ua/tender/UA-2025-09-16-012720-a" TargetMode="External" Id="rId37" /><Relationship Type="http://schemas.openxmlformats.org/officeDocument/2006/relationships/hyperlink" Target="https://prozorro.gov.ua/tender/UA-2025-09-12-005017-a" TargetMode="External" Id="rId38" /><Relationship Type="http://schemas.openxmlformats.org/officeDocument/2006/relationships/hyperlink" Target="https://prozorro.gov.ua/tender/UA-2025-11-27-013291-a" TargetMode="External" Id="rId39" /><Relationship Type="http://schemas.openxmlformats.org/officeDocument/2006/relationships/hyperlink" Target="https://prozorro.gov.ua/tender/UA-2025-10-29-011635-a" TargetMode="External" Id="rId40" /><Relationship Type="http://schemas.openxmlformats.org/officeDocument/2006/relationships/hyperlink" Target="https://prozorro.gov.ua/tender/UA-2025-10-29-001814-a" TargetMode="External" Id="rId41" /><Relationship Type="http://schemas.openxmlformats.org/officeDocument/2006/relationships/hyperlink" Target="https://prozorro.gov.ua/tender/UA-2025-11-27-013291-a" TargetMode="External" Id="rId42" /><Relationship Type="http://schemas.openxmlformats.org/officeDocument/2006/relationships/hyperlink" Target="https://prozorro.gov.ua/tender/UA-2026-06-17-012977-a" TargetMode="External" Id="rId43" /><Relationship Type="http://schemas.openxmlformats.org/officeDocument/2006/relationships/hyperlink" Target="https://prozorro.gov.ua/tender/UA-2025-11-27-013291-a" TargetMode="External" Id="rId44" /><Relationship Type="http://schemas.openxmlformats.org/officeDocument/2006/relationships/hyperlink" Target="https://prozorro.gov.ua/tender/UA-2025-11-27-013291-a" TargetMode="External" Id="rId45" /><Relationship Type="http://schemas.openxmlformats.org/officeDocument/2006/relationships/hyperlink" Target="https://prozorro.gov.ua/tender/UA-2026-02-27-005041-a" TargetMode="External" Id="rId46" /><Relationship Type="http://schemas.openxmlformats.org/officeDocument/2006/relationships/hyperlink" Target="https://prozorro.gov.ua/tender/UA-2026-03-04-009702-a" TargetMode="External" Id="rId47" /><Relationship Type="http://schemas.openxmlformats.org/officeDocument/2006/relationships/hyperlink" Target="https://prozorro.gov.ua/tender/UA-2026-03-04-009702-a" TargetMode="External" Id="rId48" /><Relationship Type="http://schemas.openxmlformats.org/officeDocument/2006/relationships/hyperlink" Target="https://prozorro.gov.ua/tender/UA-2026-02-19-010901-a" TargetMode="External" Id="rId49" /><Relationship Type="http://schemas.openxmlformats.org/officeDocument/2006/relationships/hyperlink" Target="https://prozorro.gov.ua/tender/UA-2025-11-04-006800-a" TargetMode="External" Id="rId50" /><Relationship Type="http://schemas.openxmlformats.org/officeDocument/2006/relationships/hyperlink" Target="https://prozorro.gov.ua/tender/UA-2026-08-07-010621-a" TargetMode="External" Id="rId51" /><Relationship Type="http://schemas.openxmlformats.org/officeDocument/2006/relationships/hyperlink" Target="https://prozorro.gov.ua/tender/UA-2025-11-27-013291-a" TargetMode="External" Id="rId52" /><Relationship Type="http://schemas.openxmlformats.org/officeDocument/2006/relationships/hyperlink" Target="https://prozorro.gov.ua/tender/UA-2025-12-17-023135-a" TargetMode="External" Id="rId53" /><Relationship Type="http://schemas.openxmlformats.org/officeDocument/2006/relationships/hyperlink" Target="https://prozorro.gov.ua/tender/UA-2025-10-17-014263-a" TargetMode="External" Id="rId54" /><Relationship Type="http://schemas.openxmlformats.org/officeDocument/2006/relationships/hyperlink" Target="https://prozorro.gov.ua/tender/UA-2025-12-05-014534-a" TargetMode="External" Id="rId55" /><Relationship Type="http://schemas.openxmlformats.org/officeDocument/2006/relationships/hyperlink" Target="https://prozorro.gov.ua/tender/UA-2025-11-28-014373-a" TargetMode="External" Id="rId56" /><Relationship Type="http://schemas.openxmlformats.org/officeDocument/2006/relationships/hyperlink" Target="https://prozorro.gov.ua/tender/UA-2025-12-05-014534-a" TargetMode="External" Id="rId57" /><Relationship Type="http://schemas.openxmlformats.org/officeDocument/2006/relationships/hyperlink" Target="https://prozorro.gov.ua/tender/UA-2026-01-14-011038-a" TargetMode="External" Id="rId58" /><Relationship Type="http://schemas.openxmlformats.org/officeDocument/2006/relationships/hyperlink" Target="https://prozorro.gov.ua/tender/UA-2026-03-12-003768-a" TargetMode="External" Id="rId59" /><Relationship Type="http://schemas.openxmlformats.org/officeDocument/2006/relationships/hyperlink" Target="https://prozorro.gov.ua/tender/UA-2026-03-12-003768-a" TargetMode="External" Id="rId60" /><Relationship Type="http://schemas.openxmlformats.org/officeDocument/2006/relationships/hyperlink" Target="https://prozorro.gov.ua/tender/UA-2026-03-12-003768-a" TargetMode="External" Id="rId61" /><Relationship Type="http://schemas.openxmlformats.org/officeDocument/2006/relationships/hyperlink" Target="https://prozorro.gov.ua/tender/UA-2026-03-12-003768-a" TargetMode="External" Id="rId62" /><Relationship Type="http://schemas.openxmlformats.org/officeDocument/2006/relationships/hyperlink" Target="https://prozorro.gov.ua/tender/UA-2025-11-11-016296-a" TargetMode="External" Id="rId63" /><Relationship Type="http://schemas.openxmlformats.org/officeDocument/2006/relationships/hyperlink" Target="https://prozorro.gov.ua/tender/UA-2026-04-21-012151-a" TargetMode="External" Id="rId64" /><Relationship Type="http://schemas.openxmlformats.org/officeDocument/2006/relationships/hyperlink" Target="https://prozorro.gov.ua/tender/UA-2026-01-21-014002-a" TargetMode="External" Id="rId65" /><Relationship Type="http://schemas.openxmlformats.org/officeDocument/2006/relationships/hyperlink" Target="https://prozorro.gov.ua/tender/UA-2025-11-11-014988-a" TargetMode="External" Id="rId66" /><Relationship Type="http://schemas.openxmlformats.org/officeDocument/2006/relationships/hyperlink" Target="https://prozorro.gov.ua/tender/UA-2025-11-11-016296-a" TargetMode="External" Id="rId67" /><Relationship Type="http://schemas.openxmlformats.org/officeDocument/2006/relationships/hyperlink" Target="https://prozorro.gov.ua/tender/UA-2025-11-11-016296-a" TargetMode="External" Id="rId68" /><Relationship Type="http://schemas.openxmlformats.org/officeDocument/2006/relationships/hyperlink" Target="https://prozorro.gov.ua/tender/UA-2025-11-11-016296-a" TargetMode="External" Id="rId69" /><Relationship Type="http://schemas.openxmlformats.org/officeDocument/2006/relationships/hyperlink" Target="https://prozorro.gov.ua/tender/UA-2025-09-30-005210-a" TargetMode="External" Id="rId70" /><Relationship Type="http://schemas.openxmlformats.org/officeDocument/2006/relationships/hyperlink" Target="https://prozorro.gov.ua/tender/UA-2025-09-30-005210-a" TargetMode="External" Id="rId71" /><Relationship Type="http://schemas.openxmlformats.org/officeDocument/2006/relationships/hyperlink" Target="https://prozorro.gov.ua/tender/UA-2026-02-06-003851-a" TargetMode="External" Id="rId72" /><Relationship Type="http://schemas.openxmlformats.org/officeDocument/2006/relationships/hyperlink" Target="https://prozorro.gov.ua/tender/UA-2026-02-06-003851-a" TargetMode="External" Id="rId73" /><Relationship Type="http://schemas.openxmlformats.org/officeDocument/2006/relationships/hyperlink" Target="https://prozorro.gov.ua/tender/UA-2025-11-13-015196-a" TargetMode="External" Id="rId74" /><Relationship Type="http://schemas.openxmlformats.org/officeDocument/2006/relationships/hyperlink" Target="https://prozorro.gov.ua/tender/UA-2025-09-26-012440-a" TargetMode="External" Id="rId75" /><Relationship Type="http://schemas.openxmlformats.org/officeDocument/2006/relationships/hyperlink" Target="https://prozorro.gov.ua/tender/UA-2026-08-11-011984-a" TargetMode="External" Id="rId76" /><Relationship Type="http://schemas.openxmlformats.org/officeDocument/2006/relationships/hyperlink" Target="https://prozorro.gov.ua/tender/UA-2025-09-16-008784-a" TargetMode="External" Id="rId77" /><Relationship Type="http://schemas.openxmlformats.org/officeDocument/2006/relationships/hyperlink" Target="https://prozorro.gov.ua/tender/UA-2025-09-02-009042-a" TargetMode="External" Id="rId78" /><Relationship Type="http://schemas.openxmlformats.org/officeDocument/2006/relationships/hyperlink" Target="https://prozorro.gov.ua/tender/UA-2025-09-05-006416-a" TargetMode="External" Id="rId79" /><Relationship Type="http://schemas.openxmlformats.org/officeDocument/2006/relationships/hyperlink" Target="https://prozorro.gov.ua/tender/UA-2025-09-26-012440-a" TargetMode="External" Id="rId80" /><Relationship Type="http://schemas.openxmlformats.org/officeDocument/2006/relationships/hyperlink" Target="https://prozorro.gov.ua/tender/UA-2025-10-24-012403-a" TargetMode="External" Id="rId81" /><Relationship Type="http://schemas.openxmlformats.org/officeDocument/2006/relationships/hyperlink" Target="https://prozorro.gov.ua/tender/UA-2025-10-24-012403-a" TargetMode="External" Id="rId82" /><Relationship Type="http://schemas.openxmlformats.org/officeDocument/2006/relationships/hyperlink" Target="https://prozorro.gov.ua/tender/UA-2025-10-01-005167-a" TargetMode="External" Id="rId83" /><Relationship Type="http://schemas.openxmlformats.org/officeDocument/2006/relationships/hyperlink" Target="https://prozorro.gov.ua/tender/UA-2025-11-17-012888-a" TargetMode="External" Id="rId84" /><Relationship Type="http://schemas.openxmlformats.org/officeDocument/2006/relationships/hyperlink" Target="https://prozorro.gov.ua/tender/UA-2026-06-19-011119-a" TargetMode="External" Id="rId85" /><Relationship Type="http://schemas.openxmlformats.org/officeDocument/2006/relationships/hyperlink" Target="https://prozorro.gov.ua/tender/UA-2026-04-09-009013-a" TargetMode="External" Id="rId86" /><Relationship Type="http://schemas.openxmlformats.org/officeDocument/2006/relationships/hyperlink" Target="https://prozorro.gov.ua/tender/UA-2025-11-07-009521-a" TargetMode="External" Id="rId87" /><Relationship Type="http://schemas.openxmlformats.org/officeDocument/2006/relationships/hyperlink" Target="https://prozorro.gov.ua/tender/UA-2025-11-07-009521-a" TargetMode="External" Id="rId88" /><Relationship Type="http://schemas.openxmlformats.org/officeDocument/2006/relationships/hyperlink" Target="https://prozorro.gov.ua/tender/UA-2025-11-07-009521-a" TargetMode="External" Id="rId89" /><Relationship Type="http://schemas.openxmlformats.org/officeDocument/2006/relationships/hyperlink" Target="https://prozorro.gov.ua/tender/UA-2025-10-14-015829-a" TargetMode="External" Id="rId90" /><Relationship Type="http://schemas.openxmlformats.org/officeDocument/2006/relationships/hyperlink" Target="https://prozorro.gov.ua/tender/UA-2025-11-26-017289-a" TargetMode="External" Id="rId91" /><Relationship Type="http://schemas.openxmlformats.org/officeDocument/2006/relationships/hyperlink" Target="https://prozorro.gov.ua/tender/UA-2025-10-01-005167-a" TargetMode="External" Id="rId92" /><Relationship Type="http://schemas.openxmlformats.org/officeDocument/2006/relationships/hyperlink" Target="https://prozorro.gov.ua/tender/UA-2026-04-17-005811-a" TargetMode="External" Id="rId93" /><Relationship Type="http://schemas.openxmlformats.org/officeDocument/2006/relationships/hyperlink" Target="https://prozorro.gov.ua/tender/UA-2026-04-07-005580-a" TargetMode="External" Id="rId94" /><Relationship Type="http://schemas.openxmlformats.org/officeDocument/2006/relationships/hyperlink" Target="https://prozorro.gov.ua/tender/UA-2026-03-16-004487-a" TargetMode="External" Id="rId95" /><Relationship Type="http://schemas.openxmlformats.org/officeDocument/2006/relationships/hyperlink" Target="https://prozorro.gov.ua/tender/UA-2026-04-17-005811-a" TargetMode="External" Id="rId96" /><Relationship Type="http://schemas.openxmlformats.org/officeDocument/2006/relationships/hyperlink" Target="https://prozorro.gov.ua/tender/UA-2026-04-17-005811-a" TargetMode="External" Id="rId97" /><Relationship Type="http://schemas.openxmlformats.org/officeDocument/2006/relationships/hyperlink" Target="https://prozorro.gov.ua/tender/UA-2026-08-18-002713-a" TargetMode="External" Id="rId98" /><Relationship Type="http://schemas.openxmlformats.org/officeDocument/2006/relationships/hyperlink" Target="https://prozorro.gov.ua/tender/UA-2026-04-17-005811-a" TargetMode="External" Id="rId99" /><Relationship Type="http://schemas.openxmlformats.org/officeDocument/2006/relationships/hyperlink" Target="https://prozorro.gov.ua/tender/UA-2025-10-27-014765-a" TargetMode="External" Id="rId100" /><Relationship Type="http://schemas.openxmlformats.org/officeDocument/2006/relationships/hyperlink" Target="https://prozorro.gov.ua/tender/UA-2025-09-23-001196-a" TargetMode="External" Id="rId101" /><Relationship Type="http://schemas.openxmlformats.org/officeDocument/2006/relationships/hyperlink" Target="https://prozorro.gov.ua/tender/UA-2026-04-17-005811-a" TargetMode="External" Id="rId102" /><Relationship Type="http://schemas.openxmlformats.org/officeDocument/2006/relationships/hyperlink" Target="https://prozorro.gov.ua/tender/UA-2026-08-04-009295-a" TargetMode="External" Id="rId103" /><Relationship Type="http://schemas.openxmlformats.org/officeDocument/2006/relationships/hyperlink" Target="https://prozorro.gov.ua/tender/UA-2025-09-23-001196-a" TargetMode="External" Id="rId104" /><Relationship Type="http://schemas.openxmlformats.org/officeDocument/2006/relationships/hyperlink" Target="https://prozorro.gov.ua/tender/UA-2025-11-26-016214-a" TargetMode="External" Id="rId105" /><Relationship Type="http://schemas.openxmlformats.org/officeDocument/2006/relationships/hyperlink" Target="https://prozorro.gov.ua/tender/UA-2026-04-17-005811-a" TargetMode="External" Id="rId106" /><Relationship Type="http://schemas.openxmlformats.org/officeDocument/2006/relationships/hyperlink" Target="https://prozorro.gov.ua/tender/UA-2025-10-13-007358-a" TargetMode="External" Id="rId107" /><Relationship Type="http://schemas.openxmlformats.org/officeDocument/2006/relationships/hyperlink" Target="https://prozorro.gov.ua/tender/UA-2025-10-02-010895-a" TargetMode="External" Id="rId108" /><Relationship Type="http://schemas.openxmlformats.org/officeDocument/2006/relationships/hyperlink" Target="https://prozorro.gov.ua/tender/UA-2025-10-02-010895-a" TargetMode="External" Id="rId109" /><Relationship Type="http://schemas.openxmlformats.org/officeDocument/2006/relationships/hyperlink" Target="https://prozorro.gov.ua/tender/UA-2025-11-05-009156-a" TargetMode="External" Id="rId110" /><Relationship Type="http://schemas.openxmlformats.org/officeDocument/2006/relationships/hyperlink" Target="https://prozorro.gov.ua/tender/UA-2025-10-27-014765-a" TargetMode="External" Id="rId111" /><Relationship Type="http://schemas.openxmlformats.org/officeDocument/2006/relationships/hyperlink" Target="https://prozorro.gov.ua/tender/UA-2026-03-16-002706-a" TargetMode="External" Id="rId112" /><Relationship Type="http://schemas.openxmlformats.org/officeDocument/2006/relationships/hyperlink" Target="https://prozorro.gov.ua/tender/UA-2026-03-16-002706-a" TargetMode="External" Id="rId113" /><Relationship Type="http://schemas.openxmlformats.org/officeDocument/2006/relationships/hyperlink" Target="https://prozorro.gov.ua/tender/UA-2025-11-12-015823-a" TargetMode="External" Id="rId114" /><Relationship Type="http://schemas.openxmlformats.org/officeDocument/2006/relationships/hyperlink" Target="https://prozorro.gov.ua/tender/UA-2025-10-24-010296-a" TargetMode="External" Id="rId115" /><Relationship Type="http://schemas.openxmlformats.org/officeDocument/2006/relationships/hyperlink" Target="https://prozorro.gov.ua/tender/UA-2026-04-29-004887-a" TargetMode="External" Id="rId116" /><Relationship Type="http://schemas.openxmlformats.org/officeDocument/2006/relationships/hyperlink" Target="https://prozorro.gov.ua/tender/UA-2026-03-16-002706-a" TargetMode="External" Id="rId117" /><Relationship Type="http://schemas.openxmlformats.org/officeDocument/2006/relationships/hyperlink" Target="https://prozorro.gov.ua/tender/UA-2026-08-19-010837-a" TargetMode="External" Id="rId118" /><Relationship Type="http://schemas.openxmlformats.org/officeDocument/2006/relationships/hyperlink" Target="https://prozorro.gov.ua/tender/UA-2026-08-19-010837-a" TargetMode="External" Id="rId119" /><Relationship Type="http://schemas.openxmlformats.org/officeDocument/2006/relationships/hyperlink" Target="https://prozorro.gov.ua/tender/UA-2026-01-27-008052-a" TargetMode="External" Id="rId120" /><Relationship Type="http://schemas.openxmlformats.org/officeDocument/2006/relationships/hyperlink" Target="https://prozorro.gov.ua/tender/UA-2026-01-27-008052-a" TargetMode="External" Id="rId121" /><Relationship Type="http://schemas.openxmlformats.org/officeDocument/2006/relationships/hyperlink" Target="https://prozorro.gov.ua/tender/UA-2026-01-27-008052-a" TargetMode="External" Id="rId122" /><Relationship Type="http://schemas.openxmlformats.org/officeDocument/2006/relationships/hyperlink" Target="https://prozorro.gov.ua/tender/UA-2026-03-17-006352-a" TargetMode="External" Id="rId123" /><Relationship Type="http://schemas.openxmlformats.org/officeDocument/2006/relationships/hyperlink" Target="https://prozorro.gov.ua/tender/UA-2025-10-24-010296-a" TargetMode="External" Id="rId124" /><Relationship Type="http://schemas.openxmlformats.org/officeDocument/2006/relationships/hyperlink" Target="https://prozorro.gov.ua/tender/UA-2026-01-27-008052-a" TargetMode="External" Id="rId125" /><Relationship Type="http://schemas.openxmlformats.org/officeDocument/2006/relationships/hyperlink" Target="https://prozorro.gov.ua/tender/UA-2026-04-06-002585-a" TargetMode="External" Id="rId126" /><Relationship Type="http://schemas.openxmlformats.org/officeDocument/2006/relationships/hyperlink" Target="https://prozorro.gov.ua/tender/UA-2026-04-06-002585-a" TargetMode="External" Id="rId127" /><Relationship Type="http://schemas.openxmlformats.org/officeDocument/2006/relationships/hyperlink" Target="https://prozorro.gov.ua/tender/UA-2025-10-24-010296-a" TargetMode="External" Id="rId128" /><Relationship Type="http://schemas.openxmlformats.org/officeDocument/2006/relationships/hyperlink" Target="https://prozorro.gov.ua/tender/UA-2025-12-16-022042-a" TargetMode="External" Id="rId129" /><Relationship Type="http://schemas.openxmlformats.org/officeDocument/2006/relationships/hyperlink" Target="https://prozorro.gov.ua/tender/UA-2026-03-16-002706-a" TargetMode="External" Id="rId130" /><Relationship Type="http://schemas.openxmlformats.org/officeDocument/2006/relationships/hyperlink" Target="https://prozorro.gov.ua/tender/UA-2025-10-24-010296-a" TargetMode="External" Id="rId131" /><Relationship Type="http://schemas.openxmlformats.org/officeDocument/2006/relationships/hyperlink" Target="https://prozorro.gov.ua/tender/UA-2025-10-02-010895-a" TargetMode="External" Id="rId132" /><Relationship Type="http://schemas.openxmlformats.org/officeDocument/2006/relationships/hyperlink" Target="https://prozorro.gov.ua/tender/UA-2025-09-25-014419-a" TargetMode="External" Id="rId133" /><Relationship Type="http://schemas.openxmlformats.org/officeDocument/2006/relationships/hyperlink" Target="https://prozorro.gov.ua/tender/UA-2025-10-24-010296-a" TargetMode="External" Id="rId134" /><Relationship Type="http://schemas.openxmlformats.org/officeDocument/2006/relationships/hyperlink" Target="https://prozorro.gov.ua/tender/UA-2026-08-19-010837-a" TargetMode="External" Id="rId135" /><Relationship Type="http://schemas.openxmlformats.org/officeDocument/2006/relationships/hyperlink" Target="https://prozorro.gov.ua/tender/UA-2026-08-19-010837-a" TargetMode="External" Id="rId136" /><Relationship Type="http://schemas.openxmlformats.org/officeDocument/2006/relationships/hyperlink" Target="https://prozorro.gov.ua/tender/UA-2026-04-29-011229-a" TargetMode="External" Id="rId137" /><Relationship Type="http://schemas.openxmlformats.org/officeDocument/2006/relationships/hyperlink" Target="https://prozorro.gov.ua/tender/UA-2025-11-21-016116-a" TargetMode="External" Id="rId138" /><Relationship Type="http://schemas.openxmlformats.org/officeDocument/2006/relationships/hyperlink" Target="https://prozorro.gov.ua/tender/UA-2026-05-18-012093-a" TargetMode="External" Id="rId139" /><Relationship Type="http://schemas.openxmlformats.org/officeDocument/2006/relationships/hyperlink" Target="https://prozorro.gov.ua/tender/UA-2025-09-16-014691-a" TargetMode="External" Id="rId140" /><Relationship Type="http://schemas.openxmlformats.org/officeDocument/2006/relationships/hyperlink" Target="https://prozorro.gov.ua/tender/UA-2025-11-21-016116-a" TargetMode="External" Id="rId141" /><Relationship Type="http://schemas.openxmlformats.org/officeDocument/2006/relationships/hyperlink" Target="https://prozorro.gov.ua/tender/UA-2025-11-26-016793-a" TargetMode="External" Id="rId142" /><Relationship Type="http://schemas.openxmlformats.org/officeDocument/2006/relationships/hyperlink" Target="https://prozorro.gov.ua/tender/UA-2025-09-16-014691-a" TargetMode="External" Id="rId143" /><Relationship Type="http://schemas.openxmlformats.org/officeDocument/2006/relationships/hyperlink" Target="https://prozorro.gov.ua/tender/UA-2026-06-11-011181-a" TargetMode="External" Id="rId144" /><Relationship Type="http://schemas.openxmlformats.org/officeDocument/2006/relationships/hyperlink" Target="https://prozorro.gov.ua/tender/UA-2025-09-16-014691-a" TargetMode="External" Id="rId145" /><Relationship Type="http://schemas.openxmlformats.org/officeDocument/2006/relationships/hyperlink" Target="https://prozorro.gov.ua/tender/UA-2025-10-10-009139-a" TargetMode="External" Id="rId146" /><Relationship Type="http://schemas.openxmlformats.org/officeDocument/2006/relationships/hyperlink" Target="https://prozorro.gov.ua/tender/UA-2025-10-02-010895-a" TargetMode="External" Id="rId147" /><Relationship Type="http://schemas.openxmlformats.org/officeDocument/2006/relationships/hyperlink" Target="https://prozorro.gov.ua/tender/UA-2025-10-27-011448-a" TargetMode="External" Id="rId148" /><Relationship Type="http://schemas.openxmlformats.org/officeDocument/2006/relationships/hyperlink" Target="https://prozorro.gov.ua/tender/UA-2026-01-06-005477-a" TargetMode="External" Id="rId149" /><Relationship Type="http://schemas.openxmlformats.org/officeDocument/2006/relationships/hyperlink" Target="https://prozorro.gov.ua/tender/UA-2026-05-18-012093-a" TargetMode="External" Id="rId150" /><Relationship Type="http://schemas.openxmlformats.org/officeDocument/2006/relationships/hyperlink" Target="https://prozorro.gov.ua/tender/UA-2025-11-14-014735-a" TargetMode="External" Id="rId151" /><Relationship Type="http://schemas.openxmlformats.org/officeDocument/2006/relationships/hyperlink" Target="https://prozorro.gov.ua/tender/UA-2026-05-18-012093-a" TargetMode="External" Id="rId152" /><Relationship Type="http://schemas.openxmlformats.org/officeDocument/2006/relationships/hyperlink" Target="https://prozorro.gov.ua/tender/UA-2025-10-24-002130-a" TargetMode="External" Id="rId153" /><Relationship Type="http://schemas.openxmlformats.org/officeDocument/2006/relationships/hyperlink" Target="https://prozorro.gov.ua/tender/UA-2026-02-09-016135-a" TargetMode="External" Id="rId154" /><Relationship Type="http://schemas.openxmlformats.org/officeDocument/2006/relationships/hyperlink" Target="https://prozorro.gov.ua/tender/UA-2025-10-21-017581-a" TargetMode="External" Id="rId155" /><Relationship Type="http://schemas.openxmlformats.org/officeDocument/2006/relationships/hyperlink" Target="https://prozorro.gov.ua/tender/UA-2026-06-12-000135-a" TargetMode="External" Id="rId156" /><Relationship Type="http://schemas.openxmlformats.org/officeDocument/2006/relationships/hyperlink" Target="https://prozorro.gov.ua/tender/UA-2026-02-09-016135-a" TargetMode="External" Id="rId157" /><Relationship Type="http://schemas.openxmlformats.org/officeDocument/2006/relationships/hyperlink" Target="https://prozorro.gov.ua/tender/UA-2025-11-06-016679-a" TargetMode="External" Id="rId158" /><Relationship Type="http://schemas.openxmlformats.org/officeDocument/2006/relationships/hyperlink" Target="https://prozorro.gov.ua/tender/UA-2026-05-27-012781-a" TargetMode="External" Id="rId159" /><Relationship Type="http://schemas.openxmlformats.org/officeDocument/2006/relationships/hyperlink" Target="https://prozorro.gov.ua/tender/UA-2025-11-06-016679-a" TargetMode="External" Id="rId160" /><Relationship Type="http://schemas.openxmlformats.org/officeDocument/2006/relationships/hyperlink" Target="https://prozorro.gov.ua/tender/UA-2025-11-17-003689-a" TargetMode="External" Id="rId161" /><Relationship Type="http://schemas.openxmlformats.org/officeDocument/2006/relationships/hyperlink" Target="https://prozorro.gov.ua/tender/UA-2025-10-15-014540-a" TargetMode="External" Id="rId162" /><Relationship Type="http://schemas.openxmlformats.org/officeDocument/2006/relationships/hyperlink" Target="https://prozorro.gov.ua/tender/UA-2025-10-07-014418-a" TargetMode="External" Id="rId163" /><Relationship Type="http://schemas.openxmlformats.org/officeDocument/2006/relationships/hyperlink" Target="https://prozorro.gov.ua/tender/UA-2026-06-04-010998-a" TargetMode="External" Id="rId164" /><Relationship Type="http://schemas.openxmlformats.org/officeDocument/2006/relationships/hyperlink" Target="https://prozorro.gov.ua/tender/UA-2026-06-24-009852-a" TargetMode="External" Id="rId165" /><Relationship Type="http://schemas.openxmlformats.org/officeDocument/2006/relationships/hyperlink" Target="https://prozorro.gov.ua/tender/UA-2026-06-04-010998-a" TargetMode="External" Id="rId166" /><Relationship Type="http://schemas.openxmlformats.org/officeDocument/2006/relationships/hyperlink" Target="https://prozorro.gov.ua/tender/UA-2025-10-17-008340-a" TargetMode="External" Id="rId167" /><Relationship Type="http://schemas.openxmlformats.org/officeDocument/2006/relationships/hyperlink" Target="https://prozorro.gov.ua/tender/UA-2026-08-19-008008-a" TargetMode="External" Id="rId168" /><Relationship Type="http://schemas.openxmlformats.org/officeDocument/2006/relationships/hyperlink" Target="https://prozorro.gov.ua/tender/UA-2025-11-03-001599-a" TargetMode="External" Id="rId169" /><Relationship Type="http://schemas.openxmlformats.org/officeDocument/2006/relationships/hyperlink" Target="https://prozorro.gov.ua/tender/UA-2025-12-11-002565-a" TargetMode="External" Id="rId170" /><Relationship Type="http://schemas.openxmlformats.org/officeDocument/2006/relationships/hyperlink" Target="https://prozorro.gov.ua/tender/UA-2025-12-11-002565-a" TargetMode="External" Id="rId171" /><Relationship Type="http://schemas.openxmlformats.org/officeDocument/2006/relationships/hyperlink" Target="https://prozorro.gov.ua/tender/UA-2026-06-24-002709-a" TargetMode="External" Id="rId172" /><Relationship Type="http://schemas.openxmlformats.org/officeDocument/2006/relationships/hyperlink" Target="https://prozorro.gov.ua/tender/UA-2026-06-24-009852-a" TargetMode="External" Id="rId173" /><Relationship Type="http://schemas.openxmlformats.org/officeDocument/2006/relationships/hyperlink" Target="https://prozorro.gov.ua/tender/UA-2026-06-09-010646-a" TargetMode="External" Id="rId174" /><Relationship Type="http://schemas.openxmlformats.org/officeDocument/2006/relationships/hyperlink" Target="https://prozorro.gov.ua/tender/UA-2025-11-21-012893-a" TargetMode="External" Id="rId175" /><Relationship Type="http://schemas.openxmlformats.org/officeDocument/2006/relationships/hyperlink" Target="https://prozorro.gov.ua/tender/UA-2025-10-17-007212-a" TargetMode="External" Id="rId176" /><Relationship Type="http://schemas.openxmlformats.org/officeDocument/2006/relationships/hyperlink" Target="https://prozorro.gov.ua/tender/UA-2025-12-02-019796-a" TargetMode="External" Id="rId177" /><Relationship Type="http://schemas.openxmlformats.org/officeDocument/2006/relationships/hyperlink" Target="https://prozorro.gov.ua/tender/UA-2026-02-11-004991-a" TargetMode="External" Id="rId178" /><Relationship Type="http://schemas.openxmlformats.org/officeDocument/2006/relationships/hyperlink" Target="https://prozorro.gov.ua/tender/UA-2026-03-04-010049-a" TargetMode="External" Id="rId179" /><Relationship Type="http://schemas.openxmlformats.org/officeDocument/2006/relationships/hyperlink" Target="https://prozorro.gov.ua/tender/UA-2026-03-04-010049-a" TargetMode="External" Id="rId180" /><Relationship Type="http://schemas.openxmlformats.org/officeDocument/2006/relationships/hyperlink" Target="https://prozorro.gov.ua/tender/UA-2025-12-02-019796-a" TargetMode="External" Id="rId181" /><Relationship Type="http://schemas.openxmlformats.org/officeDocument/2006/relationships/hyperlink" Target="https://prozorro.gov.ua/tender/UA-2026-03-13-013024-a" TargetMode="External" Id="rId182" /><Relationship Type="http://schemas.openxmlformats.org/officeDocument/2006/relationships/hyperlink" Target="https://prozorro.gov.ua/tender/UA-2026-04-28-010499-a" TargetMode="External" Id="rId183" /><Relationship Type="http://schemas.openxmlformats.org/officeDocument/2006/relationships/hyperlink" Target="https://prozorro.gov.ua/tender/UA-2026-05-18-012091-a" TargetMode="External" Id="rId184" /><Relationship Type="http://schemas.openxmlformats.org/officeDocument/2006/relationships/hyperlink" Target="https://prozorro.gov.ua/tender/UA-2025-11-21-015712-a" TargetMode="External" Id="rId185" /><Relationship Type="http://schemas.openxmlformats.org/officeDocument/2006/relationships/hyperlink" Target="https://prozorro.gov.ua/tender/UA-2026-04-06-009248-a" TargetMode="External" Id="rId186" /><Relationship Type="http://schemas.openxmlformats.org/officeDocument/2006/relationships/hyperlink" Target="https://prozorro.gov.ua/tender/UA-2025-11-21-015712-a" TargetMode="External" Id="rId187" /><Relationship Type="http://schemas.openxmlformats.org/officeDocument/2006/relationships/hyperlink" Target="https://prozorro.gov.ua/tender/UA-2026-06-09-010646-a" TargetMode="External" Id="rId188" /><Relationship Type="http://schemas.openxmlformats.org/officeDocument/2006/relationships/hyperlink" Target="https://prozorro.gov.ua/tender/UA-2026-01-27-018088-a" TargetMode="External" Id="rId189" /><Relationship Type="http://schemas.openxmlformats.org/officeDocument/2006/relationships/hyperlink" Target="https://prozorro.gov.ua/tender/UA-2026-01-27-018088-a" TargetMode="External" Id="rId190" /><Relationship Type="http://schemas.openxmlformats.org/officeDocument/2006/relationships/hyperlink" Target="https://prozorro.gov.ua/tender/UA-2025-10-10-006331-a" TargetMode="External" Id="rId191" /><Relationship Type="http://schemas.openxmlformats.org/officeDocument/2006/relationships/hyperlink" Target="https://prozorro.gov.ua/tender/UA-2025-10-10-006331-a" TargetMode="External" Id="rId192" /><Relationship Type="http://schemas.openxmlformats.org/officeDocument/2006/relationships/hyperlink" Target="https://prozorro.gov.ua/tender/UA-2026-04-06-009248-a" TargetMode="External" Id="rId193" /><Relationship Type="http://schemas.openxmlformats.org/officeDocument/2006/relationships/hyperlink" Target="https://prozorro.gov.ua/tender/UA-2026-05-27-000085-a" TargetMode="External" Id="rId194" /><Relationship Type="http://schemas.openxmlformats.org/officeDocument/2006/relationships/hyperlink" Target="https://prozorro.gov.ua/tender/UA-2026-06-16-008359-a" TargetMode="External" Id="rId195" /><Relationship Type="http://schemas.openxmlformats.org/officeDocument/2006/relationships/hyperlink" Target="https://prozorro.gov.ua/tender/UA-2025-10-10-006331-a" TargetMode="External" Id="rId196" /><Relationship Type="http://schemas.openxmlformats.org/officeDocument/2006/relationships/hyperlink" Target="https://prozorro.gov.ua/tender/UA-2025-11-21-015712-a" TargetMode="External" Id="rId197" /><Relationship Type="http://schemas.openxmlformats.org/officeDocument/2006/relationships/hyperlink" Target="https://prozorro.gov.ua/tender/UA-2025-10-21-017609-a" TargetMode="External" Id="rId198" /><Relationship Type="http://schemas.openxmlformats.org/officeDocument/2006/relationships/hyperlink" Target="https://prozorro.gov.ua/tender/UA-2026-08-14-011647-a" TargetMode="External" Id="rId199" /><Relationship Type="http://schemas.openxmlformats.org/officeDocument/2006/relationships/hyperlink" Target="https://prozorro.gov.ua/tender/UA-2025-09-09-008091-a" TargetMode="External" Id="rId200" /><Relationship Type="http://schemas.openxmlformats.org/officeDocument/2006/relationships/hyperlink" Target="https://prozorro.gov.ua/tender/UA-2025-10-27-015405-a" TargetMode="External" Id="rId201" /><Relationship Type="http://schemas.openxmlformats.org/officeDocument/2006/relationships/hyperlink" Target="https://prozorro.gov.ua/tender/UA-2025-10-27-015405-a" TargetMode="External" Id="rId202" /><Relationship Type="http://schemas.openxmlformats.org/officeDocument/2006/relationships/hyperlink" Target="https://prozorro.gov.ua/tender/UA-2025-10-21-017609-a" TargetMode="External" Id="rId203" /><Relationship Type="http://schemas.openxmlformats.org/officeDocument/2006/relationships/hyperlink" Target="https://prozorro.gov.ua/tender/UA-2026-02-11-004991-a" TargetMode="External" Id="rId204" /><Relationship Type="http://schemas.openxmlformats.org/officeDocument/2006/relationships/hyperlink" Target="https://prozorro.gov.ua/tender/UA-2025-10-22-010276-a" TargetMode="External" Id="rId205" /><Relationship Type="http://schemas.openxmlformats.org/officeDocument/2006/relationships/hyperlink" Target="https://prozorro.gov.ua/tender/UA-2025-10-09-011796-a" TargetMode="External" Id="rId206" /><Relationship Type="http://schemas.openxmlformats.org/officeDocument/2006/relationships/hyperlink" Target="https://prozorro.gov.ua/tender/UA-2025-10-09-011796-a" TargetMode="External" Id="rId207" /><Relationship Type="http://schemas.openxmlformats.org/officeDocument/2006/relationships/hyperlink" Target="https://prozorro.gov.ua/tender/UA-2025-10-22-010976-a" TargetMode="External" Id="rId208" /><Relationship Type="http://schemas.openxmlformats.org/officeDocument/2006/relationships/hyperlink" Target="https://prozorro.gov.ua/tender/UA-2026-07-21-003188-a" TargetMode="External" Id="rId209" /><Relationship Type="http://schemas.openxmlformats.org/officeDocument/2006/relationships/hyperlink" Target="https://prozorro.gov.ua/tender/UA-2026-08-18-013057-a" TargetMode="External" Id="rId210" /><Relationship Type="http://schemas.openxmlformats.org/officeDocument/2006/relationships/hyperlink" Target="https://prozorro.gov.ua/tender/UA-2026-08-06-005940-a" TargetMode="External" Id="rId211" /><Relationship Type="http://schemas.openxmlformats.org/officeDocument/2006/relationships/hyperlink" Target="https://prozorro.gov.ua/tender/UA-2026-08-03-002538-a" TargetMode="External" Id="rId212" /><Relationship Type="http://schemas.openxmlformats.org/officeDocument/2006/relationships/hyperlink" Target="https://prozorro.gov.ua/tender/UA-2026-07-30-006105-a" TargetMode="External" Id="rId213" /><Relationship Type="http://schemas.openxmlformats.org/officeDocument/2006/relationships/hyperlink" Target="https://prozorro.gov.ua/tender/UA-2026-06-30-001916-a" TargetMode="External" Id="rId214" /><Relationship Type="http://schemas.openxmlformats.org/officeDocument/2006/relationships/hyperlink" Target="https://prozorro.gov.ua/tender/UA-2026-06-19-009380-a" TargetMode="External" Id="rId215" /><Relationship Type="http://schemas.openxmlformats.org/officeDocument/2006/relationships/hyperlink" Target="https://prozorro.gov.ua/tender/UA-2026-05-27-000085-a" TargetMode="External" Id="rId216" /><Relationship Type="http://schemas.openxmlformats.org/officeDocument/2006/relationships/hyperlink" Target="https://prozorro.gov.ua/tender/UA-2026-05-15-002411-a" TargetMode="External" Id="rId217" /><Relationship Type="http://schemas.openxmlformats.org/officeDocument/2006/relationships/hyperlink" Target="https://prozorro.gov.ua/tender/UA-2026-04-30-009739-a" TargetMode="External" Id="rId218" /><Relationship Type="http://schemas.openxmlformats.org/officeDocument/2006/relationships/hyperlink" Target="https://prozorro.gov.ua/tender/UA-2026-04-28-011396-a" TargetMode="External" Id="rId219" /><Relationship Type="http://schemas.openxmlformats.org/officeDocument/2006/relationships/hyperlink" Target="https://prozorro.gov.ua/tender/UA-2026-04-25-000062-a" TargetMode="External" Id="rId220" /><Relationship Type="http://schemas.openxmlformats.org/officeDocument/2006/relationships/hyperlink" Target="https://prozorro.gov.ua/tender/UA-2026-04-21-002861-a" TargetMode="External" Id="rId221" /><Relationship Type="http://schemas.openxmlformats.org/officeDocument/2006/relationships/hyperlink" Target="https://prozorro.gov.ua/tender/UA-2026-04-02-002676-a" TargetMode="External" Id="rId222" /><Relationship Type="http://schemas.openxmlformats.org/officeDocument/2006/relationships/hyperlink" Target="https://prozorro.gov.ua/tender/UA-2026-03-27-002552-a" TargetMode="External" Id="rId223" /><Relationship Type="http://schemas.openxmlformats.org/officeDocument/2006/relationships/hyperlink" Target="https://prozorro.gov.ua/tender/UA-2025-12-11-002243-a" TargetMode="External" Id="rId224" /><Relationship Type="http://schemas.openxmlformats.org/officeDocument/2006/relationships/hyperlink" Target="https://prozorro.gov.ua/tender/UA-2025-12-04-007447-a" TargetMode="External" Id="rId225" /><Relationship Type="http://schemas.openxmlformats.org/officeDocument/2006/relationships/hyperlink" Target="https://prozorro.gov.ua/tender/UA-2025-11-27-013291-a" TargetMode="External" Id="rId226" /><Relationship Type="http://schemas.openxmlformats.org/officeDocument/2006/relationships/hyperlink" Target="https://prozorro.gov.ua/tender/UA-2025-11-21-012893-a" TargetMode="External" Id="rId227" /><Relationship Type="http://schemas.openxmlformats.org/officeDocument/2006/relationships/hyperlink" Target="https://prozorro.gov.ua/tender/UA-2025-11-19-016090-a" TargetMode="External" Id="rId228" /><Relationship Type="http://schemas.openxmlformats.org/officeDocument/2006/relationships/hyperlink" Target="https://prozorro.gov.ua/tender/UA-2025-11-17-017661-a" TargetMode="External" Id="rId229" /><Relationship Type="http://schemas.openxmlformats.org/officeDocument/2006/relationships/hyperlink" Target="https://prozorro.gov.ua/tender/UA-2025-10-29-002461-a" TargetMode="External" Id="rId230" /><Relationship Type="http://schemas.openxmlformats.org/officeDocument/2006/relationships/hyperlink" Target="https://prozorro.gov.ua/tender/UA-2025-10-27-014765-a" TargetMode="External" Id="rId231" /><Relationship Type="http://schemas.openxmlformats.org/officeDocument/2006/relationships/hyperlink" Target="https://prozorro.gov.ua/tender/UA-2025-10-23-005027-a" TargetMode="External" Id="rId232" /><Relationship Type="http://schemas.openxmlformats.org/officeDocument/2006/relationships/hyperlink" Target="https://prozorro.gov.ua/tender/UA-2025-10-23-005027-a" TargetMode="External" Id="rId233" /><Relationship Type="http://schemas.openxmlformats.org/officeDocument/2006/relationships/hyperlink" Target="https://prozorro.gov.ua/tender/UA-2025-10-22-010276-a" TargetMode="External" Id="rId234" /><Relationship Type="http://schemas.openxmlformats.org/officeDocument/2006/relationships/hyperlink" Target="https://prozorro.gov.ua/tender/UA-2025-10-17-006787-a" TargetMode="External" Id="rId235" /><Relationship Type="http://schemas.openxmlformats.org/officeDocument/2006/relationships/hyperlink" Target="https://prozorro.gov.ua/tender/UA-2025-10-16-004447-a" TargetMode="External" Id="rId236" /><Relationship Type="http://schemas.openxmlformats.org/officeDocument/2006/relationships/hyperlink" Target="https://prozorro.gov.ua/tender/UA-2025-10-03-003224-a" TargetMode="External" Id="rId237" /><Relationship Type="http://schemas.openxmlformats.org/officeDocument/2006/relationships/hyperlink" Target="https://prozorro.gov.ua/tender/UA-2025-09-30-007363-a" TargetMode="External" Id="rId238" /><Relationship Type="http://schemas.openxmlformats.org/officeDocument/2006/relationships/hyperlink" Target="https://prozorro.gov.ua/tender/UA-2025-09-24-004344-a" TargetMode="External" Id="rId239" /><Relationship Type="http://schemas.openxmlformats.org/officeDocument/2006/relationships/hyperlink" Target="https://prozorro.gov.ua/tender/UA-2025-09-15-006830-a" TargetMode="External" Id="rId240" /><Relationship Type="http://schemas.openxmlformats.org/officeDocument/2006/relationships/hyperlink" Target="https://prozorro.gov.ua/tender/UA-2025-09-15-002159-a" TargetMode="External" Id="rId241" /><Relationship Type="http://schemas.openxmlformats.org/officeDocument/2006/relationships/hyperlink" Target="https://prozorro.gov.ua/tender/UA-2025-09-10-011386-a" TargetMode="External" Id="rId242" /><Relationship Type="http://schemas.openxmlformats.org/officeDocument/2006/relationships/hyperlink" Target="https://prozorro.gov.ua/tender/UA-2025-09-03-000817-a" TargetMode="External" Id="rId243" /><Relationship Type="http://schemas.openxmlformats.org/officeDocument/2006/relationships/drawing" Target="/xl/drawings/drawing6.xml" Id="rId244" /><Relationship Type="http://schemas.openxmlformats.org/officeDocument/2006/relationships/table" Target="/xl/tables/table18.xml" Id="rId245" /><Relationship Type="http://schemas.openxmlformats.org/officeDocument/2006/relationships/table" Target="/xl/tables/table19.xml" Id="rId246" /><Relationship Type="http://schemas.openxmlformats.org/officeDocument/2006/relationships/table" Target="/xl/tables/table20.xml" Id="rId247" /><Relationship Type="http://schemas.openxmlformats.org/officeDocument/2006/relationships/table" Target="/xl/tables/table21.xml" Id="rId248" /><Relationship Type="http://schemas.openxmlformats.org/officeDocument/2006/relationships/table" Target="/xl/tables/table22.xml" Id="rId249" /><Relationship Type="http://schemas.openxmlformats.org/officeDocument/2006/relationships/table" Target="/xl/tables/table23.xml" Id="rId250" /></Relationships>
</file>

<file path=xl/worksheets/_rels/sheet8.xml.rels><Relationships xmlns="http://schemas.openxmlformats.org/package/2006/relationships"><Relationship Type="http://schemas.openxmlformats.org/officeDocument/2006/relationships/hyperlink" Target="https://prozorro.gov.ua/tender/UA-2025-10-10-001046-a" TargetMode="External" Id="rId1" /><Relationship Type="http://schemas.openxmlformats.org/officeDocument/2006/relationships/hyperlink" Target="https://prozorro.gov.ua/tender/UA-2026-09-01-010308-a" TargetMode="External" Id="rId2" /><Relationship Type="http://schemas.openxmlformats.org/officeDocument/2006/relationships/hyperlink" Target="https://prozorro.gov.ua/tender/UA-2026-06-04-012194-a" TargetMode="External" Id="rId3" /><Relationship Type="http://schemas.openxmlformats.org/officeDocument/2006/relationships/hyperlink" Target="https://prozorro.gov.ua/tender/UA-2025-11-06-001423-a" TargetMode="External" Id="rId4" /><Relationship Type="http://schemas.openxmlformats.org/officeDocument/2006/relationships/hyperlink" Target="https://prozorro.gov.ua/tender/UA-2025-11-11-008865-a" TargetMode="External" Id="rId5" /><Relationship Type="http://schemas.openxmlformats.org/officeDocument/2006/relationships/hyperlink" Target="https://prozorro.gov.ua/tender/UA-2025-10-17-013810-a" TargetMode="External" Id="rId6" /><Relationship Type="http://schemas.openxmlformats.org/officeDocument/2006/relationships/hyperlink" Target="https://prozorro.gov.ua/tender/UA-2026-08-18-013057-a" TargetMode="External" Id="rId7" /><Relationship Type="http://schemas.openxmlformats.org/officeDocument/2006/relationships/hyperlink" Target="https://prozorro.gov.ua/tender/UA-2025-12-19-013313-a" TargetMode="External" Id="rId8" /><Relationship Type="http://schemas.openxmlformats.org/officeDocument/2006/relationships/hyperlink" Target="https://prozorro.gov.ua/tender/UA-2025-12-03-006883-a" TargetMode="External" Id="rId9" /><Relationship Type="http://schemas.openxmlformats.org/officeDocument/2006/relationships/hyperlink" Target="https://prozorro.gov.ua/tender/UA-2025-11-17-013210-a" TargetMode="External" Id="rId10" /><Relationship Type="http://schemas.openxmlformats.org/officeDocument/2006/relationships/hyperlink" Target="https://prozorro.gov.ua/tender/UA-2026-07-21-008617-a" TargetMode="External" Id="rId11" /><Relationship Type="http://schemas.openxmlformats.org/officeDocument/2006/relationships/hyperlink" Target="https://prozorro.gov.ua/tender/UA-2026-03-26-014052-a" TargetMode="External" Id="rId12" /><Relationship Type="http://schemas.openxmlformats.org/officeDocument/2006/relationships/hyperlink" Target="https://prozorro.gov.ua/tender/UA-2025-09-17-011388-a" TargetMode="External" Id="rId13" /><Relationship Type="http://schemas.openxmlformats.org/officeDocument/2006/relationships/hyperlink" Target="https://prozorro.gov.ua/tender/UA-2025-09-18-011701-a" TargetMode="External" Id="rId14" /><Relationship Type="http://schemas.openxmlformats.org/officeDocument/2006/relationships/hyperlink" Target="https://prozorro.gov.ua/tender/UA-2026-03-27-010006-a" TargetMode="External" Id="rId15" /><Relationship Type="http://schemas.openxmlformats.org/officeDocument/2006/relationships/hyperlink" Target="https://prozorro.gov.ua/tender/UA-2025-10-27-009578-a" TargetMode="External" Id="rId16" /><Relationship Type="http://schemas.openxmlformats.org/officeDocument/2006/relationships/hyperlink" Target="https://prozorro.gov.ua/tender/UA-2026-06-03-009856-a" TargetMode="External" Id="rId17" /><Relationship Type="http://schemas.openxmlformats.org/officeDocument/2006/relationships/hyperlink" Target="https://prozorro.gov.ua/tender/UA-2026-04-10-009243-a" TargetMode="External" Id="rId18" /><Relationship Type="http://schemas.openxmlformats.org/officeDocument/2006/relationships/hyperlink" Target="https://prozorro.gov.ua/tender/UA-2025-12-05-015557-a" TargetMode="External" Id="rId19" /><Relationship Type="http://schemas.openxmlformats.org/officeDocument/2006/relationships/hyperlink" Target="https://prozorro.gov.ua/tender/UA-2025-10-10-004657-a" TargetMode="External" Id="rId20" /><Relationship Type="http://schemas.openxmlformats.org/officeDocument/2006/relationships/hyperlink" Target="https://prozorro.gov.ua/tender/UA-2025-11-11-007236-a" TargetMode="External" Id="rId21" /><Relationship Type="http://schemas.openxmlformats.org/officeDocument/2006/relationships/hyperlink" Target="https://prozorro.gov.ua/tender/UA-2026-08-21-012764-a" TargetMode="External" Id="rId22" /><Relationship Type="http://schemas.openxmlformats.org/officeDocument/2006/relationships/hyperlink" Target="https://prozorro.gov.ua/tender/UA-2026-08-07-011538-a" TargetMode="External" Id="rId23" /><Relationship Type="http://schemas.openxmlformats.org/officeDocument/2006/relationships/hyperlink" Target="https://prozorro.gov.ua/tender/UA-2026-07-30-006105-a" TargetMode="External" Id="rId24" /><Relationship Type="http://schemas.openxmlformats.org/officeDocument/2006/relationships/hyperlink" Target="https://prozorro.gov.ua/tender/UA-2026-03-12-005037-a" TargetMode="External" Id="rId25" /><Relationship Type="http://schemas.openxmlformats.org/officeDocument/2006/relationships/hyperlink" Target="https://prozorro.gov.ua/tender/UA-2026-04-15-002998-a" TargetMode="External" Id="rId26" /><Relationship Type="http://schemas.openxmlformats.org/officeDocument/2006/relationships/hyperlink" Target="https://prozorro.gov.ua/tender/UA-2026-03-18-007782-a" TargetMode="External" Id="rId27" /><Relationship Type="http://schemas.openxmlformats.org/officeDocument/2006/relationships/hyperlink" Target="https://prozorro.gov.ua/tender/UA-2025-10-31-010467-a" TargetMode="External" Id="rId28" /><Relationship Type="http://schemas.openxmlformats.org/officeDocument/2006/relationships/hyperlink" Target="https://prozorro.gov.ua/tender/UA-2026-05-11-003530-a" TargetMode="External" Id="rId29" /><Relationship Type="http://schemas.openxmlformats.org/officeDocument/2006/relationships/hyperlink" Target="https://prozorro.gov.ua/tender/UA-2026-05-08-003259-a" TargetMode="External" Id="rId30" /><Relationship Type="http://schemas.openxmlformats.org/officeDocument/2006/relationships/hyperlink" Target="https://prozorro.gov.ua/tender/UA-2025-11-12-006000-a" TargetMode="External" Id="rId31" /><Relationship Type="http://schemas.openxmlformats.org/officeDocument/2006/relationships/hyperlink" Target="https://prozorro.gov.ua/tender/UA-2026-07-13-003096-a" TargetMode="External" Id="rId32" /><Relationship Type="http://schemas.openxmlformats.org/officeDocument/2006/relationships/hyperlink" Target="https://prozorro.gov.ua/tender/UA-2026-08-21-007523-a" TargetMode="External" Id="rId33" /><Relationship Type="http://schemas.openxmlformats.org/officeDocument/2006/relationships/hyperlink" Target="https://prozorro.gov.ua/tender/UA-2025-10-17-014263-a" TargetMode="External" Id="rId34" /><Relationship Type="http://schemas.openxmlformats.org/officeDocument/2006/relationships/hyperlink" Target="https://prozorro.gov.ua/tender/UA-2026-07-10-003102-a" TargetMode="External" Id="rId35" /><Relationship Type="http://schemas.openxmlformats.org/officeDocument/2006/relationships/hyperlink" Target="https://prozorro.gov.ua/tender/UA-2025-10-17-013580-a" TargetMode="External" Id="rId36" /><Relationship Type="http://schemas.openxmlformats.org/officeDocument/2006/relationships/hyperlink" Target="https://prozorro.gov.ua/tender/UA-2026-08-26-004588-a" TargetMode="External" Id="rId37" /><Relationship Type="http://schemas.openxmlformats.org/officeDocument/2006/relationships/hyperlink" Target="https://prozorro.gov.ua/tender/UA-2026-07-30-008160-a" TargetMode="External" Id="rId38" /><Relationship Type="http://schemas.openxmlformats.org/officeDocument/2006/relationships/hyperlink" Target="https://prozorro.gov.ua/tender/UA-2025-10-20-000713-a" TargetMode="External" Id="rId39" /><Relationship Type="http://schemas.openxmlformats.org/officeDocument/2006/relationships/hyperlink" Target="https://prozorro.gov.ua/tender/UA-2025-10-10-006421-a" TargetMode="External" Id="rId40" /><Relationship Type="http://schemas.openxmlformats.org/officeDocument/2006/relationships/hyperlink" Target="https://prozorro.gov.ua/tender/UA-2025-09-26-009240-a" TargetMode="External" Id="rId41" /><Relationship Type="http://schemas.openxmlformats.org/officeDocument/2006/relationships/hyperlink" Target="https://prozorro.gov.ua/tender/UA-2026-05-18-013399-a" TargetMode="External" Id="rId42" /><Relationship Type="http://schemas.openxmlformats.org/officeDocument/2006/relationships/hyperlink" Target="https://prozorro.gov.ua/tender/UA-2025-12-02-017998-a" TargetMode="External" Id="rId43" /><Relationship Type="http://schemas.openxmlformats.org/officeDocument/2006/relationships/hyperlink" Target="https://prozorro.gov.ua/tender/UA-2025-11-28-015437-a" TargetMode="External" Id="rId44" /><Relationship Type="http://schemas.openxmlformats.org/officeDocument/2006/relationships/hyperlink" Target="https://prozorro.gov.ua/tender/UA-2025-11-11-014458-a" TargetMode="External" Id="rId45" /><Relationship Type="http://schemas.openxmlformats.org/officeDocument/2006/relationships/hyperlink" Target="https://prozorro.gov.ua/tender/UA-2026-08-25-009955-a" TargetMode="External" Id="rId46" /><Relationship Type="http://schemas.openxmlformats.org/officeDocument/2006/relationships/hyperlink" Target="https://prozorro.gov.ua/tender/UA-2025-11-18-010645-a" TargetMode="External" Id="rId47" /><Relationship Type="http://schemas.openxmlformats.org/officeDocument/2006/relationships/hyperlink" Target="https://prozorro.gov.ua/tender/UA-2025-10-24-015870-a" TargetMode="External" Id="rId48" /><Relationship Type="http://schemas.openxmlformats.org/officeDocument/2006/relationships/hyperlink" Target="https://prozorro.gov.ua/tender/UA-2025-10-17-011018-a" TargetMode="External" Id="rId49" /><Relationship Type="http://schemas.openxmlformats.org/officeDocument/2006/relationships/hyperlink" Target="https://prozorro.gov.ua/tender/UA-2025-11-28-003773-a" TargetMode="External" Id="rId50" /><Relationship Type="http://schemas.openxmlformats.org/officeDocument/2006/relationships/hyperlink" Target="https://prozorro.gov.ua/tender/UA-2026-06-30-012911-a" TargetMode="External" Id="rId51" /><Relationship Type="http://schemas.openxmlformats.org/officeDocument/2006/relationships/hyperlink" Target="https://prozorro.gov.ua/tender/UA-2025-10-07-013647-a" TargetMode="External" Id="rId52" /><Relationship Type="http://schemas.openxmlformats.org/officeDocument/2006/relationships/hyperlink" Target="https://prozorro.gov.ua/tender/UA-2025-09-09-013711-a" TargetMode="External" Id="rId53" /><Relationship Type="http://schemas.openxmlformats.org/officeDocument/2006/relationships/hyperlink" Target="https://prozorro.gov.ua/tender/UA-2026-07-27-008910-a" TargetMode="External" Id="rId54" /><Relationship Type="http://schemas.openxmlformats.org/officeDocument/2006/relationships/hyperlink" Target="https://prozorro.gov.ua/tender/UA-2026-04-28-011396-a" TargetMode="External" Id="rId55" /><Relationship Type="http://schemas.openxmlformats.org/officeDocument/2006/relationships/hyperlink" Target="https://prozorro.gov.ua/tender/UA-2026-06-25-006594-a" TargetMode="External" Id="rId56" /><Relationship Type="http://schemas.openxmlformats.org/officeDocument/2006/relationships/hyperlink" Target="https://prozorro.gov.ua/tender/UA-2026-06-15-011183-a" TargetMode="External" Id="rId57" /><Relationship Type="http://schemas.openxmlformats.org/officeDocument/2006/relationships/hyperlink" Target="https://prozorro.gov.ua/tender/UA-2025-11-10-014743-a" TargetMode="External" Id="rId58" /><Relationship Type="http://schemas.openxmlformats.org/officeDocument/2006/relationships/hyperlink" Target="https://prozorro.gov.ua/tender/UA-2026-04-22-001077-a" TargetMode="External" Id="rId59" /><Relationship Type="http://schemas.openxmlformats.org/officeDocument/2006/relationships/hyperlink" Target="https://prozorro.gov.ua/tender/UA-2025-11-15-000640-a" TargetMode="External" Id="rId60" /><Relationship Type="http://schemas.openxmlformats.org/officeDocument/2006/relationships/hyperlink" Target="https://prozorro.gov.ua/tender/UA-2026-05-11-003657-a" TargetMode="External" Id="rId61" /><Relationship Type="http://schemas.openxmlformats.org/officeDocument/2006/relationships/hyperlink" Target="https://prozorro.gov.ua/tender/UA-2025-11-14-015599-a" TargetMode="External" Id="rId62" /><Relationship Type="http://schemas.openxmlformats.org/officeDocument/2006/relationships/hyperlink" Target="https://prozorro.gov.ua/tender/UA-2026-08-12-008593-a" TargetMode="External" Id="rId63" /><Relationship Type="http://schemas.openxmlformats.org/officeDocument/2006/relationships/hyperlink" Target="https://prozorro.gov.ua/tender/UA-2026-07-09-009318-a" TargetMode="External" Id="rId64" /><Relationship Type="http://schemas.openxmlformats.org/officeDocument/2006/relationships/hyperlink" Target="https://prozorro.gov.ua/tender/UA-2025-09-12-006819-a" TargetMode="External" Id="rId65" /><Relationship Type="http://schemas.openxmlformats.org/officeDocument/2006/relationships/hyperlink" Target="https://prozorro.gov.ua/tender/UA-2026-05-14-008402-a" TargetMode="External" Id="rId66" /><Relationship Type="http://schemas.openxmlformats.org/officeDocument/2006/relationships/hyperlink" Target="https://prozorro.gov.ua/tender/UA-2025-11-17-012681-a" TargetMode="External" Id="rId67" /><Relationship Type="http://schemas.openxmlformats.org/officeDocument/2006/relationships/hyperlink" Target="https://prozorro.gov.ua/tender/UA-2025-11-12-014817-a" TargetMode="External" Id="rId68" /><Relationship Type="http://schemas.openxmlformats.org/officeDocument/2006/relationships/hyperlink" Target="https://prozorro.gov.ua/tender/UA-2025-10-29-011635-a" TargetMode="External" Id="rId69" /><Relationship Type="http://schemas.openxmlformats.org/officeDocument/2006/relationships/hyperlink" Target="https://prozorro.gov.ua/tender/UA-2025-10-01-004593-a" TargetMode="External" Id="rId70" /><Relationship Type="http://schemas.openxmlformats.org/officeDocument/2006/relationships/hyperlink" Target="https://prozorro.gov.ua/tender/UA-2025-09-30-007363-a" TargetMode="External" Id="rId71" /><Relationship Type="http://schemas.openxmlformats.org/officeDocument/2006/relationships/hyperlink" Target="https://prozorro.gov.ua/tender/UA-2026-03-04-009176-a" TargetMode="External" Id="rId72" /><Relationship Type="http://schemas.openxmlformats.org/officeDocument/2006/relationships/hyperlink" Target="https://prozorro.gov.ua/tender/UA-2026-04-25-000062-a" TargetMode="External" Id="rId73" /><Relationship Type="http://schemas.openxmlformats.org/officeDocument/2006/relationships/hyperlink" Target="https://prozorro.gov.ua/tender/UA-2026-02-05-014724-a" TargetMode="External" Id="rId74" /><Relationship Type="http://schemas.openxmlformats.org/officeDocument/2006/relationships/hyperlink" Target="https://prozorro.gov.ua/tender/UA-2026-06-05-001879-a" TargetMode="External" Id="rId75" /><Relationship Type="http://schemas.openxmlformats.org/officeDocument/2006/relationships/hyperlink" Target="https://prozorro.gov.ua/tender/UA-2026-05-22-002851-a" TargetMode="External" Id="rId76" /><Relationship Type="http://schemas.openxmlformats.org/officeDocument/2006/relationships/hyperlink" Target="https://prozorro.gov.ua/tender/UA-2026-05-19-001091-a" TargetMode="External" Id="rId77" /><Relationship Type="http://schemas.openxmlformats.org/officeDocument/2006/relationships/hyperlink" Target="https://prozorro.gov.ua/tender/UA-2026-05-14-005245-a" TargetMode="External" Id="rId78" /><Relationship Type="http://schemas.openxmlformats.org/officeDocument/2006/relationships/hyperlink" Target="https://prozorro.gov.ua/tender/UA-2026-03-24-014217-a" TargetMode="External" Id="rId79" /><Relationship Type="http://schemas.openxmlformats.org/officeDocument/2006/relationships/hyperlink" Target="https://prozorro.gov.ua/tender/UA-2025-10-20-016348-a" TargetMode="External" Id="rId80" /><Relationship Type="http://schemas.openxmlformats.org/officeDocument/2006/relationships/hyperlink" Target="https://prozorro.gov.ua/tender/UA-2025-10-03-003224-a" TargetMode="External" Id="rId81" /><Relationship Type="http://schemas.openxmlformats.org/officeDocument/2006/relationships/hyperlink" Target="https://prozorro.gov.ua/tender/UA-2025-11-15-000302-a" TargetMode="External" Id="rId82" /><Relationship Type="http://schemas.openxmlformats.org/officeDocument/2006/relationships/hyperlink" Target="https://prozorro.gov.ua/tender/UA-2026-04-30-009739-a" TargetMode="External" Id="rId83" /><Relationship Type="http://schemas.openxmlformats.org/officeDocument/2006/relationships/hyperlink" Target="https://prozorro.gov.ua/tender/UA-2026-04-08-009586-a" TargetMode="External" Id="rId84" /><Relationship Type="http://schemas.openxmlformats.org/officeDocument/2006/relationships/hyperlink" Target="https://prozorro.gov.ua/tender/UA-2026-03-27-002552-a" TargetMode="External" Id="rId85" /><Relationship Type="http://schemas.openxmlformats.org/officeDocument/2006/relationships/hyperlink" Target="https://prozorro.gov.ua/tender/UA-2026-03-16-008989-a" TargetMode="External" Id="rId86" /><Relationship Type="http://schemas.openxmlformats.org/officeDocument/2006/relationships/hyperlink" Target="https://prozorro.gov.ua/tender/UA-2025-11-05-006520-a" TargetMode="External" Id="rId87" /><Relationship Type="http://schemas.openxmlformats.org/officeDocument/2006/relationships/hyperlink" Target="https://prozorro.gov.ua/tender/UA-2025-10-17-010304-a" TargetMode="External" Id="rId88" /><Relationship Type="http://schemas.openxmlformats.org/officeDocument/2006/relationships/hyperlink" Target="https://prozorro.gov.ua/tender/UA-2026-05-28-011866-a" TargetMode="External" Id="rId89" /><Relationship Type="http://schemas.openxmlformats.org/officeDocument/2006/relationships/hyperlink" Target="https://prozorro.gov.ua/tender/UA-2025-11-25-006903-a" TargetMode="External" Id="rId90" /><Relationship Type="http://schemas.openxmlformats.org/officeDocument/2006/relationships/hyperlink" Target="https://prozorro.gov.ua/tender/UA-2025-10-20-014579-a" TargetMode="External" Id="rId91" /><Relationship Type="http://schemas.openxmlformats.org/officeDocument/2006/relationships/hyperlink" Target="https://prozorro.gov.ua/tender/UA-2025-11-17-014020-a" TargetMode="External" Id="rId92" /><Relationship Type="http://schemas.openxmlformats.org/officeDocument/2006/relationships/hyperlink" Target="https://prozorro.gov.ua/tender/UA-2025-09-02-005094-a" TargetMode="External" Id="rId93" /><Relationship Type="http://schemas.openxmlformats.org/officeDocument/2006/relationships/hyperlink" Target="https://prozorro.gov.ua/tender/UA-2026-08-07-001199-a" TargetMode="External" Id="rId94" /><Relationship Type="http://schemas.openxmlformats.org/officeDocument/2006/relationships/hyperlink" Target="https://prozorro.gov.ua/tender/UA-2026-08-06-005940-a" TargetMode="External" Id="rId95" /><Relationship Type="http://schemas.openxmlformats.org/officeDocument/2006/relationships/hyperlink" Target="https://prozorro.gov.ua/tender/UA-2026-04-09-012087-a" TargetMode="External" Id="rId96" /><Relationship Type="http://schemas.openxmlformats.org/officeDocument/2006/relationships/hyperlink" Target="https://prozorro.gov.ua/tender/UA-2025-10-28-014986-a" TargetMode="External" Id="rId97" /><Relationship Type="http://schemas.openxmlformats.org/officeDocument/2006/relationships/hyperlink" Target="https://prozorro.gov.ua/tender/UA-2025-11-18-016178-a" TargetMode="External" Id="rId98" /><Relationship Type="http://schemas.openxmlformats.org/officeDocument/2006/relationships/hyperlink" Target="https://prozorro.gov.ua/tender/UA-2025-11-10-013374-a" TargetMode="External" Id="rId99" /><Relationship Type="http://schemas.openxmlformats.org/officeDocument/2006/relationships/hyperlink" Target="https://prozorro.gov.ua/tender/UA-2026-07-06-009638-a" TargetMode="External" Id="rId100" /><Relationship Type="http://schemas.openxmlformats.org/officeDocument/2006/relationships/hyperlink" Target="https://prozorro.gov.ua/tender/UA-2025-10-08-009512-a" TargetMode="External" Id="rId101" /><Relationship Type="http://schemas.openxmlformats.org/officeDocument/2006/relationships/hyperlink" Target="https://prozorro.gov.ua/tender/UA-2025-09-16-012720-a" TargetMode="External" Id="rId102" /><Relationship Type="http://schemas.openxmlformats.org/officeDocument/2006/relationships/hyperlink" Target="https://prozorro.gov.ua/tender/UA-2025-09-15-006830-a" TargetMode="External" Id="rId103" /><Relationship Type="http://schemas.openxmlformats.org/officeDocument/2006/relationships/hyperlink" Target="https://prozorro.gov.ua/tender/UA-2026-09-01-002869-a" TargetMode="External" Id="rId104" /><Relationship Type="http://schemas.openxmlformats.org/officeDocument/2006/relationships/hyperlink" Target="https://prozorro.gov.ua/tender/UA-2026-06-26-010395-a" TargetMode="External" Id="rId105" /><Relationship Type="http://schemas.openxmlformats.org/officeDocument/2006/relationships/hyperlink" Target="https://prozorro.gov.ua/tender/UA-2026-05-15-008338-a" TargetMode="External" Id="rId106" /><Relationship Type="http://schemas.openxmlformats.org/officeDocument/2006/relationships/hyperlink" Target="https://prozorro.gov.ua/tender/UA-2026-02-20-008982-a" TargetMode="External" Id="rId107" /><Relationship Type="http://schemas.openxmlformats.org/officeDocument/2006/relationships/hyperlink" Target="https://prozorro.gov.ua/tender/UA-2026-07-24-007514-a" TargetMode="External" Id="rId108" /><Relationship Type="http://schemas.openxmlformats.org/officeDocument/2006/relationships/hyperlink" Target="https://prozorro.gov.ua/tender/UA-2026-07-26-000180-a" TargetMode="External" Id="rId109" /><Relationship Type="http://schemas.openxmlformats.org/officeDocument/2006/relationships/hyperlink" Target="https://prozorro.gov.ua/tender/UA-2026-05-28-010677-a" TargetMode="External" Id="rId110" /><Relationship Type="http://schemas.openxmlformats.org/officeDocument/2006/relationships/hyperlink" Target="https://prozorro.gov.ua/tender/UA-2026-05-11-003831-a" TargetMode="External" Id="rId111" /><Relationship Type="http://schemas.openxmlformats.org/officeDocument/2006/relationships/hyperlink" Target="https://prozorro.gov.ua/tender/UA-2025-11-11-014988-a" TargetMode="External" Id="rId112" /><Relationship Type="http://schemas.openxmlformats.org/officeDocument/2006/relationships/hyperlink" Target="https://prozorro.gov.ua/tender/UA-2025-10-21-016992-a" TargetMode="External" Id="rId113" /><Relationship Type="http://schemas.openxmlformats.org/officeDocument/2006/relationships/hyperlink" Target="https://prozorro.gov.ua/tender/UA-2026-06-09-006238-a" TargetMode="External" Id="rId114" /><Relationship Type="http://schemas.openxmlformats.org/officeDocument/2006/relationships/hyperlink" Target="https://prozorro.gov.ua/tender/UA-2026-08-27-008407-a" TargetMode="External" Id="rId115" /><Relationship Type="http://schemas.openxmlformats.org/officeDocument/2006/relationships/hyperlink" Target="https://prozorro.gov.ua/tender/UA-2025-10-29-001814-a" TargetMode="External" Id="rId116" /><Relationship Type="http://schemas.openxmlformats.org/officeDocument/2006/relationships/hyperlink" Target="https://prozorro.gov.ua/tender/UA-2026-06-26-011036-a" TargetMode="External" Id="rId117" /><Relationship Type="http://schemas.openxmlformats.org/officeDocument/2006/relationships/hyperlink" Target="https://prozorro.gov.ua/tender/UA-2025-10-24-011106-a" TargetMode="External" Id="rId118" /><Relationship Type="http://schemas.openxmlformats.org/officeDocument/2006/relationships/hyperlink" Target="https://prozorro.gov.ua/tender/UA-2025-09-12-005017-a" TargetMode="External" Id="rId119" /><Relationship Type="http://schemas.openxmlformats.org/officeDocument/2006/relationships/hyperlink" Target="https://prozorro.gov.ua/tender/UA-2025-09-12-004208-a" TargetMode="External" Id="rId120" /><Relationship Type="http://schemas.openxmlformats.org/officeDocument/2006/relationships/hyperlink" Target="https://prozorro.gov.ua/tender/UA-2026-03-04-000126-a" TargetMode="External" Id="rId121" /><Relationship Type="http://schemas.openxmlformats.org/officeDocument/2006/relationships/hyperlink" Target="https://prozorro.gov.ua/tender/UA-2026-07-30-008016-a" TargetMode="External" Id="rId122" /><Relationship Type="http://schemas.openxmlformats.org/officeDocument/2006/relationships/hyperlink" Target="https://prozorro.gov.ua/tender/UA-2026-01-26-001069-a" TargetMode="External" Id="rId123" /><Relationship Type="http://schemas.openxmlformats.org/officeDocument/2006/relationships/hyperlink" Target="https://prozorro.gov.ua/tender/UA-2026-03-23-014169-a" TargetMode="External" Id="rId124" /><Relationship Type="http://schemas.openxmlformats.org/officeDocument/2006/relationships/hyperlink" Target="https://prozorro.gov.ua/tender/UA-2026-01-26-017005-a" TargetMode="External" Id="rId125" /><Relationship Type="http://schemas.openxmlformats.org/officeDocument/2006/relationships/hyperlink" Target="https://prozorro.gov.ua/tender/UA-2025-10-15-011288-a" TargetMode="External" Id="rId126" /><Relationship Type="http://schemas.openxmlformats.org/officeDocument/2006/relationships/hyperlink" Target="https://prozorro.gov.ua/tender/UA-2026-04-21-002861-a" TargetMode="External" Id="rId127" /><Relationship Type="http://schemas.openxmlformats.org/officeDocument/2006/relationships/hyperlink" Target="https://prozorro.gov.ua/tender/UA-2025-11-27-013291-a" TargetMode="External" Id="rId128" /><Relationship Type="http://schemas.openxmlformats.org/officeDocument/2006/relationships/hyperlink" Target="https://prozorro.gov.ua/tender/UA-2025-09-22-011472-a" TargetMode="External" Id="rId129" /><Relationship Type="http://schemas.openxmlformats.org/officeDocument/2006/relationships/hyperlink" Target="https://prozorro.gov.ua/tender/UA-2026-06-29-011166-a" TargetMode="External" Id="rId130" /><Relationship Type="http://schemas.openxmlformats.org/officeDocument/2006/relationships/hyperlink" Target="https://prozorro.gov.ua/tender/UA-2026-06-23-013118-a" TargetMode="External" Id="rId131" /><Relationship Type="http://schemas.openxmlformats.org/officeDocument/2006/relationships/hyperlink" Target="https://prozorro.gov.ua/tender/UA-2026-03-04-014179-a" TargetMode="External" Id="rId132" /><Relationship Type="http://schemas.openxmlformats.org/officeDocument/2006/relationships/hyperlink" Target="https://prozorro.gov.ua/tender/UA-2026-05-29-003362-a" TargetMode="External" Id="rId133" /><Relationship Type="http://schemas.openxmlformats.org/officeDocument/2006/relationships/hyperlink" Target="https://prozorro.gov.ua/tender/UA-2026-06-17-012977-a" TargetMode="External" Id="rId134" /><Relationship Type="http://schemas.openxmlformats.org/officeDocument/2006/relationships/hyperlink" Target="https://prozorro.gov.ua/tender/UA-2025-12-16-022135-a" TargetMode="External" Id="rId135" /><Relationship Type="http://schemas.openxmlformats.org/officeDocument/2006/relationships/hyperlink" Target="https://prozorro.gov.ua/tender/UA-2026-02-27-005041-a" TargetMode="External" Id="rId136" /><Relationship Type="http://schemas.openxmlformats.org/officeDocument/2006/relationships/hyperlink" Target="https://prozorro.gov.ua/tender/UA-2026-04-02-002676-a" TargetMode="External" Id="rId137" /><Relationship Type="http://schemas.openxmlformats.org/officeDocument/2006/relationships/hyperlink" Target="https://prozorro.gov.ua/tender/UA-2025-09-03-003380-a" TargetMode="External" Id="rId138" /><Relationship Type="http://schemas.openxmlformats.org/officeDocument/2006/relationships/hyperlink" Target="https://prozorro.gov.ua/tender/UA-2025-11-04-010282-a" TargetMode="External" Id="rId139" /><Relationship Type="http://schemas.openxmlformats.org/officeDocument/2006/relationships/hyperlink" Target="https://prozorro.gov.ua/tender/UA-2025-10-29-002461-a" TargetMode="External" Id="rId140" /><Relationship Type="http://schemas.openxmlformats.org/officeDocument/2006/relationships/hyperlink" Target="https://prozorro.gov.ua/tender/UA-2025-09-02-001993-a" TargetMode="External" Id="rId141" /><Relationship Type="http://schemas.openxmlformats.org/officeDocument/2006/relationships/hyperlink" Target="https://prozorro.gov.ua/tender/UA-2025-11-06-015400-a" TargetMode="External" Id="rId142" /><Relationship Type="http://schemas.openxmlformats.org/officeDocument/2006/relationships/hyperlink" Target="https://prozorro.gov.ua/tender/UA-2025-12-17-023135-a" TargetMode="External" Id="rId143" /><Relationship Type="http://schemas.openxmlformats.org/officeDocument/2006/relationships/hyperlink" Target="https://prozorro.gov.ua/tender/UA-2025-12-12-010601-a" TargetMode="External" Id="rId144" /><Relationship Type="http://schemas.openxmlformats.org/officeDocument/2006/relationships/hyperlink" Target="https://prozorro.gov.ua/tender/UA-2026-07-17-008924-a" TargetMode="External" Id="rId145" /><Relationship Type="http://schemas.openxmlformats.org/officeDocument/2006/relationships/hyperlink" Target="https://prozorro.gov.ua/tender/UA-2026-03-31-001476-a" TargetMode="External" Id="rId146" /><Relationship Type="http://schemas.openxmlformats.org/officeDocument/2006/relationships/hyperlink" Target="https://prozorro.gov.ua/tender/UA-2026-03-11-005905-a" TargetMode="External" Id="rId147" /><Relationship Type="http://schemas.openxmlformats.org/officeDocument/2006/relationships/hyperlink" Target="https://prozorro.gov.ua/tender/UA-2026-03-04-009702-a" TargetMode="External" Id="rId148" /><Relationship Type="http://schemas.openxmlformats.org/officeDocument/2006/relationships/hyperlink" Target="https://prozorro.gov.ua/tender/UA-2025-11-04-006800-a" TargetMode="External" Id="rId149" /><Relationship Type="http://schemas.openxmlformats.org/officeDocument/2006/relationships/hyperlink" Target="https://prozorro.gov.ua/tender/UA-2026-05-14-010464-a" TargetMode="External" Id="rId150" /><Relationship Type="http://schemas.openxmlformats.org/officeDocument/2006/relationships/hyperlink" Target="https://prozorro.gov.ua/tender/UA-2026-02-19-010901-a" TargetMode="External" Id="rId151" /><Relationship Type="http://schemas.openxmlformats.org/officeDocument/2006/relationships/hyperlink" Target="https://prozorro.gov.ua/tender/UA-2026-03-24-012123-a" TargetMode="External" Id="rId152" /><Relationship Type="http://schemas.openxmlformats.org/officeDocument/2006/relationships/hyperlink" Target="https://prozorro.gov.ua/tender/UA-2025-10-31-011658-a" TargetMode="External" Id="rId153" /><Relationship Type="http://schemas.openxmlformats.org/officeDocument/2006/relationships/hyperlink" Target="https://prozorro.gov.ua/tender/UA-2025-12-08-019876-a" TargetMode="External" Id="rId154" /><Relationship Type="http://schemas.openxmlformats.org/officeDocument/2006/relationships/hyperlink" Target="https://prozorro.gov.ua/tender/UA-2025-11-11-016946-a" TargetMode="External" Id="rId155" /><Relationship Type="http://schemas.openxmlformats.org/officeDocument/2006/relationships/hyperlink" Target="https://prozorro.gov.ua/tender/UA-2025-11-11-016296-a" TargetMode="External" Id="rId156" /><Relationship Type="http://schemas.openxmlformats.org/officeDocument/2006/relationships/hyperlink" Target="https://prozorro.gov.ua/tender/UA-2025-09-30-011311-a" TargetMode="External" Id="rId157" /><Relationship Type="http://schemas.openxmlformats.org/officeDocument/2006/relationships/hyperlink" Target="https://prozorro.gov.ua/tender/UA-2026-02-06-003851-a" TargetMode="External" Id="rId158" /><Relationship Type="http://schemas.openxmlformats.org/officeDocument/2006/relationships/hyperlink" Target="https://prozorro.gov.ua/tender/UA-2026-06-26-007333-a" TargetMode="External" Id="rId159" /><Relationship Type="http://schemas.openxmlformats.org/officeDocument/2006/relationships/hyperlink" Target="https://prozorro.gov.ua/tender/UA-2026-05-08-000641-a" TargetMode="External" Id="rId160" /><Relationship Type="http://schemas.openxmlformats.org/officeDocument/2006/relationships/hyperlink" Target="https://prozorro.gov.ua/tender/UA-2025-12-10-002364-a" TargetMode="External" Id="rId161" /><Relationship Type="http://schemas.openxmlformats.org/officeDocument/2006/relationships/hyperlink" Target="https://prozorro.gov.ua/tender/UA-2026-04-21-012151-a" TargetMode="External" Id="rId162" /><Relationship Type="http://schemas.openxmlformats.org/officeDocument/2006/relationships/hyperlink" Target="https://prozorro.gov.ua/tender/UA-2026-03-12-003768-a" TargetMode="External" Id="rId163" /><Relationship Type="http://schemas.openxmlformats.org/officeDocument/2006/relationships/hyperlink" Target="https://prozorro.gov.ua/tender/UA-2025-12-12-020701-a" TargetMode="External" Id="rId164" /><Relationship Type="http://schemas.openxmlformats.org/officeDocument/2006/relationships/hyperlink" Target="https://prozorro.gov.ua/tender/UA-2025-12-05-014534-a" TargetMode="External" Id="rId165" /><Relationship Type="http://schemas.openxmlformats.org/officeDocument/2006/relationships/hyperlink" Target="https://prozorro.gov.ua/tender/UA-2025-10-01-009397-a" TargetMode="External" Id="rId166" /><Relationship Type="http://schemas.openxmlformats.org/officeDocument/2006/relationships/hyperlink" Target="https://prozorro.gov.ua/tender/UA-2025-11-28-014373-a" TargetMode="External" Id="rId167" /><Relationship Type="http://schemas.openxmlformats.org/officeDocument/2006/relationships/hyperlink" Target="https://prozorro.gov.ua/tender/UA-2025-09-19-009000-a" TargetMode="External" Id="rId168" /><Relationship Type="http://schemas.openxmlformats.org/officeDocument/2006/relationships/hyperlink" Target="https://prozorro.gov.ua/tender/UA-2026-08-25-002821-a" TargetMode="External" Id="rId169" /><Relationship Type="http://schemas.openxmlformats.org/officeDocument/2006/relationships/hyperlink" Target="https://prozorro.gov.ua/tender/UA-2025-11-17-006240-a" TargetMode="External" Id="rId170" /><Relationship Type="http://schemas.openxmlformats.org/officeDocument/2006/relationships/hyperlink" Target="https://prozorro.gov.ua/tender/UA-2025-09-26-012440-a" TargetMode="External" Id="rId171" /><Relationship Type="http://schemas.openxmlformats.org/officeDocument/2006/relationships/hyperlink" Target="https://prozorro.gov.ua/tender/UA-2026-01-14-011038-a" TargetMode="External" Id="rId172" /><Relationship Type="http://schemas.openxmlformats.org/officeDocument/2006/relationships/hyperlink" Target="https://prozorro.gov.ua/tender/UA-2025-10-20-001216-a" TargetMode="External" Id="rId173" /><Relationship Type="http://schemas.openxmlformats.org/officeDocument/2006/relationships/hyperlink" Target="https://prozorro.gov.ua/tender/UA-2026-04-14-006552-a" TargetMode="External" Id="rId174" /><Relationship Type="http://schemas.openxmlformats.org/officeDocument/2006/relationships/hyperlink" Target="https://prozorro.gov.ua/tender/UA-2025-11-18-015919-a" TargetMode="External" Id="rId175" /><Relationship Type="http://schemas.openxmlformats.org/officeDocument/2006/relationships/hyperlink" Target="https://prozorro.gov.ua/tender/UA-2025-09-23-001220-a" TargetMode="External" Id="rId176" /><Relationship Type="http://schemas.openxmlformats.org/officeDocument/2006/relationships/hyperlink" Target="https://prozorro.gov.ua/tender/UA-2026-08-11-011984-a" TargetMode="External" Id="rId177" /><Relationship Type="http://schemas.openxmlformats.org/officeDocument/2006/relationships/hyperlink" Target="https://prozorro.gov.ua/tender/UA-2025-10-24-006324-a" TargetMode="External" Id="rId178" /><Relationship Type="http://schemas.openxmlformats.org/officeDocument/2006/relationships/hyperlink" Target="https://prozorro.gov.ua/tender/UA-2026-01-28-014638-a" TargetMode="External" Id="rId179" /><Relationship Type="http://schemas.openxmlformats.org/officeDocument/2006/relationships/hyperlink" Target="https://prozorro.gov.ua/tender/UA-2026-04-28-013748-a" TargetMode="External" Id="rId180" /><Relationship Type="http://schemas.openxmlformats.org/officeDocument/2006/relationships/hyperlink" Target="https://prozorro.gov.ua/tender/UA-2025-12-11-013739-a" TargetMode="External" Id="rId181" /><Relationship Type="http://schemas.openxmlformats.org/officeDocument/2006/relationships/hyperlink" Target="https://prozorro.gov.ua/tender/UA-2025-11-26-016793-a" TargetMode="External" Id="rId182" /><Relationship Type="http://schemas.openxmlformats.org/officeDocument/2006/relationships/hyperlink" Target="https://prozorro.gov.ua/tender/UA-2026-04-09-011959-a" TargetMode="External" Id="rId183" /><Relationship Type="http://schemas.openxmlformats.org/officeDocument/2006/relationships/hyperlink" Target="https://prozorro.gov.ua/tender/UA-2025-12-10-023797-a" TargetMode="External" Id="rId184" /><Relationship Type="http://schemas.openxmlformats.org/officeDocument/2006/relationships/hyperlink" Target="https://prozorro.gov.ua/tender/UA-2025-10-01-005167-a" TargetMode="External" Id="rId185" /><Relationship Type="http://schemas.openxmlformats.org/officeDocument/2006/relationships/hyperlink" Target="https://prozorro.gov.ua/tender/UA-2026-06-29-010728-a" TargetMode="External" Id="rId186" /><Relationship Type="http://schemas.openxmlformats.org/officeDocument/2006/relationships/hyperlink" Target="https://prozorro.gov.ua/tender/UA-2025-10-31-007060-a" TargetMode="External" Id="rId187" /><Relationship Type="http://schemas.openxmlformats.org/officeDocument/2006/relationships/hyperlink" Target="https://prozorro.gov.ua/tender/UA-2025-10-23-012436-a" TargetMode="External" Id="rId188" /><Relationship Type="http://schemas.openxmlformats.org/officeDocument/2006/relationships/hyperlink" Target="https://prozorro.gov.ua/tender/UA-2025-12-09-006191-a" TargetMode="External" Id="rId189" /><Relationship Type="http://schemas.openxmlformats.org/officeDocument/2006/relationships/hyperlink" Target="https://prozorro.gov.ua/tender/UA-2025-09-30-000282-a" TargetMode="External" Id="rId190" /><Relationship Type="http://schemas.openxmlformats.org/officeDocument/2006/relationships/hyperlink" Target="https://prozorro.gov.ua/tender/UA-2025-09-16-008784-a" TargetMode="External" Id="rId191" /><Relationship Type="http://schemas.openxmlformats.org/officeDocument/2006/relationships/hyperlink" Target="https://prozorro.gov.ua/tender/UA-2025-09-02-009042-a" TargetMode="External" Id="rId192" /><Relationship Type="http://schemas.openxmlformats.org/officeDocument/2006/relationships/hyperlink" Target="https://prozorro.gov.ua/tender/UA-2025-11-13-005008-a" TargetMode="External" Id="rId193" /><Relationship Type="http://schemas.openxmlformats.org/officeDocument/2006/relationships/hyperlink" Target="https://prozorro.gov.ua/tender/UA-2026-06-30-001916-a" TargetMode="External" Id="rId194" /><Relationship Type="http://schemas.openxmlformats.org/officeDocument/2006/relationships/hyperlink" Target="https://prozorro.gov.ua/tender/UA-2026-06-19-011119-a" TargetMode="External" Id="rId195" /><Relationship Type="http://schemas.openxmlformats.org/officeDocument/2006/relationships/hyperlink" Target="https://prozorro.gov.ua/tender/UA-2025-12-16-001573-a" TargetMode="External" Id="rId196" /><Relationship Type="http://schemas.openxmlformats.org/officeDocument/2006/relationships/hyperlink" Target="https://prozorro.gov.ua/tender/UA-2025-09-30-005210-a" TargetMode="External" Id="rId197" /><Relationship Type="http://schemas.openxmlformats.org/officeDocument/2006/relationships/hyperlink" Target="https://prozorro.gov.ua/tender/UA-2025-09-09-006638-a" TargetMode="External" Id="rId198" /><Relationship Type="http://schemas.openxmlformats.org/officeDocument/2006/relationships/hyperlink" Target="https://prozorro.gov.ua/tender/UA-2026-06-10-010026-a" TargetMode="External" Id="rId199" /><Relationship Type="http://schemas.openxmlformats.org/officeDocument/2006/relationships/hyperlink" Target="https://prozorro.gov.ua/tender/UA-2026-05-25-010605-a" TargetMode="External" Id="rId200" /><Relationship Type="http://schemas.openxmlformats.org/officeDocument/2006/relationships/hyperlink" Target="https://prozorro.gov.ua/tender/UA-2026-04-24-009053-a" TargetMode="External" Id="rId201" /><Relationship Type="http://schemas.openxmlformats.org/officeDocument/2006/relationships/hyperlink" Target="https://prozorro.gov.ua/tender/UA-2025-10-24-012403-a" TargetMode="External" Id="rId202" /><Relationship Type="http://schemas.openxmlformats.org/officeDocument/2006/relationships/hyperlink" Target="https://prozorro.gov.ua/tender/UA-2026-08-12-012133-a" TargetMode="External" Id="rId203" /><Relationship Type="http://schemas.openxmlformats.org/officeDocument/2006/relationships/hyperlink" Target="https://prozorro.gov.ua/tender/UA-2025-11-13-015196-a" TargetMode="External" Id="rId204" /><Relationship Type="http://schemas.openxmlformats.org/officeDocument/2006/relationships/hyperlink" Target="https://prozorro.gov.ua/tender/UA-2025-11-13-012102-a" TargetMode="External" Id="rId205" /><Relationship Type="http://schemas.openxmlformats.org/officeDocument/2006/relationships/hyperlink" Target="https://prozorro.gov.ua/tender/UA-2026-06-18-010839-a" TargetMode="External" Id="rId206" /><Relationship Type="http://schemas.openxmlformats.org/officeDocument/2006/relationships/hyperlink" Target="https://prozorro.gov.ua/tender/UA-2025-12-12-010223-a" TargetMode="External" Id="rId207" /><Relationship Type="http://schemas.openxmlformats.org/officeDocument/2006/relationships/hyperlink" Target="https://prozorro.gov.ua/tender/UA-2026-06-30-015380-a" TargetMode="External" Id="rId208" /><Relationship Type="http://schemas.openxmlformats.org/officeDocument/2006/relationships/hyperlink" Target="https://prozorro.gov.ua/tender/UA-2026-01-22-017729-a" TargetMode="External" Id="rId209" /><Relationship Type="http://schemas.openxmlformats.org/officeDocument/2006/relationships/hyperlink" Target="https://prozorro.gov.ua/tender/UA-2026-04-10-006512-a" TargetMode="External" Id="rId210" /><Relationship Type="http://schemas.openxmlformats.org/officeDocument/2006/relationships/hyperlink" Target="https://prozorro.gov.ua/tender/UA-2026-03-25-009541-a" TargetMode="External" Id="rId211" /><Relationship Type="http://schemas.openxmlformats.org/officeDocument/2006/relationships/hyperlink" Target="https://prozorro.gov.ua/tender/UA-2025-12-11-002243-a" TargetMode="External" Id="rId212" /><Relationship Type="http://schemas.openxmlformats.org/officeDocument/2006/relationships/hyperlink" Target="https://prozorro.gov.ua/tender/UA-2025-10-02-012457-a" TargetMode="External" Id="rId213" /><Relationship Type="http://schemas.openxmlformats.org/officeDocument/2006/relationships/hyperlink" Target="https://prozorro.gov.ua/tender/UA-2025-09-19-001886-a" TargetMode="External" Id="rId214" /><Relationship Type="http://schemas.openxmlformats.org/officeDocument/2006/relationships/hyperlink" Target="https://prozorro.gov.ua/tender/UA-2025-09-05-006416-a" TargetMode="External" Id="rId215" /><Relationship Type="http://schemas.openxmlformats.org/officeDocument/2006/relationships/hyperlink" Target="https://prozorro.gov.ua/tender/UA-2026-03-31-003542-a" TargetMode="External" Id="rId216" /><Relationship Type="http://schemas.openxmlformats.org/officeDocument/2006/relationships/hyperlink" Target="https://prozorro.gov.ua/tender/UA-2026-04-16-012803-a" TargetMode="External" Id="rId217" /><Relationship Type="http://schemas.openxmlformats.org/officeDocument/2006/relationships/hyperlink" Target="https://prozorro.gov.ua/tender/UA-2026-05-14-008673-a" TargetMode="External" Id="rId218" /><Relationship Type="http://schemas.openxmlformats.org/officeDocument/2006/relationships/hyperlink" Target="https://prozorro.gov.ua/tender/UA-2025-11-17-017262-a" TargetMode="External" Id="rId219" /><Relationship Type="http://schemas.openxmlformats.org/officeDocument/2006/relationships/hyperlink" Target="https://prozorro.gov.ua/tender/UA-2025-11-17-012888-a" TargetMode="External" Id="rId220" /><Relationship Type="http://schemas.openxmlformats.org/officeDocument/2006/relationships/hyperlink" Target="https://prozorro.gov.ua/tender/UA-2026-07-31-006035-a" TargetMode="External" Id="rId221" /><Relationship Type="http://schemas.openxmlformats.org/officeDocument/2006/relationships/hyperlink" Target="https://prozorro.gov.ua/tender/UA-2026-04-08-006315-a" TargetMode="External" Id="rId222" /><Relationship Type="http://schemas.openxmlformats.org/officeDocument/2006/relationships/hyperlink" Target="https://prozorro.gov.ua/tender/UA-2026-01-23-013674-a" TargetMode="External" Id="rId223" /><Relationship Type="http://schemas.openxmlformats.org/officeDocument/2006/relationships/hyperlink" Target="https://prozorro.gov.ua/tender/UA-2026-04-17-005811-a" TargetMode="External" Id="rId224" /><Relationship Type="http://schemas.openxmlformats.org/officeDocument/2006/relationships/hyperlink" Target="https://prozorro.gov.ua/tender/UA-2026-03-16-004185-a" TargetMode="External" Id="rId225" /><Relationship Type="http://schemas.openxmlformats.org/officeDocument/2006/relationships/hyperlink" Target="https://prozorro.gov.ua/tender/UA-2026-04-07-005580-a" TargetMode="External" Id="rId226" /><Relationship Type="http://schemas.openxmlformats.org/officeDocument/2006/relationships/hyperlink" Target="https://prozorro.gov.ua/tender/UA-2025-12-02-019436-a" TargetMode="External" Id="rId227" /><Relationship Type="http://schemas.openxmlformats.org/officeDocument/2006/relationships/hyperlink" Target="https://prozorro.gov.ua/tender/UA-2026-02-12-014782-a" TargetMode="External" Id="rId228" /><Relationship Type="http://schemas.openxmlformats.org/officeDocument/2006/relationships/hyperlink" Target="https://prozorro.gov.ua/tender/UA-2025-10-27-009025-a" TargetMode="External" Id="rId229" /><Relationship Type="http://schemas.openxmlformats.org/officeDocument/2006/relationships/hyperlink" Target="https://prozorro.gov.ua/tender/UA-2026-01-27-008698-a" TargetMode="External" Id="rId230" /><Relationship Type="http://schemas.openxmlformats.org/officeDocument/2006/relationships/hyperlink" Target="https://prozorro.gov.ua/tender/UA-2025-10-27-006892-a" TargetMode="External" Id="rId231" /><Relationship Type="http://schemas.openxmlformats.org/officeDocument/2006/relationships/hyperlink" Target="https://prozorro.gov.ua/tender/UA-2025-09-30-000353-a" TargetMode="External" Id="rId232" /><Relationship Type="http://schemas.openxmlformats.org/officeDocument/2006/relationships/hyperlink" Target="https://prozorro.gov.ua/tender/UA-2026-08-29-000239-a" TargetMode="External" Id="rId233" /><Relationship Type="http://schemas.openxmlformats.org/officeDocument/2006/relationships/hyperlink" Target="https://prozorro.gov.ua/tender/UA-2026-07-23-004824-a" TargetMode="External" Id="rId234" /><Relationship Type="http://schemas.openxmlformats.org/officeDocument/2006/relationships/hyperlink" Target="https://prozorro.gov.ua/tender/UA-2026-07-08-005432-a" TargetMode="External" Id="rId235" /><Relationship Type="http://schemas.openxmlformats.org/officeDocument/2006/relationships/hyperlink" Target="https://prozorro.gov.ua/tender/UA-2026-04-23-002238-a" TargetMode="External" Id="rId236" /><Relationship Type="http://schemas.openxmlformats.org/officeDocument/2006/relationships/hyperlink" Target="https://prozorro.gov.ua/tender/UA-2025-09-15-004289-a" TargetMode="External" Id="rId237" /><Relationship Type="http://schemas.openxmlformats.org/officeDocument/2006/relationships/hyperlink" Target="https://prozorro.gov.ua/tender/UA-2026-06-16-013741-a" TargetMode="External" Id="rId238" /><Relationship Type="http://schemas.openxmlformats.org/officeDocument/2006/relationships/hyperlink" Target="https://prozorro.gov.ua/tender/UA-2025-12-12-007408-a" TargetMode="External" Id="rId239" /><Relationship Type="http://schemas.openxmlformats.org/officeDocument/2006/relationships/hyperlink" Target="https://prozorro.gov.ua/tender/UA-2025-12-09-021103-a" TargetMode="External" Id="rId240" /><Relationship Type="http://schemas.openxmlformats.org/officeDocument/2006/relationships/hyperlink" Target="https://prozorro.gov.ua/tender/UA-2025-11-19-016090-a" TargetMode="External" Id="rId241" /><Relationship Type="http://schemas.openxmlformats.org/officeDocument/2006/relationships/hyperlink" Target="https://prozorro.gov.ua/tender/UA-2025-11-07-009521-a" TargetMode="External" Id="rId242" /><Relationship Type="http://schemas.openxmlformats.org/officeDocument/2006/relationships/hyperlink" Target="https://prozorro.gov.ua/tender/UA-2026-01-13-004832-a" TargetMode="External" Id="rId243" /><Relationship Type="http://schemas.openxmlformats.org/officeDocument/2006/relationships/hyperlink" Target="https://prozorro.gov.ua/tender/UA-2026-06-18-002875-a" TargetMode="External" Id="rId244" /><Relationship Type="http://schemas.openxmlformats.org/officeDocument/2006/relationships/hyperlink" Target="https://prozorro.gov.ua/tender/UA-2026-04-09-009013-a" TargetMode="External" Id="rId245" /><Relationship Type="http://schemas.openxmlformats.org/officeDocument/2006/relationships/hyperlink" Target="https://prozorro.gov.ua/tender/UA-2026-04-06-005908-a" TargetMode="External" Id="rId246" /><Relationship Type="http://schemas.openxmlformats.org/officeDocument/2006/relationships/hyperlink" Target="https://prozorro.gov.ua/tender/UA-2026-02-02-004641-a" TargetMode="External" Id="rId247" /><Relationship Type="http://schemas.openxmlformats.org/officeDocument/2006/relationships/hyperlink" Target="https://prozorro.gov.ua/tender/UA-2025-09-17-012561-a" TargetMode="External" Id="rId248" /><Relationship Type="http://schemas.openxmlformats.org/officeDocument/2006/relationships/hyperlink" Target="https://prozorro.gov.ua/tender/UA-2025-11-26-017289-a" TargetMode="External" Id="rId249" /><Relationship Type="http://schemas.openxmlformats.org/officeDocument/2006/relationships/hyperlink" Target="https://prozorro.gov.ua/tender/UA-2025-11-05-009156-a" TargetMode="External" Id="rId250" /><Relationship Type="http://schemas.openxmlformats.org/officeDocument/2006/relationships/hyperlink" Target="https://prozorro.gov.ua/tender/UA-2025-10-18-000746-a" TargetMode="External" Id="rId251" /><Relationship Type="http://schemas.openxmlformats.org/officeDocument/2006/relationships/hyperlink" Target="https://prozorro.gov.ua/tender/UA-2026-08-26-000489-a" TargetMode="External" Id="rId252" /><Relationship Type="http://schemas.openxmlformats.org/officeDocument/2006/relationships/hyperlink" Target="https://prozorro.gov.ua/tender/UA-2026-07-23-002735-a" TargetMode="External" Id="rId253" /><Relationship Type="http://schemas.openxmlformats.org/officeDocument/2006/relationships/hyperlink" Target="https://prozorro.gov.ua/tender/UA-2025-10-14-015829-a" TargetMode="External" Id="rId254" /><Relationship Type="http://schemas.openxmlformats.org/officeDocument/2006/relationships/hyperlink" Target="https://prozorro.gov.ua/tender/UA-2025-10-07-010412-a" TargetMode="External" Id="rId255" /><Relationship Type="http://schemas.openxmlformats.org/officeDocument/2006/relationships/hyperlink" Target="https://prozorro.gov.ua/tender/UA-2026-05-11-006085-a" TargetMode="External" Id="rId256" /><Relationship Type="http://schemas.openxmlformats.org/officeDocument/2006/relationships/hyperlink" Target="https://prozorro.gov.ua/tender/UA-2025-11-25-009235-a" TargetMode="External" Id="rId257" /><Relationship Type="http://schemas.openxmlformats.org/officeDocument/2006/relationships/hyperlink" Target="https://prozorro.gov.ua/tender/UA-2026-03-25-006894-a" TargetMode="External" Id="rId258" /><Relationship Type="http://schemas.openxmlformats.org/officeDocument/2006/relationships/hyperlink" Target="https://prozorro.gov.ua/tender/UA-2026-06-11-001506-a" TargetMode="External" Id="rId259" /><Relationship Type="http://schemas.openxmlformats.org/officeDocument/2006/relationships/hyperlink" Target="https://prozorro.gov.ua/tender/UA-2025-11-27-016123-a" TargetMode="External" Id="rId260" /><Relationship Type="http://schemas.openxmlformats.org/officeDocument/2006/relationships/hyperlink" Target="https://prozorro.gov.ua/tender/UA-2025-11-27-015828-a" TargetMode="External" Id="rId261" /><Relationship Type="http://schemas.openxmlformats.org/officeDocument/2006/relationships/hyperlink" Target="https://prozorro.gov.ua/tender/UA-2026-03-10-013355-a" TargetMode="External" Id="rId262" /><Relationship Type="http://schemas.openxmlformats.org/officeDocument/2006/relationships/hyperlink" Target="https://prozorro.gov.ua/tender/UA-2025-10-21-005630-a" TargetMode="External" Id="rId263" /><Relationship Type="http://schemas.openxmlformats.org/officeDocument/2006/relationships/hyperlink" Target="https://prozorro.gov.ua/tender/UA-2026-03-16-004487-a" TargetMode="External" Id="rId264" /><Relationship Type="http://schemas.openxmlformats.org/officeDocument/2006/relationships/hyperlink" Target="https://prozorro.gov.ua/tender/UA-2026-08-21-010634-a" TargetMode="External" Id="rId265" /><Relationship Type="http://schemas.openxmlformats.org/officeDocument/2006/relationships/hyperlink" Target="https://prozorro.gov.ua/tender/UA-2025-12-03-008683-a" TargetMode="External" Id="rId266" /><Relationship Type="http://schemas.openxmlformats.org/officeDocument/2006/relationships/hyperlink" Target="https://prozorro.gov.ua/tender/UA-2026-08-04-009295-a" TargetMode="External" Id="rId267" /><Relationship Type="http://schemas.openxmlformats.org/officeDocument/2006/relationships/hyperlink" Target="https://prozorro.gov.ua/tender/UA-2025-12-03-022343-a" TargetMode="External" Id="rId268" /><Relationship Type="http://schemas.openxmlformats.org/officeDocument/2006/relationships/hyperlink" Target="https://prozorro.gov.ua/tender/UA-2025-09-10-001180-a" TargetMode="External" Id="rId269" /><Relationship Type="http://schemas.openxmlformats.org/officeDocument/2006/relationships/hyperlink" Target="https://prozorro.gov.ua/tender/UA-2025-10-29-007290-a" TargetMode="External" Id="rId270" /><Relationship Type="http://schemas.openxmlformats.org/officeDocument/2006/relationships/hyperlink" Target="https://prozorro.gov.ua/tender/UA-2025-10-24-011502-a" TargetMode="External" Id="rId271" /><Relationship Type="http://schemas.openxmlformats.org/officeDocument/2006/relationships/hyperlink" Target="https://prozorro.gov.ua/tender/UA-2026-09-01-008665-a" TargetMode="External" Id="rId272" /><Relationship Type="http://schemas.openxmlformats.org/officeDocument/2006/relationships/hyperlink" Target="https://prozorro.gov.ua/tender/UA-2026-08-18-002713-a" TargetMode="External" Id="rId273" /><Relationship Type="http://schemas.openxmlformats.org/officeDocument/2006/relationships/hyperlink" Target="https://prozorro.gov.ua/tender/UA-2026-02-10-012534-a" TargetMode="External" Id="rId274" /><Relationship Type="http://schemas.openxmlformats.org/officeDocument/2006/relationships/hyperlink" Target="https://prozorro.gov.ua/tender/UA-2025-12-09-020374-a" TargetMode="External" Id="rId275" /><Relationship Type="http://schemas.openxmlformats.org/officeDocument/2006/relationships/hyperlink" Target="https://prozorro.gov.ua/tender/UA-2025-11-26-016214-a" TargetMode="External" Id="rId276" /><Relationship Type="http://schemas.openxmlformats.org/officeDocument/2006/relationships/hyperlink" Target="https://prozorro.gov.ua/tender/UA-2025-10-27-014765-a" TargetMode="External" Id="rId277" /><Relationship Type="http://schemas.openxmlformats.org/officeDocument/2006/relationships/hyperlink" Target="https://prozorro.gov.ua/tender/UA-2025-10-02-010895-a" TargetMode="External" Id="rId278" /><Relationship Type="http://schemas.openxmlformats.org/officeDocument/2006/relationships/hyperlink" Target="https://prozorro.gov.ua/tender/UA-2025-09-23-010837-a" TargetMode="External" Id="rId279" /><Relationship Type="http://schemas.openxmlformats.org/officeDocument/2006/relationships/hyperlink" Target="https://prozorro.gov.ua/tender/UA-2025-09-15-002159-a" TargetMode="External" Id="rId280" /><Relationship Type="http://schemas.openxmlformats.org/officeDocument/2006/relationships/hyperlink" Target="https://prozorro.gov.ua/tender/UA-2025-09-09-011083-a" TargetMode="External" Id="rId281" /><Relationship Type="http://schemas.openxmlformats.org/officeDocument/2006/relationships/hyperlink" Target="https://prozorro.gov.ua/tender/UA-2025-11-28-001862-a" TargetMode="External" Id="rId282" /><Relationship Type="http://schemas.openxmlformats.org/officeDocument/2006/relationships/hyperlink" Target="https://prozorro.gov.ua/tender/UA-2025-10-07-010643-a" TargetMode="External" Id="rId283" /><Relationship Type="http://schemas.openxmlformats.org/officeDocument/2006/relationships/hyperlink" Target="https://prozorro.gov.ua/tender/UA-2026-06-30-002197-a" TargetMode="External" Id="rId284" /><Relationship Type="http://schemas.openxmlformats.org/officeDocument/2006/relationships/hyperlink" Target="https://prozorro.gov.ua/tender/UA-2025-12-15-020069-a" TargetMode="External" Id="rId285" /><Relationship Type="http://schemas.openxmlformats.org/officeDocument/2006/relationships/hyperlink" Target="https://prozorro.gov.ua/tender/UA-2025-11-28-014699-a" TargetMode="External" Id="rId286" /><Relationship Type="http://schemas.openxmlformats.org/officeDocument/2006/relationships/hyperlink" Target="https://prozorro.gov.ua/tender/UA-2026-03-03-014440-a" TargetMode="External" Id="rId287" /><Relationship Type="http://schemas.openxmlformats.org/officeDocument/2006/relationships/hyperlink" Target="https://prozorro.gov.ua/tender/UA-2026-07-22-007958-a" TargetMode="External" Id="rId288" /><Relationship Type="http://schemas.openxmlformats.org/officeDocument/2006/relationships/hyperlink" Target="https://prozorro.gov.ua/tender/UA-2026-03-30-001969-a" TargetMode="External" Id="rId289" /><Relationship Type="http://schemas.openxmlformats.org/officeDocument/2006/relationships/hyperlink" Target="https://prozorro.gov.ua/tender/UA-2025-09-16-006271-a" TargetMode="External" Id="rId290" /><Relationship Type="http://schemas.openxmlformats.org/officeDocument/2006/relationships/hyperlink" Target="https://prozorro.gov.ua/tender/UA-2025-12-16-014925-a" TargetMode="External" Id="rId291" /><Relationship Type="http://schemas.openxmlformats.org/officeDocument/2006/relationships/hyperlink" Target="https://prozorro.gov.ua/tender/UA-2025-12-15-018140-a" TargetMode="External" Id="rId292" /><Relationship Type="http://schemas.openxmlformats.org/officeDocument/2006/relationships/hyperlink" Target="https://prozorro.gov.ua/tender/UA-2025-12-17-009920-a" TargetMode="External" Id="rId293" /><Relationship Type="http://schemas.openxmlformats.org/officeDocument/2006/relationships/hyperlink" Target="https://prozorro.gov.ua/tender/UA-2025-09-10-009487-a" TargetMode="External" Id="rId294" /><Relationship Type="http://schemas.openxmlformats.org/officeDocument/2006/relationships/hyperlink" Target="https://prozorro.gov.ua/tender/UA-2026-07-07-008257-a" TargetMode="External" Id="rId295" /><Relationship Type="http://schemas.openxmlformats.org/officeDocument/2006/relationships/hyperlink" Target="https://prozorro.gov.ua/tender/UA-2025-12-22-022774-a" TargetMode="External" Id="rId296" /><Relationship Type="http://schemas.openxmlformats.org/officeDocument/2006/relationships/hyperlink" Target="https://prozorro.gov.ua/tender/UA-2026-07-01-003101-a" TargetMode="External" Id="rId297" /><Relationship Type="http://schemas.openxmlformats.org/officeDocument/2006/relationships/hyperlink" Target="https://prozorro.gov.ua/tender/UA-2025-12-10-020028-a" TargetMode="External" Id="rId298" /><Relationship Type="http://schemas.openxmlformats.org/officeDocument/2006/relationships/hyperlink" Target="https://prozorro.gov.ua/tender/UA-2026-05-07-002811-a" TargetMode="External" Id="rId299" /><Relationship Type="http://schemas.openxmlformats.org/officeDocument/2006/relationships/hyperlink" Target="https://prozorro.gov.ua/tender/UA-2026-05-15-009601-a" TargetMode="External" Id="rId300" /><Relationship Type="http://schemas.openxmlformats.org/officeDocument/2006/relationships/drawing" Target="/xl/drawings/drawing7.xml" Id="rId301" /><Relationship Type="http://schemas.openxmlformats.org/officeDocument/2006/relationships/table" Target="/xl/tables/table24.xml" Id="rId302" /><Relationship Type="http://schemas.openxmlformats.org/officeDocument/2006/relationships/table" Target="/xl/tables/table25.xml" Id="rId303" /><Relationship Type="http://schemas.openxmlformats.org/officeDocument/2006/relationships/table" Target="/xl/tables/table26.xml" Id="rId304" /></Relationships>
</file>

<file path=xl/worksheets/_rels/sheet9.xml.rels><Relationships xmlns="http://schemas.openxmlformats.org/package/2006/relationships"><Relationship Type="http://schemas.openxmlformats.org/officeDocument/2006/relationships/drawing" Target="/xl/drawings/drawing8.xml" Id="rId1" /><Relationship Type="http://schemas.openxmlformats.org/officeDocument/2006/relationships/table" Target="/xl/tables/table27.xml" Id="rId2" /><Relationship Type="http://schemas.openxmlformats.org/officeDocument/2006/relationships/table" Target="/xl/tables/table28.xml" Id="rId3" /></Relationships>
</file>

<file path=xl/worksheets/_rels/sheet10.xml.rels><Relationships xmlns="http://schemas.openxmlformats.org/package/2006/relationships"><Relationship Type="http://schemas.openxmlformats.org/officeDocument/2006/relationships/drawing" Target="/xl/drawings/drawing9.xml" Id="rId1" /><Relationship Type="http://schemas.openxmlformats.org/officeDocument/2006/relationships/table" Target="/xl/tables/table29.xml" Id="rId2" /><Relationship Type="http://schemas.openxmlformats.org/officeDocument/2006/relationships/table" Target="/xl/tables/table30.xml" Id="rId3" /><Relationship Type="http://schemas.openxmlformats.org/officeDocument/2006/relationships/table" Target="/xl/tables/table31.xml" Id="rId4" /><Relationship Type="http://schemas.openxmlformats.org/officeDocument/2006/relationships/table" Target="/xl/tables/table32.xml" Id="rId5" /><Relationship Type="http://schemas.openxmlformats.org/officeDocument/2006/relationships/table" Target="/xl/tables/table33.xml" Id="rId6" /><Relationship Type="http://schemas.openxmlformats.org/officeDocument/2006/relationships/table" Target="/xl/tables/table34.xml" Id="rId7" /></Relationships>
</file>

<file path=xl/worksheets/_rels/sheet11.xml.rels><Relationships xmlns="http://schemas.openxmlformats.org/package/2006/relationships"><Relationship Type="http://schemas.openxmlformats.org/officeDocument/2006/relationships/drawing" Target="/xl/drawings/drawing10.xml" Id="rId1" /><Relationship Type="http://schemas.openxmlformats.org/officeDocument/2006/relationships/table" Target="/xl/tables/table35.xml" Id="rId2" /><Relationship Type="http://schemas.openxmlformats.org/officeDocument/2006/relationships/table" Target="/xl/tables/table36.xml" Id="rId3" /><Relationship Type="http://schemas.openxmlformats.org/officeDocument/2006/relationships/table" Target="/xl/tables/table37.xml" Id="rId4" /></Relationships>
</file>

<file path=xl/worksheets/_rels/sheet12.xml.rels><Relationships xmlns="http://schemas.openxmlformats.org/package/2006/relationships"><Relationship Type="http://schemas.openxmlformats.org/officeDocument/2006/relationships/drawing" Target="/xl/drawings/drawing11.xml" Id="rId1" /><Relationship Type="http://schemas.openxmlformats.org/officeDocument/2006/relationships/table" Target="/xl/tables/table38.xml" Id="rId2" /></Relationships>
</file>

<file path=xl/worksheets/_rels/sheet13.xml.rels><Relationships xmlns="http://schemas.openxmlformats.org/package/2006/relationships"><Relationship Type="http://schemas.openxmlformats.org/officeDocument/2006/relationships/hyperlink" Target="https://prozorro.gov.ua/tender/UA-2026-08-07-010621-a" TargetMode="External" Id="rId1" /><Relationship Type="http://schemas.openxmlformats.org/officeDocument/2006/relationships/hyperlink" Target="https://prozorro.gov.ua/tender/UA-2026-05-27-001771-a" TargetMode="External" Id="rId2" /><Relationship Type="http://schemas.openxmlformats.org/officeDocument/2006/relationships/hyperlink" Target="https://prozorro.gov.ua/tender/UA-2025-11-11-008607-a" TargetMode="External" Id="rId3" /><Relationship Type="http://schemas.openxmlformats.org/officeDocument/2006/relationships/hyperlink" Target="https://prozorro.gov.ua/tender/UA-2026-06-10-003459-a" TargetMode="External" Id="rId4" /><Relationship Type="http://schemas.openxmlformats.org/officeDocument/2006/relationships/hyperlink" Target="https://prozorro.gov.ua/tender/UA-2025-11-03-014571-a" TargetMode="External" Id="rId5" /><Relationship Type="http://schemas.openxmlformats.org/officeDocument/2006/relationships/hyperlink" Target="https://prozorro.gov.ua/tender/UA-2025-09-03-011848-a" TargetMode="External" Id="rId6" /><Relationship Type="http://schemas.openxmlformats.org/officeDocument/2006/relationships/hyperlink" Target="https://prozorro.gov.ua/tender/UA-2025-10-07-010320-a" TargetMode="External" Id="rId7" /><Relationship Type="http://schemas.openxmlformats.org/officeDocument/2006/relationships/hyperlink" Target="https://prozorro.gov.ua/tender/UA-2025-11-04-006845-a" TargetMode="External" Id="rId8" /><Relationship Type="http://schemas.openxmlformats.org/officeDocument/2006/relationships/hyperlink" Target="https://prozorro.gov.ua/tender/UA-2026-03-18-007446-a" TargetMode="External" Id="rId9" /><Relationship Type="http://schemas.openxmlformats.org/officeDocument/2006/relationships/hyperlink" Target="https://prozorro.gov.ua/tender/UA-2026-07-13-003508-a" TargetMode="External" Id="rId10" /><Relationship Type="http://schemas.openxmlformats.org/officeDocument/2006/relationships/hyperlink" Target="https://prozorro.gov.ua/tender/UA-2025-11-04-006845-a" TargetMode="External" Id="rId11" /><Relationship Type="http://schemas.openxmlformats.org/officeDocument/2006/relationships/hyperlink" Target="https://prozorro.gov.ua/tender/UA-2025-11-04-010443-a" TargetMode="External" Id="rId12" /><Relationship Type="http://schemas.openxmlformats.org/officeDocument/2006/relationships/hyperlink" Target="https://prozorro.gov.ua/tender/UA-2026-01-06-005477-a" TargetMode="External" Id="rId13" /><Relationship Type="http://schemas.openxmlformats.org/officeDocument/2006/relationships/hyperlink" Target="https://prozorro.gov.ua/tender/UA-2026-03-17-009141-a" TargetMode="External" Id="rId14" /><Relationship Type="http://schemas.openxmlformats.org/officeDocument/2006/relationships/drawing" Target="/xl/drawings/drawing12.xml" Id="rId15" /><Relationship Type="http://schemas.openxmlformats.org/officeDocument/2006/relationships/table" Target="/xl/tables/table39.xml" Id="rId16" /><Relationship Type="http://schemas.openxmlformats.org/officeDocument/2006/relationships/table" Target="/xl/tables/table40.xml" Id="rId17" /><Relationship Type="http://schemas.openxmlformats.org/officeDocument/2006/relationships/table" Target="/xl/tables/table41.xml" Id="rId18" /><Relationship Type="http://schemas.openxmlformats.org/officeDocument/2006/relationships/table" Target="/xl/tables/table42.xml" Id="rId19" /><Relationship Type="http://schemas.openxmlformats.org/officeDocument/2006/relationships/table" Target="/xl/tables/table43.xml" Id="rId20" /></Relationships>
</file>

<file path=xl/worksheets/_rels/sheet14.xml.rels><Relationships xmlns="http://schemas.openxmlformats.org/package/2006/relationships"><Relationship Type="http://schemas.openxmlformats.org/officeDocument/2006/relationships/hyperlink" Target="https://prozorro.gov.ua/tender/UA-2026-06-05-008506-a" TargetMode="External" Id="rId1" /><Relationship Type="http://schemas.openxmlformats.org/officeDocument/2006/relationships/hyperlink" Target="https://prozorro.gov.ua/tender/UA-2026-02-25-003127-a" TargetMode="External" Id="rId2" /><Relationship Type="http://schemas.openxmlformats.org/officeDocument/2006/relationships/drawing" Target="/xl/drawings/drawing13.xml" Id="rId3" /><Relationship Type="http://schemas.openxmlformats.org/officeDocument/2006/relationships/table" Target="/xl/tables/table44.xml" Id="rId4" /><Relationship Type="http://schemas.openxmlformats.org/officeDocument/2006/relationships/table" Target="/xl/tables/table45.xml" Id="rId5" /><Relationship Type="http://schemas.openxmlformats.org/officeDocument/2006/relationships/table" Target="/xl/tables/table46.xml" Id="rId6" /></Relationships>
</file>

<file path=xl/worksheets/_rels/sheet15.xml.rels><Relationships xmlns="http://schemas.openxmlformats.org/package/2006/relationships"><Relationship Type="http://schemas.openxmlformats.org/officeDocument/2006/relationships/hyperlink" Target="https://prozorro.gov.ua/tender/UA-2025-10-10-001046-a" TargetMode="External" Id="rId1" /><Relationship Type="http://schemas.openxmlformats.org/officeDocument/2006/relationships/hyperlink" Target="https://prozorro.gov.ua/tender/UA-2025-11-11-007236-a" TargetMode="External" Id="rId2" /><Relationship Type="http://schemas.openxmlformats.org/officeDocument/2006/relationships/hyperlink" Target="https://prozorro.gov.ua/tender/UA-2025-10-10-001046-a" TargetMode="External" Id="rId3" /><Relationship Type="http://schemas.openxmlformats.org/officeDocument/2006/relationships/hyperlink" Target="https://prozorro.gov.ua/tender/UA-2025-11-11-007236-a" TargetMode="External" Id="rId4" /><Relationship Type="http://schemas.openxmlformats.org/officeDocument/2006/relationships/drawing" Target="/xl/drawings/drawing14.xml" Id="rId5" /><Relationship Type="http://schemas.openxmlformats.org/officeDocument/2006/relationships/table" Target="/xl/tables/table47.xml" Id="rId6" /><Relationship Type="http://schemas.openxmlformats.org/officeDocument/2006/relationships/table" Target="/xl/tables/table48.xml" Id="rId7" /><Relationship Type="http://schemas.openxmlformats.org/officeDocument/2006/relationships/table" Target="/xl/tables/table49.xml" Id="rId8" /><Relationship Type="http://schemas.openxmlformats.org/officeDocument/2006/relationships/table" Target="/xl/tables/table50.xml" Id="rId9" /></Relationships>
</file>

<file path=xl/worksheets/_rels/sheet16.xml.rels><Relationships xmlns="http://schemas.openxmlformats.org/package/2006/relationships"><Relationship Type="http://schemas.openxmlformats.org/officeDocument/2006/relationships/hyperlink" Target="https://prozorro.gov.ua/tender/UA-2026-06-04-012194-a" TargetMode="External" Id="rId1" /><Relationship Type="http://schemas.openxmlformats.org/officeDocument/2006/relationships/hyperlink" Target="https://prozorro.gov.ua/tender/UA-2026-06-04-012194-a" TargetMode="External" Id="rId2" /><Relationship Type="http://schemas.openxmlformats.org/officeDocument/2006/relationships/drawing" Target="/xl/drawings/drawing15.xml" Id="rId3" /><Relationship Type="http://schemas.openxmlformats.org/officeDocument/2006/relationships/table" Target="/xl/tables/table51.xml" Id="rId4" /><Relationship Type="http://schemas.openxmlformats.org/officeDocument/2006/relationships/table" Target="/xl/tables/table52.xml" Id="rId5" /><Relationship Type="http://schemas.openxmlformats.org/officeDocument/2006/relationships/table" Target="/xl/tables/table53.xml" Id="rId6" /><Relationship Type="http://schemas.openxmlformats.org/officeDocument/2006/relationships/table" Target="/xl/tables/table54.xml" Id="rId7" /><Relationship Type="http://schemas.openxmlformats.org/officeDocument/2006/relationships/table" Target="/xl/tables/table55.xml" Id="rId8" /></Relationships>
</file>

<file path=xl/worksheets/_rels/sheet17.xml.rels><Relationships xmlns="http://schemas.openxmlformats.org/package/2006/relationships"><Relationship Type="http://schemas.openxmlformats.org/officeDocument/2006/relationships/hyperlink" Target="https://prozorro.gov.ua/tender/UA-2026-06-19-011119-a" TargetMode="External" Id="rId1" /><Relationship Type="http://schemas.openxmlformats.org/officeDocument/2006/relationships/hyperlink" Target="https://prozorro.gov.ua/tender/UA-2026-08-18-013057-a" TargetMode="External" Id="rId2" /><Relationship Type="http://schemas.openxmlformats.org/officeDocument/2006/relationships/hyperlink" Target="https://prozorro.gov.ua/tender/UA-2026-07-09-009318-a" TargetMode="External" Id="rId3" /><Relationship Type="http://schemas.openxmlformats.org/officeDocument/2006/relationships/hyperlink" Target="https://prozorro.gov.ua/tender/UA-2026-05-18-013399-a" TargetMode="External" Id="rId4" /><Relationship Type="http://schemas.openxmlformats.org/officeDocument/2006/relationships/hyperlink" Target="https://prozorro.gov.ua/tender/UA-2026-04-22-001077-a" TargetMode="External" Id="rId5" /><Relationship Type="http://schemas.openxmlformats.org/officeDocument/2006/relationships/hyperlink" Target="https://prozorro.gov.ua/tender/UA-2026-07-17-008924-a" TargetMode="External" Id="rId6" /><Relationship Type="http://schemas.openxmlformats.org/officeDocument/2006/relationships/hyperlink" Target="https://prozorro.gov.ua/tender/UA-2026-05-28-011866-a" TargetMode="External" Id="rId7" /><Relationship Type="http://schemas.openxmlformats.org/officeDocument/2006/relationships/hyperlink" Target="https://prozorro.gov.ua/tender/UA-2026-04-10-006512-a" TargetMode="External" Id="rId8" /><Relationship Type="http://schemas.openxmlformats.org/officeDocument/2006/relationships/hyperlink" Target="https://prozorro.gov.ua/tender/UA-2026-04-10-005358-a" TargetMode="External" Id="rId9" /><Relationship Type="http://schemas.openxmlformats.org/officeDocument/2006/relationships/hyperlink" Target="https://prozorro.gov.ua/tender/UA-2026-03-30-001024-a" TargetMode="External" Id="rId10" /><Relationship Type="http://schemas.openxmlformats.org/officeDocument/2006/relationships/hyperlink" Target="https://prozorro.gov.ua/tender/UA-2026-08-18-013057-a" TargetMode="External" Id="rId11" /><Relationship Type="http://schemas.openxmlformats.org/officeDocument/2006/relationships/hyperlink" Target="https://prozorro.gov.ua/tender/UA-2026-05-18-013399-a" TargetMode="External" Id="rId12" /><Relationship Type="http://schemas.openxmlformats.org/officeDocument/2006/relationships/hyperlink" Target="https://prozorro.gov.ua/tender/UA-2026-04-22-001077-a" TargetMode="External" Id="rId13" /><Relationship Type="http://schemas.openxmlformats.org/officeDocument/2006/relationships/hyperlink" Target="https://prozorro.gov.ua/tender/UA-2026-07-09-009318-a" TargetMode="External" Id="rId14" /><Relationship Type="http://schemas.openxmlformats.org/officeDocument/2006/relationships/hyperlink" Target="https://prozorro.gov.ua/tender/UA-2026-05-28-011866-a" TargetMode="External" Id="rId15" /><Relationship Type="http://schemas.openxmlformats.org/officeDocument/2006/relationships/hyperlink" Target="https://prozorro.gov.ua/tender/UA-2026-07-17-008924-a" TargetMode="External" Id="rId16" /><Relationship Type="http://schemas.openxmlformats.org/officeDocument/2006/relationships/hyperlink" Target="https://prozorro.gov.ua/tender/UA-2026-04-10-006512-a" TargetMode="External" Id="rId17" /><Relationship Type="http://schemas.openxmlformats.org/officeDocument/2006/relationships/hyperlink" Target="https://prozorro.gov.ua/tender/UA-2026-04-10-005358-a" TargetMode="External" Id="rId18" /><Relationship Type="http://schemas.openxmlformats.org/officeDocument/2006/relationships/hyperlink" Target="https://prozorro.gov.ua/tender/UA-2026-03-30-001024-a" TargetMode="External" Id="rId19" /><Relationship Type="http://schemas.openxmlformats.org/officeDocument/2006/relationships/drawing" Target="/xl/drawings/drawing16.xml" Id="rId20" /><Relationship Type="http://schemas.openxmlformats.org/officeDocument/2006/relationships/table" Target="/xl/tables/table56.xml" Id="rId21" /><Relationship Type="http://schemas.openxmlformats.org/officeDocument/2006/relationships/table" Target="/xl/tables/table57.xml" Id="rId22" /><Relationship Type="http://schemas.openxmlformats.org/officeDocument/2006/relationships/table" Target="/xl/tables/table58.xml" Id="rId23" /><Relationship Type="http://schemas.openxmlformats.org/officeDocument/2006/relationships/table" Target="/xl/tables/table59.xml" Id="rId24" /><Relationship Type="http://schemas.openxmlformats.org/officeDocument/2006/relationships/table" Target="/xl/tables/table60.xml" Id="rId25" /><Relationship Type="http://schemas.openxmlformats.org/officeDocument/2006/relationships/table" Target="/xl/tables/table61.xml" Id="rId26" /></Relationships>
</file>

<file path=xl/worksheets/_rels/sheet18.xml.rels><Relationships xmlns="http://schemas.openxmlformats.org/package/2006/relationships"><Relationship Type="http://schemas.openxmlformats.org/officeDocument/2006/relationships/hyperlink" Target="https://prozorro.gov.ua/tender/UA-2025-10-17-011018-a" TargetMode="External" Id="rId1" /><Relationship Type="http://schemas.openxmlformats.org/officeDocument/2006/relationships/hyperlink" Target="https://prozorro.gov.ua/tender/UA-2025-11-15-000640-a" TargetMode="External" Id="rId2" /><Relationship Type="http://schemas.openxmlformats.org/officeDocument/2006/relationships/hyperlink" Target="https://prozorro.gov.ua/tender/UA-2025-11-14-015599-a" TargetMode="External" Id="rId3" /><Relationship Type="http://schemas.openxmlformats.org/officeDocument/2006/relationships/hyperlink" Target="https://prozorro.gov.ua/tender/UA-2025-11-12-014817-a" TargetMode="External" Id="rId4" /><Relationship Type="http://schemas.openxmlformats.org/officeDocument/2006/relationships/hyperlink" Target="https://prozorro.gov.ua/tender/UA-2025-09-12-006819-a" TargetMode="External" Id="rId5" /><Relationship Type="http://schemas.openxmlformats.org/officeDocument/2006/relationships/hyperlink" Target="https://prozorro.gov.ua/tender/UA-2025-11-27-013291-a" TargetMode="External" Id="rId6" /><Relationship Type="http://schemas.openxmlformats.org/officeDocument/2006/relationships/hyperlink" Target="https://prozorro.gov.ua/tender/UA-2025-09-26-012440-a" TargetMode="External" Id="rId7" /><Relationship Type="http://schemas.openxmlformats.org/officeDocument/2006/relationships/hyperlink" Target="https://prozorro.gov.ua/tender/UA-2025-11-17-012888-a" TargetMode="External" Id="rId8" /><Relationship Type="http://schemas.openxmlformats.org/officeDocument/2006/relationships/hyperlink" Target="https://prozorro.gov.ua/tender/UA-2025-11-07-009521-a" TargetMode="External" Id="rId9" /><Relationship Type="http://schemas.openxmlformats.org/officeDocument/2006/relationships/hyperlink" Target="https://prozorro.gov.ua/tender/UA-2025-10-14-015829-a" TargetMode="External" Id="rId10" /><Relationship Type="http://schemas.openxmlformats.org/officeDocument/2006/relationships/hyperlink" Target="https://prozorro.gov.ua/tender/UA-2025-11-05-009156-a" TargetMode="External" Id="rId11" /><Relationship Type="http://schemas.openxmlformats.org/officeDocument/2006/relationships/hyperlink" Target="https://prozorro.gov.ua/tender/UA-2025-11-21-016116-a" TargetMode="External" Id="rId12" /><Relationship Type="http://schemas.openxmlformats.org/officeDocument/2006/relationships/hyperlink" Target="https://prozorro.gov.ua/tender/UA-2025-10-07-014418-a" TargetMode="External" Id="rId13" /><Relationship Type="http://schemas.openxmlformats.org/officeDocument/2006/relationships/hyperlink" Target="https://prozorro.gov.ua/tender/UA-2025-11-21-015712-a" TargetMode="External" Id="rId14" /><Relationship Type="http://schemas.openxmlformats.org/officeDocument/2006/relationships/hyperlink" Target="https://prozorro.gov.ua/tender/UA-2025-10-10-006331-a" TargetMode="External" Id="rId15" /><Relationship Type="http://schemas.openxmlformats.org/officeDocument/2006/relationships/hyperlink" Target="https://prozorro.gov.ua/tender/UA-2025-12-19-013313-a" TargetMode="External" Id="rId16" /><Relationship Type="http://schemas.openxmlformats.org/officeDocument/2006/relationships/hyperlink" Target="https://prozorro.gov.ua/tender/UA-2025-09-17-011388-a" TargetMode="External" Id="rId17" /><Relationship Type="http://schemas.openxmlformats.org/officeDocument/2006/relationships/hyperlink" Target="https://prozorro.gov.ua/tender/UA-2025-09-09-013711-a" TargetMode="External" Id="rId18" /><Relationship Type="http://schemas.openxmlformats.org/officeDocument/2006/relationships/hyperlink" Target="https://prozorro.gov.ua/tender/UA-2025-11-05-006520-a" TargetMode="External" Id="rId19" /><Relationship Type="http://schemas.openxmlformats.org/officeDocument/2006/relationships/hyperlink" Target="https://prozorro.gov.ua/tender/UA-2025-11-17-011774-a" TargetMode="External" Id="rId20" /><Relationship Type="http://schemas.openxmlformats.org/officeDocument/2006/relationships/hyperlink" Target="https://prozorro.gov.ua/tender/UA-2025-12-19-013313-a" TargetMode="External" Id="rId21" /><Relationship Type="http://schemas.openxmlformats.org/officeDocument/2006/relationships/hyperlink" Target="https://prozorro.gov.ua/tender/UA-2025-09-17-011388-a" TargetMode="External" Id="rId22" /><Relationship Type="http://schemas.openxmlformats.org/officeDocument/2006/relationships/hyperlink" Target="https://prozorro.gov.ua/tender/UA-2025-09-09-013711-a" TargetMode="External" Id="rId23" /><Relationship Type="http://schemas.openxmlformats.org/officeDocument/2006/relationships/hyperlink" Target="https://prozorro.gov.ua/tender/UA-2025-11-05-006520-a" TargetMode="External" Id="rId24" /><Relationship Type="http://schemas.openxmlformats.org/officeDocument/2006/relationships/hyperlink" Target="https://prozorro.gov.ua/tender/UA-2025-11-17-011774-a" TargetMode="External" Id="rId25" /><Relationship Type="http://schemas.openxmlformats.org/officeDocument/2006/relationships/drawing" Target="/xl/drawings/drawing17.xml" Id="rId26" /><Relationship Type="http://schemas.openxmlformats.org/officeDocument/2006/relationships/table" Target="/xl/tables/table62.xml" Id="rId27" /><Relationship Type="http://schemas.openxmlformats.org/officeDocument/2006/relationships/table" Target="/xl/tables/table63.xml" Id="rId28" /><Relationship Type="http://schemas.openxmlformats.org/officeDocument/2006/relationships/table" Target="/xl/tables/table64.xml" Id="rId29" /><Relationship Type="http://schemas.openxmlformats.org/officeDocument/2006/relationships/table" Target="/xl/tables/table65.xml" Id="rId30" /><Relationship Type="http://schemas.openxmlformats.org/officeDocument/2006/relationships/table" Target="/xl/tables/table66.xml" Id="rId31" /><Relationship Type="http://schemas.openxmlformats.org/officeDocument/2006/relationships/table" Target="/xl/tables/table67.xml" Id="rId32" /></Relationships>
</file>

<file path=xl/worksheets/_rels/sheet19.xml.rels><Relationships xmlns="http://schemas.openxmlformats.org/package/2006/relationships"><Relationship Type="http://schemas.openxmlformats.org/officeDocument/2006/relationships/hyperlink" Target="https://prozorro.gov.ua/tender/UA-2025-11-06-001423-a" TargetMode="External" Id="rId1" /><Relationship Type="http://schemas.openxmlformats.org/officeDocument/2006/relationships/hyperlink" Target="https://prozorro.gov.ua/tender/UA-2025-10-31-010467-a" TargetMode="External" Id="rId2" /><Relationship Type="http://schemas.openxmlformats.org/officeDocument/2006/relationships/hyperlink" Target="https://prozorro.gov.ua/tender/UA-2025-11-06-001423-a" TargetMode="External" Id="rId3" /><Relationship Type="http://schemas.openxmlformats.org/officeDocument/2006/relationships/hyperlink" Target="https://prozorro.gov.ua/tender/UA-2025-10-31-010467-a" TargetMode="External" Id="rId4" /><Relationship Type="http://schemas.openxmlformats.org/officeDocument/2006/relationships/drawing" Target="/xl/drawings/drawing18.xml" Id="rId5" /><Relationship Type="http://schemas.openxmlformats.org/officeDocument/2006/relationships/table" Target="/xl/tables/table68.xml" Id="rId6" /><Relationship Type="http://schemas.openxmlformats.org/officeDocument/2006/relationships/table" Target="/xl/tables/table69.xml" Id="rId7" /><Relationship Type="http://schemas.openxmlformats.org/officeDocument/2006/relationships/table" Target="/xl/tables/table70.xml" Id="rId8" /><Relationship Type="http://schemas.openxmlformats.org/officeDocument/2006/relationships/table" Target="/xl/tables/table71.xml" Id="rId9" /></Relationships>
</file>

<file path=xl/worksheets/_rels/sheet20.xml.rels><Relationships xmlns="http://schemas.openxmlformats.org/package/2006/relationships"><Relationship Type="http://schemas.openxmlformats.org/officeDocument/2006/relationships/hyperlink" Target="https://prozorro.gov.ua/tender/UA-2026-04-10-009243-a" TargetMode="External" Id="rId1" /><Relationship Type="http://schemas.openxmlformats.org/officeDocument/2006/relationships/hyperlink" Target="https://prozorro.gov.ua/tender/UA-2025-11-28-014373-a" TargetMode="External" Id="rId2" /><Relationship Type="http://schemas.openxmlformats.org/officeDocument/2006/relationships/hyperlink" Target="https://prozorro.gov.ua/tender/UA-2026-03-12-003768-a" TargetMode="External" Id="rId3" /><Relationship Type="http://schemas.openxmlformats.org/officeDocument/2006/relationships/hyperlink" Target="https://prozorro.gov.ua/tender/UA-2025-10-24-010296-a" TargetMode="External" Id="rId4" /><Relationship Type="http://schemas.openxmlformats.org/officeDocument/2006/relationships/hyperlink" Target="https://prozorro.gov.ua/tender/UA-2026-08-07-011538-a" TargetMode="External" Id="rId5" /><Relationship Type="http://schemas.openxmlformats.org/officeDocument/2006/relationships/hyperlink" Target="https://prozorro.gov.ua/tender/UA-2026-07-10-004513-a" TargetMode="External" Id="rId6" /><Relationship Type="http://schemas.openxmlformats.org/officeDocument/2006/relationships/hyperlink" Target="https://prozorro.gov.ua/tender/UA-2026-03-04-000126-a" TargetMode="External" Id="rId7" /><Relationship Type="http://schemas.openxmlformats.org/officeDocument/2006/relationships/hyperlink" Target="https://prozorro.gov.ua/tender/UA-2026-05-29-003362-a" TargetMode="External" Id="rId8" /><Relationship Type="http://schemas.openxmlformats.org/officeDocument/2006/relationships/hyperlink" Target="https://prozorro.gov.ua/tender/UA-2026-04-21-012151-a" TargetMode="External" Id="rId9" /><Relationship Type="http://schemas.openxmlformats.org/officeDocument/2006/relationships/hyperlink" Target="https://prozorro.gov.ua/tender/UA-2025-11-17-006240-a" TargetMode="External" Id="rId10" /><Relationship Type="http://schemas.openxmlformats.org/officeDocument/2006/relationships/hyperlink" Target="https://prozorro.gov.ua/tender/UA-2025-09-09-006638-a" TargetMode="External" Id="rId11" /><Relationship Type="http://schemas.openxmlformats.org/officeDocument/2006/relationships/hyperlink" Target="https://prozorro.gov.ua/tender/UA-2026-05-07-002811-a" TargetMode="External" Id="rId12" /><Relationship Type="http://schemas.openxmlformats.org/officeDocument/2006/relationships/hyperlink" Target="https://prozorro.gov.ua/tender/UA-2025-12-10-005117-a" TargetMode="External" Id="rId13" /><Relationship Type="http://schemas.openxmlformats.org/officeDocument/2006/relationships/hyperlink" Target="https://prozorro.gov.ua/tender/UA-2026-04-03-001729-a" TargetMode="External" Id="rId14" /><Relationship Type="http://schemas.openxmlformats.org/officeDocument/2006/relationships/hyperlink" Target="https://prozorro.gov.ua/tender/UA-2026-08-07-011538-a" TargetMode="External" Id="rId15" /><Relationship Type="http://schemas.openxmlformats.org/officeDocument/2006/relationships/hyperlink" Target="https://prozorro.gov.ua/tender/UA-2026-07-10-004513-a" TargetMode="External" Id="rId16" /><Relationship Type="http://schemas.openxmlformats.org/officeDocument/2006/relationships/hyperlink" Target="https://prozorro.gov.ua/tender/UA-2026-03-04-000126-a" TargetMode="External" Id="rId17" /><Relationship Type="http://schemas.openxmlformats.org/officeDocument/2006/relationships/hyperlink" Target="https://prozorro.gov.ua/tender/UA-2026-05-29-003362-a" TargetMode="External" Id="rId18" /><Relationship Type="http://schemas.openxmlformats.org/officeDocument/2006/relationships/hyperlink" Target="https://prozorro.gov.ua/tender/UA-2026-04-21-012151-a" TargetMode="External" Id="rId19" /><Relationship Type="http://schemas.openxmlformats.org/officeDocument/2006/relationships/hyperlink" Target="https://prozorro.gov.ua/tender/UA-2025-11-17-006240-a" TargetMode="External" Id="rId20" /><Relationship Type="http://schemas.openxmlformats.org/officeDocument/2006/relationships/hyperlink" Target="https://prozorro.gov.ua/tender/UA-2025-09-09-006638-a" TargetMode="External" Id="rId21" /><Relationship Type="http://schemas.openxmlformats.org/officeDocument/2006/relationships/hyperlink" Target="https://prozorro.gov.ua/tender/UA-2026-05-07-002811-a" TargetMode="External" Id="rId22" /><Relationship Type="http://schemas.openxmlformats.org/officeDocument/2006/relationships/hyperlink" Target="https://prozorro.gov.ua/tender/UA-2025-12-10-005117-a" TargetMode="External" Id="rId23" /><Relationship Type="http://schemas.openxmlformats.org/officeDocument/2006/relationships/hyperlink" Target="https://prozorro.gov.ua/tender/UA-2026-04-03-001729-a" TargetMode="External" Id="rId24" /><Relationship Type="http://schemas.openxmlformats.org/officeDocument/2006/relationships/drawing" Target="/xl/drawings/drawing19.xml" Id="rId25" /><Relationship Type="http://schemas.openxmlformats.org/officeDocument/2006/relationships/table" Target="/xl/tables/table72.xml" Id="rId26" /><Relationship Type="http://schemas.openxmlformats.org/officeDocument/2006/relationships/table" Target="/xl/tables/table73.xml" Id="rId27" /><Relationship Type="http://schemas.openxmlformats.org/officeDocument/2006/relationships/table" Target="/xl/tables/table74.xml" Id="rId28" /><Relationship Type="http://schemas.openxmlformats.org/officeDocument/2006/relationships/table" Target="/xl/tables/table75.xml" Id="rId29" /><Relationship Type="http://schemas.openxmlformats.org/officeDocument/2006/relationships/table" Target="/xl/tables/table76.xml" Id="rId30" /><Relationship Type="http://schemas.openxmlformats.org/officeDocument/2006/relationships/table" Target="/xl/tables/table77.xml" Id="rId31" /></Relationships>
</file>

<file path=xl/worksheets/_rels/sheet21.xml.rels><Relationships xmlns="http://schemas.openxmlformats.org/package/2006/relationships"><Relationship Type="http://schemas.openxmlformats.org/officeDocument/2006/relationships/hyperlink" Target="https://prozorro.gov.ua/tender/UA-2025-11-17-012681-a" TargetMode="External" Id="rId1" /><Relationship Type="http://schemas.openxmlformats.org/officeDocument/2006/relationships/hyperlink" Target="https://prozorro.gov.ua/tender/UA-2025-10-29-001814-a" TargetMode="External" Id="rId2" /><Relationship Type="http://schemas.openxmlformats.org/officeDocument/2006/relationships/hyperlink" Target="https://prozorro.gov.ua/tender/UA-2026-06-17-012977-a" TargetMode="External" Id="rId3" /><Relationship Type="http://schemas.openxmlformats.org/officeDocument/2006/relationships/hyperlink" Target="https://prozorro.gov.ua/tender/UA-2025-12-05-014534-a" TargetMode="External" Id="rId4" /><Relationship Type="http://schemas.openxmlformats.org/officeDocument/2006/relationships/hyperlink" Target="https://prozorro.gov.ua/tender/UA-2026-02-06-003851-a" TargetMode="External" Id="rId5" /><Relationship Type="http://schemas.openxmlformats.org/officeDocument/2006/relationships/hyperlink" Target="https://prozorro.gov.ua/tender/UA-2025-11-26-017289-a" TargetMode="External" Id="rId6" /><Relationship Type="http://schemas.openxmlformats.org/officeDocument/2006/relationships/hyperlink" Target="https://prozorro.gov.ua/tender/UA-2026-04-17-005811-a" TargetMode="External" Id="rId7" /><Relationship Type="http://schemas.openxmlformats.org/officeDocument/2006/relationships/hyperlink" Target="https://prozorro.gov.ua/tender/UA-2026-01-27-008052-a" TargetMode="External" Id="rId8" /><Relationship Type="http://schemas.openxmlformats.org/officeDocument/2006/relationships/hyperlink" Target="https://prozorro.gov.ua/tender/UA-2026-04-06-002585-a" TargetMode="External" Id="rId9" /><Relationship Type="http://schemas.openxmlformats.org/officeDocument/2006/relationships/hyperlink" Target="https://prozorro.gov.ua/tender/UA-2026-08-19-010837-a" TargetMode="External" Id="rId10" /><Relationship Type="http://schemas.openxmlformats.org/officeDocument/2006/relationships/hyperlink" Target="https://prozorro.gov.ua/tender/UA-2026-04-29-011229-a" TargetMode="External" Id="rId11" /><Relationship Type="http://schemas.openxmlformats.org/officeDocument/2006/relationships/hyperlink" Target="https://prozorro.gov.ua/tender/UA-2026-05-18-012093-a" TargetMode="External" Id="rId12" /><Relationship Type="http://schemas.openxmlformats.org/officeDocument/2006/relationships/hyperlink" Target="https://prozorro.gov.ua/tender/UA-2026-06-11-011181-a" TargetMode="External" Id="rId13" /><Relationship Type="http://schemas.openxmlformats.org/officeDocument/2006/relationships/hyperlink" Target="https://prozorro.gov.ua/tender/UA-2025-09-16-014691-a" TargetMode="External" Id="rId14" /><Relationship Type="http://schemas.openxmlformats.org/officeDocument/2006/relationships/hyperlink" Target="https://prozorro.gov.ua/tender/UA-2025-10-10-009139-a" TargetMode="External" Id="rId15" /><Relationship Type="http://schemas.openxmlformats.org/officeDocument/2006/relationships/hyperlink" Target="https://prozorro.gov.ua/tender/UA-2026-06-12-000135-a" TargetMode="External" Id="rId16" /><Relationship Type="http://schemas.openxmlformats.org/officeDocument/2006/relationships/hyperlink" Target="https://prozorro.gov.ua/tender/UA-2026-08-19-008008-a" TargetMode="External" Id="rId17" /><Relationship Type="http://schemas.openxmlformats.org/officeDocument/2006/relationships/hyperlink" Target="https://prozorro.gov.ua/tender/UA-2026-05-18-012091-a" TargetMode="External" Id="rId18" /><Relationship Type="http://schemas.openxmlformats.org/officeDocument/2006/relationships/hyperlink" Target="https://prozorro.gov.ua/tender/UA-2026-01-27-018088-a" TargetMode="External" Id="rId19" /><Relationship Type="http://schemas.openxmlformats.org/officeDocument/2006/relationships/hyperlink" Target="https://prozorro.gov.ua/tender/UA-2026-04-06-009248-a" TargetMode="External" Id="rId20" /><Relationship Type="http://schemas.openxmlformats.org/officeDocument/2006/relationships/hyperlink" Target="https://prozorro.gov.ua/tender/UA-2025-11-18-010645-a" TargetMode="External" Id="rId21" /><Relationship Type="http://schemas.openxmlformats.org/officeDocument/2006/relationships/hyperlink" Target="https://prozorro.gov.ua/tender/UA-2025-11-15-000640-a" TargetMode="External" Id="rId22" /><Relationship Type="http://schemas.openxmlformats.org/officeDocument/2006/relationships/hyperlink" Target="https://prozorro.gov.ua/tender/UA-2026-04-30-009739-a" TargetMode="External" Id="rId23" /><Relationship Type="http://schemas.openxmlformats.org/officeDocument/2006/relationships/hyperlink" Target="https://prozorro.gov.ua/tender/UA-2025-12-04-007447-a" TargetMode="External" Id="rId24" /><Relationship Type="http://schemas.openxmlformats.org/officeDocument/2006/relationships/hyperlink" Target="https://prozorro.gov.ua/tender/UA-2025-12-11-002243-a" TargetMode="External" Id="rId25" /><Relationship Type="http://schemas.openxmlformats.org/officeDocument/2006/relationships/hyperlink" Target="https://prozorro.gov.ua/tender/UA-2025-12-12-007408-a" TargetMode="External" Id="rId26" /><Relationship Type="http://schemas.openxmlformats.org/officeDocument/2006/relationships/hyperlink" Target="https://prozorro.gov.ua/tender/UA-2025-10-27-006892-a" TargetMode="External" Id="rId27" /><Relationship Type="http://schemas.openxmlformats.org/officeDocument/2006/relationships/hyperlink" Target="https://prozorro.gov.ua/tender/UA-2025-10-27-014765-a" TargetMode="External" Id="rId28" /><Relationship Type="http://schemas.openxmlformats.org/officeDocument/2006/relationships/hyperlink" Target="https://prozorro.gov.ua/tender/UA-2025-11-27-015828-a" TargetMode="External" Id="rId29" /><Relationship Type="http://schemas.openxmlformats.org/officeDocument/2006/relationships/hyperlink" Target="https://prozorro.gov.ua/tender/UA-2025-09-18-012137-a" TargetMode="External" Id="rId30" /><Relationship Type="http://schemas.openxmlformats.org/officeDocument/2006/relationships/hyperlink" Target="https://prozorro.gov.ua/tender/UA-2025-12-15-022330-a" TargetMode="External" Id="rId31" /><Relationship Type="http://schemas.openxmlformats.org/officeDocument/2006/relationships/hyperlink" Target="https://prozorro.gov.ua/tender/UA-2026-08-18-005693-a" TargetMode="External" Id="rId32" /><Relationship Type="http://schemas.openxmlformats.org/officeDocument/2006/relationships/hyperlink" Target="https://prozorro.gov.ua/tender/UA-2025-12-23-020817-a" TargetMode="External" Id="rId33" /><Relationship Type="http://schemas.openxmlformats.org/officeDocument/2006/relationships/hyperlink" Target="https://prozorro.gov.ua/tender/UA-2025-11-18-010645-a" TargetMode="External" Id="rId34" /><Relationship Type="http://schemas.openxmlformats.org/officeDocument/2006/relationships/hyperlink" Target="https://prozorro.gov.ua/tender/UA-2025-11-15-000640-a" TargetMode="External" Id="rId35" /><Relationship Type="http://schemas.openxmlformats.org/officeDocument/2006/relationships/hyperlink" Target="https://prozorro.gov.ua/tender/UA-2026-04-30-009739-a" TargetMode="External" Id="rId36" /><Relationship Type="http://schemas.openxmlformats.org/officeDocument/2006/relationships/hyperlink" Target="https://prozorro.gov.ua/tender/UA-2025-12-04-007447-a" TargetMode="External" Id="rId37" /><Relationship Type="http://schemas.openxmlformats.org/officeDocument/2006/relationships/hyperlink" Target="https://prozorro.gov.ua/tender/UA-2025-12-11-002243-a" TargetMode="External" Id="rId38" /><Relationship Type="http://schemas.openxmlformats.org/officeDocument/2006/relationships/hyperlink" Target="https://prozorro.gov.ua/tender/UA-2025-12-12-007408-a" TargetMode="External" Id="rId39" /><Relationship Type="http://schemas.openxmlformats.org/officeDocument/2006/relationships/hyperlink" Target="https://prozorro.gov.ua/tender/UA-2025-10-27-006892-a" TargetMode="External" Id="rId40" /><Relationship Type="http://schemas.openxmlformats.org/officeDocument/2006/relationships/hyperlink" Target="https://prozorro.gov.ua/tender/UA-2025-10-27-014765-a" TargetMode="External" Id="rId41" /><Relationship Type="http://schemas.openxmlformats.org/officeDocument/2006/relationships/hyperlink" Target="https://prozorro.gov.ua/tender/UA-2025-11-27-015828-a" TargetMode="External" Id="rId42" /><Relationship Type="http://schemas.openxmlformats.org/officeDocument/2006/relationships/hyperlink" Target="https://prozorro.gov.ua/tender/UA-2025-09-18-012137-a" TargetMode="External" Id="rId43" /><Relationship Type="http://schemas.openxmlformats.org/officeDocument/2006/relationships/hyperlink" Target="https://prozorro.gov.ua/tender/UA-2025-12-15-022330-a" TargetMode="External" Id="rId44" /><Relationship Type="http://schemas.openxmlformats.org/officeDocument/2006/relationships/hyperlink" Target="https://prozorro.gov.ua/tender/UA-2026-08-18-005693-a" TargetMode="External" Id="rId45" /><Relationship Type="http://schemas.openxmlformats.org/officeDocument/2006/relationships/hyperlink" Target="https://prozorro.gov.ua/tender/UA-2025-12-23-020817-a" TargetMode="External" Id="rId46" /><Relationship Type="http://schemas.openxmlformats.org/officeDocument/2006/relationships/drawing" Target="/xl/drawings/drawing20.xml" Id="rId47" /><Relationship Type="http://schemas.openxmlformats.org/officeDocument/2006/relationships/table" Target="/xl/tables/table78.xml" Id="rId48" /><Relationship Type="http://schemas.openxmlformats.org/officeDocument/2006/relationships/table" Target="/xl/tables/table79.xml" Id="rId49" /><Relationship Type="http://schemas.openxmlformats.org/officeDocument/2006/relationships/table" Target="/xl/tables/table80.xml" Id="rId50" /><Relationship Type="http://schemas.openxmlformats.org/officeDocument/2006/relationships/table" Target="/xl/tables/table81.xml" Id="rId51" /><Relationship Type="http://schemas.openxmlformats.org/officeDocument/2006/relationships/table" Target="/xl/tables/table82.xml" Id="rId52" /><Relationship Type="http://schemas.openxmlformats.org/officeDocument/2006/relationships/table" Target="/xl/tables/table83.xml" Id="rId53" /></Relationships>
</file>

<file path=xl/worksheets/_rels/sheet22.xml.rels><Relationships xmlns="http://schemas.openxmlformats.org/package/2006/relationships"><Relationship Type="http://schemas.openxmlformats.org/officeDocument/2006/relationships/hyperlink" Target="https://prozorro.gov.ua/tender/UA-2026-07-21-008617-a" TargetMode="External" Id="rId1" /><Relationship Type="http://schemas.openxmlformats.org/officeDocument/2006/relationships/hyperlink" Target="https://prozorro.gov.ua/tender/UA-2026-07-24-007514-a" TargetMode="External" Id="rId2" /><Relationship Type="http://schemas.openxmlformats.org/officeDocument/2006/relationships/hyperlink" Target="https://prozorro.gov.ua/tender/UA-2026-07-21-008617-a" TargetMode="External" Id="rId3" /><Relationship Type="http://schemas.openxmlformats.org/officeDocument/2006/relationships/hyperlink" Target="https://prozorro.gov.ua/tender/UA-2026-07-24-007514-a" TargetMode="External" Id="rId4" /><Relationship Type="http://schemas.openxmlformats.org/officeDocument/2006/relationships/drawing" Target="/xl/drawings/drawing21.xml" Id="rId5" /><Relationship Type="http://schemas.openxmlformats.org/officeDocument/2006/relationships/table" Target="/xl/tables/table84.xml" Id="rId6" /><Relationship Type="http://schemas.openxmlformats.org/officeDocument/2006/relationships/table" Target="/xl/tables/table85.xml" Id="rId7" /><Relationship Type="http://schemas.openxmlformats.org/officeDocument/2006/relationships/table" Target="/xl/tables/table86.xml" Id="rId8" /><Relationship Type="http://schemas.openxmlformats.org/officeDocument/2006/relationships/table" Target="/xl/tables/table87.xml" Id="rId9" /></Relationships>
</file>

<file path=xl/worksheets/_rels/sheet23.xml.rels><Relationships xmlns="http://schemas.openxmlformats.org/package/2006/relationships"><Relationship Type="http://schemas.openxmlformats.org/officeDocument/2006/relationships/hyperlink" Target="https://prozorro.gov.ua/tender/UA-2025-11-26-016214-a" TargetMode="External" Id="rId1" /><Relationship Type="http://schemas.openxmlformats.org/officeDocument/2006/relationships/hyperlink" Target="https://prozorro.gov.ua/tender/UA-2026-03-17-006352-a" TargetMode="External" Id="rId2" /><Relationship Type="http://schemas.openxmlformats.org/officeDocument/2006/relationships/hyperlink" Target="https://prozorro.gov.ua/tender/UA-2025-10-27-009578-a" TargetMode="External" Id="rId3" /><Relationship Type="http://schemas.openxmlformats.org/officeDocument/2006/relationships/hyperlink" Target="https://prozorro.gov.ua/tender/UA-2025-11-14-015599-a" TargetMode="External" Id="rId4" /><Relationship Type="http://schemas.openxmlformats.org/officeDocument/2006/relationships/hyperlink" Target="https://prozorro.gov.ua/tender/UA-2026-01-22-017729-a" TargetMode="External" Id="rId5" /><Relationship Type="http://schemas.openxmlformats.org/officeDocument/2006/relationships/hyperlink" Target="https://prozorro.gov.ua/tender/UA-2025-12-12-019206-a" TargetMode="External" Id="rId6" /><Relationship Type="http://schemas.openxmlformats.org/officeDocument/2006/relationships/hyperlink" Target="https://prozorro.gov.ua/tender/UA-2026-02-10-015942-a" TargetMode="External" Id="rId7" /><Relationship Type="http://schemas.openxmlformats.org/officeDocument/2006/relationships/hyperlink" Target="https://prozorro.gov.ua/tender/UA-2026-03-27-006214-a" TargetMode="External" Id="rId8" /><Relationship Type="http://schemas.openxmlformats.org/officeDocument/2006/relationships/hyperlink" Target="https://prozorro.gov.ua/tender/UA-2025-12-11-021045-a" TargetMode="External" Id="rId9" /><Relationship Type="http://schemas.openxmlformats.org/officeDocument/2006/relationships/hyperlink" Target="https://prozorro.gov.ua/tender/UA-2025-10-21-015330-a" TargetMode="External" Id="rId10" /><Relationship Type="http://schemas.openxmlformats.org/officeDocument/2006/relationships/hyperlink" Target="https://prozorro.gov.ua/tender/UA-2025-12-11-003496-a" TargetMode="External" Id="rId11" /><Relationship Type="http://schemas.openxmlformats.org/officeDocument/2006/relationships/hyperlink" Target="https://prozorro.gov.ua/tender/UA-2026-03-10-011453-a" TargetMode="External" Id="rId12" /><Relationship Type="http://schemas.openxmlformats.org/officeDocument/2006/relationships/hyperlink" Target="https://prozorro.gov.ua/tender/UA-2026-07-14-010486-a" TargetMode="External" Id="rId13" /><Relationship Type="http://schemas.openxmlformats.org/officeDocument/2006/relationships/hyperlink" Target="https://prozorro.gov.ua/tender/UA-2025-10-27-009578-a" TargetMode="External" Id="rId14" /><Relationship Type="http://schemas.openxmlformats.org/officeDocument/2006/relationships/hyperlink" Target="https://prozorro.gov.ua/tender/UA-2025-11-14-015599-a" TargetMode="External" Id="rId15" /><Relationship Type="http://schemas.openxmlformats.org/officeDocument/2006/relationships/hyperlink" Target="https://prozorro.gov.ua/tender/UA-2026-01-22-017729-a" TargetMode="External" Id="rId16" /><Relationship Type="http://schemas.openxmlformats.org/officeDocument/2006/relationships/hyperlink" Target="https://prozorro.gov.ua/tender/UA-2025-12-12-019206-a" TargetMode="External" Id="rId17" /><Relationship Type="http://schemas.openxmlformats.org/officeDocument/2006/relationships/hyperlink" Target="https://prozorro.gov.ua/tender/UA-2026-02-10-015942-a" TargetMode="External" Id="rId18" /><Relationship Type="http://schemas.openxmlformats.org/officeDocument/2006/relationships/hyperlink" Target="https://prozorro.gov.ua/tender/UA-2026-03-27-006214-a" TargetMode="External" Id="rId19" /><Relationship Type="http://schemas.openxmlformats.org/officeDocument/2006/relationships/hyperlink" Target="https://prozorro.gov.ua/tender/UA-2025-12-11-021045-a" TargetMode="External" Id="rId20" /><Relationship Type="http://schemas.openxmlformats.org/officeDocument/2006/relationships/hyperlink" Target="https://prozorro.gov.ua/tender/UA-2025-10-21-015330-a" TargetMode="External" Id="rId21" /><Relationship Type="http://schemas.openxmlformats.org/officeDocument/2006/relationships/hyperlink" Target="https://prozorro.gov.ua/tender/UA-2025-12-11-003496-a" TargetMode="External" Id="rId22" /><Relationship Type="http://schemas.openxmlformats.org/officeDocument/2006/relationships/hyperlink" Target="https://prozorro.gov.ua/tender/UA-2026-03-10-011453-a" TargetMode="External" Id="rId23" /><Relationship Type="http://schemas.openxmlformats.org/officeDocument/2006/relationships/hyperlink" Target="https://prozorro.gov.ua/tender/UA-2026-07-14-010486-a" TargetMode="External" Id="rId24" /><Relationship Type="http://schemas.openxmlformats.org/officeDocument/2006/relationships/drawing" Target="/xl/drawings/drawing22.xml" Id="rId25" /><Relationship Type="http://schemas.openxmlformats.org/officeDocument/2006/relationships/table" Target="/xl/tables/table88.xml" Id="rId26" /><Relationship Type="http://schemas.openxmlformats.org/officeDocument/2006/relationships/table" Target="/xl/tables/table89.xml" Id="rId27" /><Relationship Type="http://schemas.openxmlformats.org/officeDocument/2006/relationships/table" Target="/xl/tables/table90.xml" Id="rId28" /><Relationship Type="http://schemas.openxmlformats.org/officeDocument/2006/relationships/table" Target="/xl/tables/table91.xml" Id="rId29" /><Relationship Type="http://schemas.openxmlformats.org/officeDocument/2006/relationships/table" Target="/xl/tables/table92.xml" Id="rId30" /><Relationship Type="http://schemas.openxmlformats.org/officeDocument/2006/relationships/table" Target="/xl/tables/table93.xml" Id="rId31" /></Relationships>
</file>

<file path=xl/worksheets/_rels/sheet24.xml.rels><Relationships xmlns="http://schemas.openxmlformats.org/package/2006/relationships"><Relationship Type="http://schemas.openxmlformats.org/officeDocument/2006/relationships/hyperlink" Target="https://prozorro.gov.ua/tender/UA-2025-09-18-011701-a" TargetMode="External" Id="rId1" /><Relationship Type="http://schemas.openxmlformats.org/officeDocument/2006/relationships/hyperlink" Target="https://prozorro.gov.ua/tender/UA-2026-08-11-011984-a" TargetMode="External" Id="rId2" /><Relationship Type="http://schemas.openxmlformats.org/officeDocument/2006/relationships/hyperlink" Target="https://prozorro.gov.ua/tender/UA-2026-08-25-002821-a" TargetMode="External" Id="rId3" /><Relationship Type="http://schemas.openxmlformats.org/officeDocument/2006/relationships/hyperlink" Target="https://prozorro.gov.ua/tender/UA-2026-01-28-014638-a" TargetMode="External" Id="rId4" /><Relationship Type="http://schemas.openxmlformats.org/officeDocument/2006/relationships/hyperlink" Target="https://prozorro.gov.ua/tender/UA-2026-06-10-010026-a" TargetMode="External" Id="rId5" /><Relationship Type="http://schemas.openxmlformats.org/officeDocument/2006/relationships/hyperlink" Target="https://prozorro.gov.ua/tender/UA-2026-04-12-000056-a" TargetMode="External" Id="rId6" /><Relationship Type="http://schemas.openxmlformats.org/officeDocument/2006/relationships/hyperlink" Target="https://prozorro.gov.ua/tender/UA-2026-07-08-009873-a" TargetMode="External" Id="rId7" /><Relationship Type="http://schemas.openxmlformats.org/officeDocument/2006/relationships/hyperlink" Target="https://prozorro.gov.ua/tender/UA-2025-09-18-011701-a" TargetMode="External" Id="rId8" /><Relationship Type="http://schemas.openxmlformats.org/officeDocument/2006/relationships/hyperlink" Target="https://prozorro.gov.ua/tender/UA-2026-08-25-002821-a" TargetMode="External" Id="rId9" /><Relationship Type="http://schemas.openxmlformats.org/officeDocument/2006/relationships/hyperlink" Target="https://prozorro.gov.ua/tender/UA-2026-01-28-014638-a" TargetMode="External" Id="rId10" /><Relationship Type="http://schemas.openxmlformats.org/officeDocument/2006/relationships/hyperlink" Target="https://prozorro.gov.ua/tender/UA-2026-08-11-011984-a" TargetMode="External" Id="rId11" /><Relationship Type="http://schemas.openxmlformats.org/officeDocument/2006/relationships/hyperlink" Target="https://prozorro.gov.ua/tender/UA-2026-06-10-010026-a" TargetMode="External" Id="rId12" /><Relationship Type="http://schemas.openxmlformats.org/officeDocument/2006/relationships/hyperlink" Target="https://prozorro.gov.ua/tender/UA-2026-04-12-000056-a" TargetMode="External" Id="rId13" /><Relationship Type="http://schemas.openxmlformats.org/officeDocument/2006/relationships/hyperlink" Target="https://prozorro.gov.ua/tender/UA-2026-07-08-009873-a" TargetMode="External" Id="rId14" /><Relationship Type="http://schemas.openxmlformats.org/officeDocument/2006/relationships/drawing" Target="/xl/drawings/drawing23.xml" Id="rId15" /><Relationship Type="http://schemas.openxmlformats.org/officeDocument/2006/relationships/table" Target="/xl/tables/table94.xml" Id="rId16" /><Relationship Type="http://schemas.openxmlformats.org/officeDocument/2006/relationships/table" Target="/xl/tables/table95.xml" Id="rId17" /><Relationship Type="http://schemas.openxmlformats.org/officeDocument/2006/relationships/table" Target="/xl/tables/table96.xml" Id="rId18" /><Relationship Type="http://schemas.openxmlformats.org/officeDocument/2006/relationships/table" Target="/xl/tables/table97.xml" Id="rId19" /><Relationship Type="http://schemas.openxmlformats.org/officeDocument/2006/relationships/table" Target="/xl/tables/table98.xml" Id="rId20" /></Relationships>
</file>

<file path=xl/worksheets/_rels/sheet25.xml.rels><Relationships xmlns="http://schemas.openxmlformats.org/package/2006/relationships"><Relationship Type="http://schemas.openxmlformats.org/officeDocument/2006/relationships/hyperlink" Target="https://prozorro.gov.ua/tender/UA-2025-09-16-005057-a" TargetMode="External" Id="rId1" /><Relationship Type="http://schemas.openxmlformats.org/officeDocument/2006/relationships/hyperlink" Target="https://prozorro.gov.ua/tender/UA-2025-11-15-000640-a" TargetMode="External" Id="rId2" /><Relationship Type="http://schemas.openxmlformats.org/officeDocument/2006/relationships/hyperlink" Target="https://prozorro.gov.ua/tender/UA-2025-09-26-009240-a" TargetMode="External" Id="rId3" /><Relationship Type="http://schemas.openxmlformats.org/officeDocument/2006/relationships/hyperlink" Target="https://prozorro.gov.ua/tender/UA-2025-11-27-013291-a" TargetMode="External" Id="rId4" /><Relationship Type="http://schemas.openxmlformats.org/officeDocument/2006/relationships/hyperlink" Target="https://prozorro.gov.ua/tender/UA-2026-04-21-012151-a" TargetMode="External" Id="rId5" /><Relationship Type="http://schemas.openxmlformats.org/officeDocument/2006/relationships/hyperlink" Target="https://prozorro.gov.ua/tender/UA-2026-01-21-014002-a" TargetMode="External" Id="rId6" /><Relationship Type="http://schemas.openxmlformats.org/officeDocument/2006/relationships/hyperlink" Target="https://prozorro.gov.ua/tender/UA-2025-09-16-008784-a" TargetMode="External" Id="rId7" /><Relationship Type="http://schemas.openxmlformats.org/officeDocument/2006/relationships/hyperlink" Target="https://prozorro.gov.ua/tender/UA-2025-09-02-009042-a" TargetMode="External" Id="rId8" /><Relationship Type="http://schemas.openxmlformats.org/officeDocument/2006/relationships/hyperlink" Target="https://prozorro.gov.ua/tender/UA-2026-04-17-005811-a" TargetMode="External" Id="rId9" /><Relationship Type="http://schemas.openxmlformats.org/officeDocument/2006/relationships/hyperlink" Target="https://prozorro.gov.ua/tender/UA-2025-10-27-014765-a" TargetMode="External" Id="rId10" /><Relationship Type="http://schemas.openxmlformats.org/officeDocument/2006/relationships/hyperlink" Target="https://prozorro.gov.ua/tender/UA-2026-03-16-002706-a" TargetMode="External" Id="rId11" /><Relationship Type="http://schemas.openxmlformats.org/officeDocument/2006/relationships/hyperlink" Target="https://prozorro.gov.ua/tender/UA-2025-10-20-016348-a" TargetMode="External" Id="rId12" /><Relationship Type="http://schemas.openxmlformats.org/officeDocument/2006/relationships/hyperlink" Target="https://prozorro.gov.ua/tender/UA-2026-02-05-014724-a" TargetMode="External" Id="rId13" /><Relationship Type="http://schemas.openxmlformats.org/officeDocument/2006/relationships/hyperlink" Target="https://prozorro.gov.ua/tender/UA-2026-01-26-001069-a" TargetMode="External" Id="rId14" /><Relationship Type="http://schemas.openxmlformats.org/officeDocument/2006/relationships/hyperlink" Target="https://prozorro.gov.ua/tender/UA-2026-01-26-017005-a" TargetMode="External" Id="rId15" /><Relationship Type="http://schemas.openxmlformats.org/officeDocument/2006/relationships/hyperlink" Target="https://prozorro.gov.ua/tender/UA-2025-11-28-014373-a" TargetMode="External" Id="rId16" /><Relationship Type="http://schemas.openxmlformats.org/officeDocument/2006/relationships/hyperlink" Target="https://prozorro.gov.ua/tender/UA-2025-09-30-005210-a" TargetMode="External" Id="rId17" /><Relationship Type="http://schemas.openxmlformats.org/officeDocument/2006/relationships/hyperlink" Target="https://prozorro.gov.ua/tender/UA-2025-09-30-000353-a" TargetMode="External" Id="rId18" /><Relationship Type="http://schemas.openxmlformats.org/officeDocument/2006/relationships/hyperlink" Target="https://prozorro.gov.ua/tender/UA-2025-09-17-012561-a" TargetMode="External" Id="rId19" /><Relationship Type="http://schemas.openxmlformats.org/officeDocument/2006/relationships/hyperlink" Target="https://prozorro.gov.ua/tender/UA-2026-03-16-004487-a" TargetMode="External" Id="rId20" /><Relationship Type="http://schemas.openxmlformats.org/officeDocument/2006/relationships/hyperlink" Target="https://prozorro.gov.ua/tender/UA-2025-12-02-019436-a" TargetMode="External" Id="rId21" /><Relationship Type="http://schemas.openxmlformats.org/officeDocument/2006/relationships/hyperlink" Target="https://prozorro.gov.ua/tender/UA-2025-09-25-014419-a" TargetMode="External" Id="rId22" /><Relationship Type="http://schemas.openxmlformats.org/officeDocument/2006/relationships/hyperlink" Target="https://prozorro.gov.ua/tender/UA-2026-04-21-000257-a" TargetMode="External" Id="rId23" /><Relationship Type="http://schemas.openxmlformats.org/officeDocument/2006/relationships/hyperlink" Target="https://prozorro.gov.ua/tender/UA-2025-10-20-016348-a" TargetMode="External" Id="rId24" /><Relationship Type="http://schemas.openxmlformats.org/officeDocument/2006/relationships/hyperlink" Target="https://prozorro.gov.ua/tender/UA-2026-02-05-014724-a" TargetMode="External" Id="rId25" /><Relationship Type="http://schemas.openxmlformats.org/officeDocument/2006/relationships/hyperlink" Target="https://prozorro.gov.ua/tender/UA-2026-01-26-001069-a" TargetMode="External" Id="rId26" /><Relationship Type="http://schemas.openxmlformats.org/officeDocument/2006/relationships/hyperlink" Target="https://prozorro.gov.ua/tender/UA-2026-01-26-017005-a" TargetMode="External" Id="rId27" /><Relationship Type="http://schemas.openxmlformats.org/officeDocument/2006/relationships/hyperlink" Target="https://prozorro.gov.ua/tender/UA-2025-11-28-014373-a" TargetMode="External" Id="rId28" /><Relationship Type="http://schemas.openxmlformats.org/officeDocument/2006/relationships/hyperlink" Target="https://prozorro.gov.ua/tender/UA-2025-09-30-005210-a" TargetMode="External" Id="rId29" /><Relationship Type="http://schemas.openxmlformats.org/officeDocument/2006/relationships/hyperlink" Target="https://prozorro.gov.ua/tender/UA-2025-09-30-000353-a" TargetMode="External" Id="rId30" /><Relationship Type="http://schemas.openxmlformats.org/officeDocument/2006/relationships/hyperlink" Target="https://prozorro.gov.ua/tender/UA-2025-09-17-012561-a" TargetMode="External" Id="rId31" /><Relationship Type="http://schemas.openxmlformats.org/officeDocument/2006/relationships/hyperlink" Target="https://prozorro.gov.ua/tender/UA-2026-03-16-004487-a" TargetMode="External" Id="rId32" /><Relationship Type="http://schemas.openxmlformats.org/officeDocument/2006/relationships/hyperlink" Target="https://prozorro.gov.ua/tender/UA-2025-12-02-019436-a" TargetMode="External" Id="rId33" /><Relationship Type="http://schemas.openxmlformats.org/officeDocument/2006/relationships/hyperlink" Target="https://prozorro.gov.ua/tender/UA-2025-09-25-014419-a" TargetMode="External" Id="rId34" /><Relationship Type="http://schemas.openxmlformats.org/officeDocument/2006/relationships/hyperlink" Target="https://prozorro.gov.ua/tender/UA-2026-04-21-000257-a" TargetMode="External" Id="rId35" /><Relationship Type="http://schemas.openxmlformats.org/officeDocument/2006/relationships/drawing" Target="/xl/drawings/drawing24.xml" Id="rId36" /><Relationship Type="http://schemas.openxmlformats.org/officeDocument/2006/relationships/table" Target="/xl/tables/table99.xml" Id="rId37" /><Relationship Type="http://schemas.openxmlformats.org/officeDocument/2006/relationships/table" Target="/xl/tables/table100.xml" Id="rId38" /><Relationship Type="http://schemas.openxmlformats.org/officeDocument/2006/relationships/table" Target="/xl/tables/table101.xml" Id="rId39" /><Relationship Type="http://schemas.openxmlformats.org/officeDocument/2006/relationships/table" Target="/xl/tables/table102.xml" Id="rId40" /><Relationship Type="http://schemas.openxmlformats.org/officeDocument/2006/relationships/table" Target="/xl/tables/table103.xml" Id="rId41" /><Relationship Type="http://schemas.openxmlformats.org/officeDocument/2006/relationships/table" Target="/xl/tables/table104.xml" Id="rId42" /></Relationships>
</file>

<file path=xl/worksheets/_rels/sheet26.xml.rels><Relationships xmlns="http://schemas.openxmlformats.org/package/2006/relationships"><Relationship Type="http://schemas.openxmlformats.org/officeDocument/2006/relationships/hyperlink" Target="https://prozorro.gov.ua/tender/UA-2025-10-09-011796-a" TargetMode="External" Id="rId1" /><Relationship Type="http://schemas.openxmlformats.org/officeDocument/2006/relationships/hyperlink" Target="https://prozorro.gov.ua/tender/UA-2025-12-05-015557-a" TargetMode="External" Id="rId2" /><Relationship Type="http://schemas.openxmlformats.org/officeDocument/2006/relationships/hyperlink" Target="https://prozorro.gov.ua/tender/UA-2025-11-17-014020-a" TargetMode="External" Id="rId3" /><Relationship Type="http://schemas.openxmlformats.org/officeDocument/2006/relationships/hyperlink" Target="https://prozorro.gov.ua/tender/UA-2025-11-18-015919-a" TargetMode="External" Id="rId4" /><Relationship Type="http://schemas.openxmlformats.org/officeDocument/2006/relationships/hyperlink" Target="https://prozorro.gov.ua/tender/UA-2025-11-17-012888-a" TargetMode="External" Id="rId5" /><Relationship Type="http://schemas.openxmlformats.org/officeDocument/2006/relationships/hyperlink" Target="https://prozorro.gov.ua/tender/UA-2026-06-08-004200-a" TargetMode="External" Id="rId6" /><Relationship Type="http://schemas.openxmlformats.org/officeDocument/2006/relationships/hyperlink" Target="https://prozorro.gov.ua/tender/UA-2026-06-25-005256-a" TargetMode="External" Id="rId7" /><Relationship Type="http://schemas.openxmlformats.org/officeDocument/2006/relationships/hyperlink" Target="https://prozorro.gov.ua/tender/UA-2026-08-09-000561-a" TargetMode="External" Id="rId8" /><Relationship Type="http://schemas.openxmlformats.org/officeDocument/2006/relationships/hyperlink" Target="https://prozorro.gov.ua/tender/UA-2026-08-03-002229-a" TargetMode="External" Id="rId9" /><Relationship Type="http://schemas.openxmlformats.org/officeDocument/2006/relationships/hyperlink" Target="https://prozorro.gov.ua/tender/UA-2026-07-08-009506-a" TargetMode="External" Id="rId10" /><Relationship Type="http://schemas.openxmlformats.org/officeDocument/2006/relationships/hyperlink" Target="https://prozorro.gov.ua/tender/UA-2026-06-18-009978-a" TargetMode="External" Id="rId11" /><Relationship Type="http://schemas.openxmlformats.org/officeDocument/2006/relationships/hyperlink" Target="https://prozorro.gov.ua/tender/UA-2025-10-28-007426-a" TargetMode="External" Id="rId12" /><Relationship Type="http://schemas.openxmlformats.org/officeDocument/2006/relationships/hyperlink" Target="https://prozorro.gov.ua/tender/UA-2025-11-15-000404-a" TargetMode="External" Id="rId13" /><Relationship Type="http://schemas.openxmlformats.org/officeDocument/2006/relationships/hyperlink" Target="https://prozorro.gov.ua/tender/UA-2026-06-16-013148-a" TargetMode="External" Id="rId14" /><Relationship Type="http://schemas.openxmlformats.org/officeDocument/2006/relationships/hyperlink" Target="https://prozorro.gov.ua/tender/UA-2026-05-08-003021-a" TargetMode="External" Id="rId15" /><Relationship Type="http://schemas.openxmlformats.org/officeDocument/2006/relationships/hyperlink" Target="https://prozorro.gov.ua/tender/UA-2026-08-29-000236-a" TargetMode="External" Id="rId16" /><Relationship Type="http://schemas.openxmlformats.org/officeDocument/2006/relationships/hyperlink" Target="https://prozorro.gov.ua/tender/UA-2026-05-18-008410-a" TargetMode="External" Id="rId17" /><Relationship Type="http://schemas.openxmlformats.org/officeDocument/2006/relationships/hyperlink" Target="https://prozorro.gov.ua/tender/UA-2025-09-04-010981-a" TargetMode="External" Id="rId18" /><Relationship Type="http://schemas.openxmlformats.org/officeDocument/2006/relationships/hyperlink" Target="https://prozorro.gov.ua/tender/UA-2026-07-21-001040-a" TargetMode="External" Id="rId19" /><Relationship Type="http://schemas.openxmlformats.org/officeDocument/2006/relationships/hyperlink" Target="https://prozorro.gov.ua/tender/UA-2026-05-07-003993-a" TargetMode="External" Id="rId20" /><Relationship Type="http://schemas.openxmlformats.org/officeDocument/2006/relationships/hyperlink" Target="https://prozorro.gov.ua/tender/UA-2026-03-12-004612-a" TargetMode="External" Id="rId21" /><Relationship Type="http://schemas.openxmlformats.org/officeDocument/2006/relationships/hyperlink" Target="https://prozorro.gov.ua/tender/UA-2025-12-05-015557-a" TargetMode="External" Id="rId22" /><Relationship Type="http://schemas.openxmlformats.org/officeDocument/2006/relationships/hyperlink" Target="https://prozorro.gov.ua/tender/UA-2025-11-17-014020-a" TargetMode="External" Id="rId23" /><Relationship Type="http://schemas.openxmlformats.org/officeDocument/2006/relationships/hyperlink" Target="https://prozorro.gov.ua/tender/UA-2025-11-18-015919-a" TargetMode="External" Id="rId24" /><Relationship Type="http://schemas.openxmlformats.org/officeDocument/2006/relationships/hyperlink" Target="https://prozorro.gov.ua/tender/UA-2025-11-17-012888-a" TargetMode="External" Id="rId25" /><Relationship Type="http://schemas.openxmlformats.org/officeDocument/2006/relationships/hyperlink" Target="https://prozorro.gov.ua/tender/UA-2026-06-08-004200-a" TargetMode="External" Id="rId26" /><Relationship Type="http://schemas.openxmlformats.org/officeDocument/2006/relationships/hyperlink" Target="https://prozorro.gov.ua/tender/UA-2026-06-25-005256-a" TargetMode="External" Id="rId27" /><Relationship Type="http://schemas.openxmlformats.org/officeDocument/2006/relationships/hyperlink" Target="https://prozorro.gov.ua/tender/UA-2026-08-09-000561-a" TargetMode="External" Id="rId28" /><Relationship Type="http://schemas.openxmlformats.org/officeDocument/2006/relationships/hyperlink" Target="https://prozorro.gov.ua/tender/UA-2026-06-18-009978-a" TargetMode="External" Id="rId29" /><Relationship Type="http://schemas.openxmlformats.org/officeDocument/2006/relationships/hyperlink" Target="https://prozorro.gov.ua/tender/UA-2026-08-03-002229-a" TargetMode="External" Id="rId30" /><Relationship Type="http://schemas.openxmlformats.org/officeDocument/2006/relationships/hyperlink" Target="https://prozorro.gov.ua/tender/UA-2026-07-08-009506-a" TargetMode="External" Id="rId31" /><Relationship Type="http://schemas.openxmlformats.org/officeDocument/2006/relationships/hyperlink" Target="https://prozorro.gov.ua/tender/UA-2025-10-28-007426-a" TargetMode="External" Id="rId32" /><Relationship Type="http://schemas.openxmlformats.org/officeDocument/2006/relationships/hyperlink" Target="https://prozorro.gov.ua/tender/UA-2025-11-15-000404-a" TargetMode="External" Id="rId33" /><Relationship Type="http://schemas.openxmlformats.org/officeDocument/2006/relationships/hyperlink" Target="https://prozorro.gov.ua/tender/UA-2026-06-16-013148-a" TargetMode="External" Id="rId34" /><Relationship Type="http://schemas.openxmlformats.org/officeDocument/2006/relationships/hyperlink" Target="https://prozorro.gov.ua/tender/UA-2026-05-08-003021-a" TargetMode="External" Id="rId35" /><Relationship Type="http://schemas.openxmlformats.org/officeDocument/2006/relationships/hyperlink" Target="https://prozorro.gov.ua/tender/UA-2026-08-29-000236-a" TargetMode="External" Id="rId36" /><Relationship Type="http://schemas.openxmlformats.org/officeDocument/2006/relationships/hyperlink" Target="https://prozorro.gov.ua/tender/UA-2026-05-18-008410-a" TargetMode="External" Id="rId37" /><Relationship Type="http://schemas.openxmlformats.org/officeDocument/2006/relationships/hyperlink" Target="https://prozorro.gov.ua/tender/UA-2025-09-04-010981-a" TargetMode="External" Id="rId38" /><Relationship Type="http://schemas.openxmlformats.org/officeDocument/2006/relationships/hyperlink" Target="https://prozorro.gov.ua/tender/UA-2026-07-21-001040-a" TargetMode="External" Id="rId39" /><Relationship Type="http://schemas.openxmlformats.org/officeDocument/2006/relationships/hyperlink" Target="https://prozorro.gov.ua/tender/UA-2026-05-07-003993-a" TargetMode="External" Id="rId40" /><Relationship Type="http://schemas.openxmlformats.org/officeDocument/2006/relationships/hyperlink" Target="https://prozorro.gov.ua/tender/UA-2026-03-12-004612-a" TargetMode="External" Id="rId41" /><Relationship Type="http://schemas.openxmlformats.org/officeDocument/2006/relationships/drawing" Target="/xl/drawings/drawing25.xml" Id="rId42" /><Relationship Type="http://schemas.openxmlformats.org/officeDocument/2006/relationships/table" Target="/xl/tables/table105.xml" Id="rId43" /><Relationship Type="http://schemas.openxmlformats.org/officeDocument/2006/relationships/table" Target="/xl/tables/table106.xml" Id="rId44" /><Relationship Type="http://schemas.openxmlformats.org/officeDocument/2006/relationships/table" Target="/xl/tables/table107.xml" Id="rId45" /><Relationship Type="http://schemas.openxmlformats.org/officeDocument/2006/relationships/table" Target="/xl/tables/table108.xml" Id="rId46" /><Relationship Type="http://schemas.openxmlformats.org/officeDocument/2006/relationships/table" Target="/xl/tables/table109.xml" Id="rId47" /><Relationship Type="http://schemas.openxmlformats.org/officeDocument/2006/relationships/table" Target="/xl/tables/table110.xml" Id="rId48" /></Relationships>
</file>

<file path=xl/worksheets/_rels/sheet27.xml.rels><Relationships xmlns="http://schemas.openxmlformats.org/package/2006/relationships"><Relationship Type="http://schemas.openxmlformats.org/officeDocument/2006/relationships/hyperlink" Target="https://prozorro.gov.ua/tender/UA-2025-11-11-008865-a" TargetMode="External" Id="rId1" /><Relationship Type="http://schemas.openxmlformats.org/officeDocument/2006/relationships/hyperlink" Target="https://prozorro.gov.ua/tender/UA-2025-11-11-008865-a" TargetMode="External" Id="rId2" /><Relationship Type="http://schemas.openxmlformats.org/officeDocument/2006/relationships/drawing" Target="/xl/drawings/drawing26.xml" Id="rId3" /><Relationship Type="http://schemas.openxmlformats.org/officeDocument/2006/relationships/table" Target="/xl/tables/table111.xml" Id="rId4" /><Relationship Type="http://schemas.openxmlformats.org/officeDocument/2006/relationships/table" Target="/xl/tables/table112.xml" Id="rId5" /><Relationship Type="http://schemas.openxmlformats.org/officeDocument/2006/relationships/table" Target="/xl/tables/table113.xml" Id="rId6" /><Relationship Type="http://schemas.openxmlformats.org/officeDocument/2006/relationships/table" Target="/xl/tables/table114.xml" Id="rId7" /></Relationships>
</file>

<file path=xl/worksheets/_rels/sheet28.xml.rels><Relationships xmlns="http://schemas.openxmlformats.org/package/2006/relationships"><Relationship Type="http://schemas.openxmlformats.org/officeDocument/2006/relationships/hyperlink" Target="https://prozorro.gov.ua/tender/UA-2026-03-26-014052-a" TargetMode="External" Id="rId1" /><Relationship Type="http://schemas.openxmlformats.org/officeDocument/2006/relationships/hyperlink" Target="https://prozorro.gov.ua/tender/UA-2025-09-16-012720-a" TargetMode="External" Id="rId2" /><Relationship Type="http://schemas.openxmlformats.org/officeDocument/2006/relationships/hyperlink" Target="https://prozorro.gov.ua/tender/UA-2025-09-15-011416-a" TargetMode="External" Id="rId3" /><Relationship Type="http://schemas.openxmlformats.org/officeDocument/2006/relationships/hyperlink" Target="https://prozorro.gov.ua/tender/UA-2026-03-26-014052-a" TargetMode="External" Id="rId4" /><Relationship Type="http://schemas.openxmlformats.org/officeDocument/2006/relationships/hyperlink" Target="https://prozorro.gov.ua/tender/UA-2025-09-16-012720-a" TargetMode="External" Id="rId5" /><Relationship Type="http://schemas.openxmlformats.org/officeDocument/2006/relationships/hyperlink" Target="https://prozorro.gov.ua/tender/UA-2025-09-15-011416-a" TargetMode="External" Id="rId6" /><Relationship Type="http://schemas.openxmlformats.org/officeDocument/2006/relationships/drawing" Target="/xl/drawings/drawing27.xml" Id="rId7" /><Relationship Type="http://schemas.openxmlformats.org/officeDocument/2006/relationships/table" Target="/xl/tables/table115.xml" Id="rId8" /><Relationship Type="http://schemas.openxmlformats.org/officeDocument/2006/relationships/table" Target="/xl/tables/table116.xml" Id="rId9" /><Relationship Type="http://schemas.openxmlformats.org/officeDocument/2006/relationships/table" Target="/xl/tables/table117.xml" Id="rId10" /><Relationship Type="http://schemas.openxmlformats.org/officeDocument/2006/relationships/table" Target="/xl/tables/table118.xml" Id="rId11" /></Relationships>
</file>

<file path=xl/worksheets/_rels/sheet29.xml.rels><Relationships xmlns="http://schemas.openxmlformats.org/package/2006/relationships"><Relationship Type="http://schemas.openxmlformats.org/officeDocument/2006/relationships/hyperlink" Target="https://prozorro.gov.ua/tender/UA-2026-07-21-003188-a" TargetMode="External" Id="rId1" /><Relationship Type="http://schemas.openxmlformats.org/officeDocument/2006/relationships/hyperlink" Target="https://prozorro.gov.ua/tender/UA-2026-03-24-012123-a" TargetMode="External" Id="rId2" /><Relationship Type="http://schemas.openxmlformats.org/officeDocument/2006/relationships/hyperlink" Target="https://prozorro.gov.ua/tender/UA-2025-12-08-019876-a" TargetMode="External" Id="rId3" /><Relationship Type="http://schemas.openxmlformats.org/officeDocument/2006/relationships/hyperlink" Target="https://prozorro.gov.ua/tender/UA-2025-10-21-005630-a" TargetMode="External" Id="rId4" /><Relationship Type="http://schemas.openxmlformats.org/officeDocument/2006/relationships/hyperlink" Target="https://prozorro.gov.ua/tender/UA-2025-09-14-000370-a" TargetMode="External" Id="rId5" /><Relationship Type="http://schemas.openxmlformats.org/officeDocument/2006/relationships/hyperlink" Target="https://prozorro.gov.ua/tender/UA-2025-10-07-010412-a" TargetMode="External" Id="rId6" /><Relationship Type="http://schemas.openxmlformats.org/officeDocument/2006/relationships/hyperlink" Target="https://prozorro.gov.ua/tender/UA-2026-04-10-003098-a" TargetMode="External" Id="rId7" /><Relationship Type="http://schemas.openxmlformats.org/officeDocument/2006/relationships/hyperlink" Target="https://prozorro.gov.ua/tender/UA-2025-10-27-011448-a" TargetMode="External" Id="rId8" /><Relationship Type="http://schemas.openxmlformats.org/officeDocument/2006/relationships/hyperlink" Target="https://prozorro.gov.ua/tender/UA-2026-04-30-007454-a" TargetMode="External" Id="rId9" /><Relationship Type="http://schemas.openxmlformats.org/officeDocument/2006/relationships/hyperlink" Target="https://prozorro.gov.ua/tender/UA-2026-06-24-003158-a" TargetMode="External" Id="rId10" /><Relationship Type="http://schemas.openxmlformats.org/officeDocument/2006/relationships/hyperlink" Target="https://prozorro.gov.ua/tender/UA-2026-03-25-005724-a" TargetMode="External" Id="rId11" /><Relationship Type="http://schemas.openxmlformats.org/officeDocument/2006/relationships/hyperlink" Target="https://prozorro.gov.ua/tender/UA-2025-10-15-015561-a" TargetMode="External" Id="rId12" /><Relationship Type="http://schemas.openxmlformats.org/officeDocument/2006/relationships/hyperlink" Target="https://prozorro.gov.ua/tender/UA-2025-11-11-015966-a" TargetMode="External" Id="rId13" /><Relationship Type="http://schemas.openxmlformats.org/officeDocument/2006/relationships/hyperlink" Target="https://prozorro.gov.ua/tender/UA-2025-10-29-012129-a" TargetMode="External" Id="rId14" /><Relationship Type="http://schemas.openxmlformats.org/officeDocument/2006/relationships/hyperlink" Target="https://prozorro.gov.ua/tender/UA-2025-10-23-012189-a" TargetMode="External" Id="rId15" /><Relationship Type="http://schemas.openxmlformats.org/officeDocument/2006/relationships/hyperlink" Target="https://prozorro.gov.ua/tender/UA-2025-12-19-020914-a" TargetMode="External" Id="rId16" /><Relationship Type="http://schemas.openxmlformats.org/officeDocument/2006/relationships/hyperlink" Target="https://prozorro.gov.ua/tender/UA-2025-09-04-011058-a" TargetMode="External" Id="rId17" /><Relationship Type="http://schemas.openxmlformats.org/officeDocument/2006/relationships/hyperlink" Target="https://prozorro.gov.ua/tender/UA-2026-02-10-017035-a" TargetMode="External" Id="rId18" /><Relationship Type="http://schemas.openxmlformats.org/officeDocument/2006/relationships/hyperlink" Target="https://prozorro.gov.ua/tender/UA-2026-04-27-011811-a" TargetMode="External" Id="rId19" /><Relationship Type="http://schemas.openxmlformats.org/officeDocument/2006/relationships/hyperlink" Target="https://prozorro.gov.ua/tender/UA-2026-03-17-004733-a" TargetMode="External" Id="rId20" /><Relationship Type="http://schemas.openxmlformats.org/officeDocument/2006/relationships/hyperlink" Target="https://prozorro.gov.ua/tender/UA-2025-10-31-010117-a" TargetMode="External" Id="rId21" /><Relationship Type="http://schemas.openxmlformats.org/officeDocument/2006/relationships/hyperlink" Target="https://prozorro.gov.ua/tender/UA-2026-04-24-007749-a" TargetMode="External" Id="rId22" /><Relationship Type="http://schemas.openxmlformats.org/officeDocument/2006/relationships/hyperlink" Target="https://prozorro.gov.ua/tender/UA-2026-06-07-000072-a" TargetMode="External" Id="rId23" /><Relationship Type="http://schemas.openxmlformats.org/officeDocument/2006/relationships/hyperlink" Target="https://prozorro.gov.ua/tender/UA-2026-03-25-003378-a" TargetMode="External" Id="rId24" /><Relationship Type="http://schemas.openxmlformats.org/officeDocument/2006/relationships/hyperlink" Target="https://prozorro.gov.ua/tender/UA-2025-10-23-014412-a" TargetMode="External" Id="rId25" /><Relationship Type="http://schemas.openxmlformats.org/officeDocument/2006/relationships/hyperlink" Target="https://prozorro.gov.ua/tender/UA-2025-11-25-016365-a" TargetMode="External" Id="rId26" /><Relationship Type="http://schemas.openxmlformats.org/officeDocument/2006/relationships/hyperlink" Target="https://prozorro.gov.ua/tender/UA-2025-10-31-009540-a" TargetMode="External" Id="rId27" /><Relationship Type="http://schemas.openxmlformats.org/officeDocument/2006/relationships/hyperlink" Target="https://prozorro.gov.ua/tender/UA-2026-02-26-008276-a" TargetMode="External" Id="rId28" /><Relationship Type="http://schemas.openxmlformats.org/officeDocument/2006/relationships/hyperlink" Target="https://prozorro.gov.ua/tender/UA-2026-01-20-013285-a" TargetMode="External" Id="rId29" /><Relationship Type="http://schemas.openxmlformats.org/officeDocument/2006/relationships/hyperlink" Target="https://prozorro.gov.ua/tender/UA-2026-06-17-002653-a" TargetMode="External" Id="rId30" /><Relationship Type="http://schemas.openxmlformats.org/officeDocument/2006/relationships/hyperlink" Target="https://prozorro.gov.ua/tender/UA-2026-04-08-004997-a" TargetMode="External" Id="rId31" /><Relationship Type="http://schemas.openxmlformats.org/officeDocument/2006/relationships/hyperlink" Target="https://prozorro.gov.ua/tender/UA-2025-12-05-007794-a" TargetMode="External" Id="rId32" /><Relationship Type="http://schemas.openxmlformats.org/officeDocument/2006/relationships/hyperlink" Target="https://prozorro.gov.ua/tender/UA-2026-06-18-005002-a" TargetMode="External" Id="rId33" /><Relationship Type="http://schemas.openxmlformats.org/officeDocument/2006/relationships/hyperlink" Target="https://prozorro.gov.ua/tender/UA-2026-03-02-012836-a" TargetMode="External" Id="rId34" /><Relationship Type="http://schemas.openxmlformats.org/officeDocument/2006/relationships/hyperlink" Target="https://prozorro.gov.ua/tender/UA-2025-09-18-012450-a" TargetMode="External" Id="rId35" /><Relationship Type="http://schemas.openxmlformats.org/officeDocument/2006/relationships/hyperlink" Target="https://prozorro.gov.ua/tender/UA-2025-10-16-012983-a" TargetMode="External" Id="rId36" /><Relationship Type="http://schemas.openxmlformats.org/officeDocument/2006/relationships/hyperlink" Target="https://prozorro.gov.ua/tender/UA-2025-10-28-010333-a" TargetMode="External" Id="rId37" /><Relationship Type="http://schemas.openxmlformats.org/officeDocument/2006/relationships/hyperlink" Target="https://prozorro.gov.ua/tender/UA-2026-07-06-008716-a" TargetMode="External" Id="rId38" /><Relationship Type="http://schemas.openxmlformats.org/officeDocument/2006/relationships/hyperlink" Target="https://prozorro.gov.ua/tender/UA-2025-09-16-000938-a" TargetMode="External" Id="rId39" /><Relationship Type="http://schemas.openxmlformats.org/officeDocument/2006/relationships/hyperlink" Target="https://prozorro.gov.ua/tender/UA-2026-06-10-005645-a" TargetMode="External" Id="rId40" /><Relationship Type="http://schemas.openxmlformats.org/officeDocument/2006/relationships/hyperlink" Target="https://prozorro.gov.ua/tender/UA-2025-11-28-003445-a" TargetMode="External" Id="rId41" /><Relationship Type="http://schemas.openxmlformats.org/officeDocument/2006/relationships/hyperlink" Target="https://prozorro.gov.ua/tender/UA-2025-11-24-004540-a" TargetMode="External" Id="rId42" /><Relationship Type="http://schemas.openxmlformats.org/officeDocument/2006/relationships/hyperlink" Target="https://prozorro.gov.ua/tender/UA-2026-08-14-011679-a" TargetMode="External" Id="rId43" /><Relationship Type="http://schemas.openxmlformats.org/officeDocument/2006/relationships/hyperlink" Target="https://prozorro.gov.ua/tender/UA-2025-10-22-010976-a" TargetMode="External" Id="rId44" /><Relationship Type="http://schemas.openxmlformats.org/officeDocument/2006/relationships/hyperlink" Target="https://prozorro.gov.ua/tender/UA-2025-11-21-010548-a" TargetMode="External" Id="rId45" /><Relationship Type="http://schemas.openxmlformats.org/officeDocument/2006/relationships/hyperlink" Target="https://prozorro.gov.ua/tender/UA-2026-08-06-004562-a" TargetMode="External" Id="rId46" /><Relationship Type="http://schemas.openxmlformats.org/officeDocument/2006/relationships/hyperlink" Target="https://prozorro.gov.ua/tender/UA-2025-12-05-006953-a" TargetMode="External" Id="rId47" /><Relationship Type="http://schemas.openxmlformats.org/officeDocument/2006/relationships/hyperlink" Target="https://prozorro.gov.ua/tender/UA-2026-03-17-015724-a" TargetMode="External" Id="rId48" /><Relationship Type="http://schemas.openxmlformats.org/officeDocument/2006/relationships/hyperlink" Target="https://prozorro.gov.ua/tender/UA-2025-10-17-007625-a" TargetMode="External" Id="rId49" /><Relationship Type="http://schemas.openxmlformats.org/officeDocument/2006/relationships/hyperlink" Target="https://prozorro.gov.ua/tender/UA-2025-12-15-023173-a" TargetMode="External" Id="rId50" /><Relationship Type="http://schemas.openxmlformats.org/officeDocument/2006/relationships/hyperlink" Target="https://prozorro.gov.ua/tender/UA-2026-06-04-013042-a" TargetMode="External" Id="rId51" /><Relationship Type="http://schemas.openxmlformats.org/officeDocument/2006/relationships/hyperlink" Target="https://prozorro.gov.ua/tender/UA-2025-09-23-009836-a" TargetMode="External" Id="rId52" /><Relationship Type="http://schemas.openxmlformats.org/officeDocument/2006/relationships/hyperlink" Target="https://prozorro.gov.ua/tender/UA-2026-06-19-009380-a" TargetMode="External" Id="rId53" /><Relationship Type="http://schemas.openxmlformats.org/officeDocument/2006/relationships/hyperlink" Target="https://prozorro.gov.ua/tender/UA-2025-12-10-011297-a" TargetMode="External" Id="rId54" /><Relationship Type="http://schemas.openxmlformats.org/officeDocument/2006/relationships/hyperlink" Target="https://prozorro.gov.ua/tender/UA-2025-12-11-018667-a" TargetMode="External" Id="rId55" /><Relationship Type="http://schemas.openxmlformats.org/officeDocument/2006/relationships/hyperlink" Target="https://prozorro.gov.ua/tender/UA-2025-11-13-004827-a" TargetMode="External" Id="rId56" /><Relationship Type="http://schemas.openxmlformats.org/officeDocument/2006/relationships/hyperlink" Target="https://prozorro.gov.ua/tender/UA-2026-06-22-008493-a" TargetMode="External" Id="rId57" /><Relationship Type="http://schemas.openxmlformats.org/officeDocument/2006/relationships/hyperlink" Target="https://prozorro.gov.ua/tender/UA-2026-04-17-009755-a" TargetMode="External" Id="rId58" /><Relationship Type="http://schemas.openxmlformats.org/officeDocument/2006/relationships/hyperlink" Target="https://prozorro.gov.ua/tender/UA-2026-05-18-008602-a" TargetMode="External" Id="rId59" /><Relationship Type="http://schemas.openxmlformats.org/officeDocument/2006/relationships/hyperlink" Target="https://prozorro.gov.ua/tender/UA-2026-04-02-012974-a" TargetMode="External" Id="rId60" /><Relationship Type="http://schemas.openxmlformats.org/officeDocument/2006/relationships/hyperlink" Target="https://prozorro.gov.ua/tender/UA-2026-04-24-006694-a" TargetMode="External" Id="rId61" /><Relationship Type="http://schemas.openxmlformats.org/officeDocument/2006/relationships/hyperlink" Target="https://prozorro.gov.ua/tender/UA-2026-03-24-012123-a" TargetMode="External" Id="rId62" /><Relationship Type="http://schemas.openxmlformats.org/officeDocument/2006/relationships/hyperlink" Target="https://prozorro.gov.ua/tender/UA-2025-12-08-019876-a" TargetMode="External" Id="rId63" /><Relationship Type="http://schemas.openxmlformats.org/officeDocument/2006/relationships/hyperlink" Target="https://prozorro.gov.ua/tender/UA-2025-10-21-005630-a" TargetMode="External" Id="rId64" /><Relationship Type="http://schemas.openxmlformats.org/officeDocument/2006/relationships/hyperlink" Target="https://prozorro.gov.ua/tender/UA-2025-09-14-000370-a" TargetMode="External" Id="rId65" /><Relationship Type="http://schemas.openxmlformats.org/officeDocument/2006/relationships/hyperlink" Target="https://prozorro.gov.ua/tender/UA-2025-10-07-010412-a" TargetMode="External" Id="rId66" /><Relationship Type="http://schemas.openxmlformats.org/officeDocument/2006/relationships/hyperlink" Target="https://prozorro.gov.ua/tender/UA-2026-04-10-003098-a" TargetMode="External" Id="rId67" /><Relationship Type="http://schemas.openxmlformats.org/officeDocument/2006/relationships/hyperlink" Target="https://prozorro.gov.ua/tender/UA-2025-10-27-011448-a" TargetMode="External" Id="rId68" /><Relationship Type="http://schemas.openxmlformats.org/officeDocument/2006/relationships/hyperlink" Target="https://prozorro.gov.ua/tender/UA-2026-04-30-007454-a" TargetMode="External" Id="rId69" /><Relationship Type="http://schemas.openxmlformats.org/officeDocument/2006/relationships/hyperlink" Target="https://prozorro.gov.ua/tender/UA-2026-06-24-003158-a" TargetMode="External" Id="rId70" /><Relationship Type="http://schemas.openxmlformats.org/officeDocument/2006/relationships/hyperlink" Target="https://prozorro.gov.ua/tender/UA-2026-03-25-005724-a" TargetMode="External" Id="rId71" /><Relationship Type="http://schemas.openxmlformats.org/officeDocument/2006/relationships/hyperlink" Target="https://prozorro.gov.ua/tender/UA-2025-10-15-015561-a" TargetMode="External" Id="rId72" /><Relationship Type="http://schemas.openxmlformats.org/officeDocument/2006/relationships/hyperlink" Target="https://prozorro.gov.ua/tender/UA-2025-11-11-015966-a" TargetMode="External" Id="rId73" /><Relationship Type="http://schemas.openxmlformats.org/officeDocument/2006/relationships/hyperlink" Target="https://prozorro.gov.ua/tender/UA-2025-10-29-012129-a" TargetMode="External" Id="rId74" /><Relationship Type="http://schemas.openxmlformats.org/officeDocument/2006/relationships/hyperlink" Target="https://prozorro.gov.ua/tender/UA-2025-10-23-012189-a" TargetMode="External" Id="rId75" /><Relationship Type="http://schemas.openxmlformats.org/officeDocument/2006/relationships/hyperlink" Target="https://prozorro.gov.ua/tender/UA-2025-12-19-020914-a" TargetMode="External" Id="rId76" /><Relationship Type="http://schemas.openxmlformats.org/officeDocument/2006/relationships/hyperlink" Target="https://prozorro.gov.ua/tender/UA-2025-09-04-011058-a" TargetMode="External" Id="rId77" /><Relationship Type="http://schemas.openxmlformats.org/officeDocument/2006/relationships/hyperlink" Target="https://prozorro.gov.ua/tender/UA-2026-02-10-017035-a" TargetMode="External" Id="rId78" /><Relationship Type="http://schemas.openxmlformats.org/officeDocument/2006/relationships/hyperlink" Target="https://prozorro.gov.ua/tender/UA-2026-04-27-011811-a" TargetMode="External" Id="rId79" /><Relationship Type="http://schemas.openxmlformats.org/officeDocument/2006/relationships/hyperlink" Target="https://prozorro.gov.ua/tender/UA-2026-03-17-004733-a" TargetMode="External" Id="rId80" /><Relationship Type="http://schemas.openxmlformats.org/officeDocument/2006/relationships/hyperlink" Target="https://prozorro.gov.ua/tender/UA-2025-10-31-010117-a" TargetMode="External" Id="rId81" /><Relationship Type="http://schemas.openxmlformats.org/officeDocument/2006/relationships/hyperlink" Target="https://prozorro.gov.ua/tender/UA-2026-04-24-007749-a" TargetMode="External" Id="rId82" /><Relationship Type="http://schemas.openxmlformats.org/officeDocument/2006/relationships/hyperlink" Target="https://prozorro.gov.ua/tender/UA-2026-06-07-000072-a" TargetMode="External" Id="rId83" /><Relationship Type="http://schemas.openxmlformats.org/officeDocument/2006/relationships/hyperlink" Target="https://prozorro.gov.ua/tender/UA-2026-03-25-003378-a" TargetMode="External" Id="rId84" /><Relationship Type="http://schemas.openxmlformats.org/officeDocument/2006/relationships/hyperlink" Target="https://prozorro.gov.ua/tender/UA-2025-10-23-014412-a" TargetMode="External" Id="rId85" /><Relationship Type="http://schemas.openxmlformats.org/officeDocument/2006/relationships/hyperlink" Target="https://prozorro.gov.ua/tender/UA-2025-11-25-016365-a" TargetMode="External" Id="rId86" /><Relationship Type="http://schemas.openxmlformats.org/officeDocument/2006/relationships/hyperlink" Target="https://prozorro.gov.ua/tender/UA-2025-10-31-009540-a" TargetMode="External" Id="rId87" /><Relationship Type="http://schemas.openxmlformats.org/officeDocument/2006/relationships/hyperlink" Target="https://prozorro.gov.ua/tender/UA-2026-02-26-008276-a" TargetMode="External" Id="rId88" /><Relationship Type="http://schemas.openxmlformats.org/officeDocument/2006/relationships/hyperlink" Target="https://prozorro.gov.ua/tender/UA-2026-01-20-013285-a" TargetMode="External" Id="rId89" /><Relationship Type="http://schemas.openxmlformats.org/officeDocument/2006/relationships/hyperlink" Target="https://prozorro.gov.ua/tender/UA-2026-06-17-002653-a" TargetMode="External" Id="rId90" /><Relationship Type="http://schemas.openxmlformats.org/officeDocument/2006/relationships/hyperlink" Target="https://prozorro.gov.ua/tender/UA-2026-04-08-004997-a" TargetMode="External" Id="rId91" /><Relationship Type="http://schemas.openxmlformats.org/officeDocument/2006/relationships/hyperlink" Target="https://prozorro.gov.ua/tender/UA-2025-12-05-007794-a" TargetMode="External" Id="rId92" /><Relationship Type="http://schemas.openxmlformats.org/officeDocument/2006/relationships/hyperlink" Target="https://prozorro.gov.ua/tender/UA-2026-06-18-005002-a" TargetMode="External" Id="rId93" /><Relationship Type="http://schemas.openxmlformats.org/officeDocument/2006/relationships/hyperlink" Target="https://prozorro.gov.ua/tender/UA-2026-03-02-012836-a" TargetMode="External" Id="rId94" /><Relationship Type="http://schemas.openxmlformats.org/officeDocument/2006/relationships/hyperlink" Target="https://prozorro.gov.ua/tender/UA-2025-09-18-012450-a" TargetMode="External" Id="rId95" /><Relationship Type="http://schemas.openxmlformats.org/officeDocument/2006/relationships/hyperlink" Target="https://prozorro.gov.ua/tender/UA-2025-10-16-012983-a" TargetMode="External" Id="rId96" /><Relationship Type="http://schemas.openxmlformats.org/officeDocument/2006/relationships/hyperlink" Target="https://prozorro.gov.ua/tender/UA-2025-10-28-010333-a" TargetMode="External" Id="rId97" /><Relationship Type="http://schemas.openxmlformats.org/officeDocument/2006/relationships/hyperlink" Target="https://prozorro.gov.ua/tender/UA-2025-09-16-000938-a" TargetMode="External" Id="rId98" /><Relationship Type="http://schemas.openxmlformats.org/officeDocument/2006/relationships/hyperlink" Target="https://prozorro.gov.ua/tender/UA-2026-07-06-008716-a" TargetMode="External" Id="rId99" /><Relationship Type="http://schemas.openxmlformats.org/officeDocument/2006/relationships/hyperlink" Target="https://prozorro.gov.ua/tender/UA-2026-06-10-005645-a" TargetMode="External" Id="rId100" /><Relationship Type="http://schemas.openxmlformats.org/officeDocument/2006/relationships/hyperlink" Target="https://prozorro.gov.ua/tender/UA-2025-11-28-003445-a" TargetMode="External" Id="rId101" /><Relationship Type="http://schemas.openxmlformats.org/officeDocument/2006/relationships/hyperlink" Target="https://prozorro.gov.ua/tender/UA-2025-11-24-004540-a" TargetMode="External" Id="rId102" /><Relationship Type="http://schemas.openxmlformats.org/officeDocument/2006/relationships/hyperlink" Target="https://prozorro.gov.ua/tender/UA-2025-10-22-010976-a" TargetMode="External" Id="rId103" /><Relationship Type="http://schemas.openxmlformats.org/officeDocument/2006/relationships/hyperlink" Target="https://prozorro.gov.ua/tender/UA-2025-11-21-010548-a" TargetMode="External" Id="rId104" /><Relationship Type="http://schemas.openxmlformats.org/officeDocument/2006/relationships/hyperlink" Target="https://prozorro.gov.ua/tender/UA-2025-12-05-006953-a" TargetMode="External" Id="rId105" /><Relationship Type="http://schemas.openxmlformats.org/officeDocument/2006/relationships/hyperlink" Target="https://prozorro.gov.ua/tender/UA-2026-03-17-015724-a" TargetMode="External" Id="rId106" /><Relationship Type="http://schemas.openxmlformats.org/officeDocument/2006/relationships/hyperlink" Target="https://prozorro.gov.ua/tender/UA-2025-10-17-007625-a" TargetMode="External" Id="rId107" /><Relationship Type="http://schemas.openxmlformats.org/officeDocument/2006/relationships/hyperlink" Target="https://prozorro.gov.ua/tender/UA-2025-12-15-023173-a" TargetMode="External" Id="rId108" /><Relationship Type="http://schemas.openxmlformats.org/officeDocument/2006/relationships/hyperlink" Target="https://prozorro.gov.ua/tender/UA-2026-08-14-011679-a" TargetMode="External" Id="rId109" /><Relationship Type="http://schemas.openxmlformats.org/officeDocument/2006/relationships/hyperlink" Target="https://prozorro.gov.ua/tender/UA-2026-08-06-004562-a" TargetMode="External" Id="rId110" /><Relationship Type="http://schemas.openxmlformats.org/officeDocument/2006/relationships/hyperlink" Target="https://prozorro.gov.ua/tender/UA-2026-06-04-013042-a" TargetMode="External" Id="rId111" /><Relationship Type="http://schemas.openxmlformats.org/officeDocument/2006/relationships/hyperlink" Target="https://prozorro.gov.ua/tender/UA-2025-09-23-009836-a" TargetMode="External" Id="rId112" /><Relationship Type="http://schemas.openxmlformats.org/officeDocument/2006/relationships/hyperlink" Target="https://prozorro.gov.ua/tender/UA-2026-06-19-009380-a" TargetMode="External" Id="rId113" /><Relationship Type="http://schemas.openxmlformats.org/officeDocument/2006/relationships/hyperlink" Target="https://prozorro.gov.ua/tender/UA-2025-12-10-011297-a" TargetMode="External" Id="rId114" /><Relationship Type="http://schemas.openxmlformats.org/officeDocument/2006/relationships/hyperlink" Target="https://prozorro.gov.ua/tender/UA-2025-12-11-018667-a" TargetMode="External" Id="rId115" /><Relationship Type="http://schemas.openxmlformats.org/officeDocument/2006/relationships/hyperlink" Target="https://prozorro.gov.ua/tender/UA-2025-11-13-004827-a" TargetMode="External" Id="rId116" /><Relationship Type="http://schemas.openxmlformats.org/officeDocument/2006/relationships/hyperlink" Target="https://prozorro.gov.ua/tender/UA-2026-06-22-008493-a" TargetMode="External" Id="rId117" /><Relationship Type="http://schemas.openxmlformats.org/officeDocument/2006/relationships/hyperlink" Target="https://prozorro.gov.ua/tender/UA-2026-04-17-009755-a" TargetMode="External" Id="rId118" /><Relationship Type="http://schemas.openxmlformats.org/officeDocument/2006/relationships/hyperlink" Target="https://prozorro.gov.ua/tender/UA-2026-05-18-008602-a" TargetMode="External" Id="rId119" /><Relationship Type="http://schemas.openxmlformats.org/officeDocument/2006/relationships/hyperlink" Target="https://prozorro.gov.ua/tender/UA-2026-04-02-012974-a" TargetMode="External" Id="rId120" /><Relationship Type="http://schemas.openxmlformats.org/officeDocument/2006/relationships/hyperlink" Target="https://prozorro.gov.ua/tender/UA-2026-04-24-006694-a" TargetMode="External" Id="rId121" /><Relationship Type="http://schemas.openxmlformats.org/officeDocument/2006/relationships/drawing" Target="/xl/drawings/drawing28.xml" Id="rId122" /><Relationship Type="http://schemas.openxmlformats.org/officeDocument/2006/relationships/table" Target="/xl/tables/table119.xml" Id="rId123" /><Relationship Type="http://schemas.openxmlformats.org/officeDocument/2006/relationships/table" Target="/xl/tables/table120.xml" Id="rId124" /><Relationship Type="http://schemas.openxmlformats.org/officeDocument/2006/relationships/table" Target="/xl/tables/table121.xml" Id="rId125" /><Relationship Type="http://schemas.openxmlformats.org/officeDocument/2006/relationships/table" Target="/xl/tables/table122.xml" Id="rId126" /><Relationship Type="http://schemas.openxmlformats.org/officeDocument/2006/relationships/table" Target="/xl/tables/table123.xml" Id="rId127" /><Relationship Type="http://schemas.openxmlformats.org/officeDocument/2006/relationships/table" Target="/xl/tables/table124.xml" Id="rId128" /></Relationships>
</file>

<file path=xl/worksheets/_rels/sheet30.xml.rels><Relationships xmlns="http://schemas.openxmlformats.org/package/2006/relationships"><Relationship Type="http://schemas.openxmlformats.org/officeDocument/2006/relationships/hyperlink" Target="https://prozorro.gov.ua/tender/UA-2025-12-16-022042-a" TargetMode="External" Id="rId1" /><Relationship Type="http://schemas.openxmlformats.org/officeDocument/2006/relationships/hyperlink" Target="https://prozorro.gov.ua/tender/UA-2026-02-16-010196-a" TargetMode="External" Id="rId2" /><Relationship Type="http://schemas.openxmlformats.org/officeDocument/2006/relationships/hyperlink" Target="https://prozorro.gov.ua/tender/UA-2026-01-23-013674-a" TargetMode="External" Id="rId3" /><Relationship Type="http://schemas.openxmlformats.org/officeDocument/2006/relationships/hyperlink" Target="https://prozorro.gov.ua/tender/UA-2026-02-12-014782-a" TargetMode="External" Id="rId4" /><Relationship Type="http://schemas.openxmlformats.org/officeDocument/2006/relationships/hyperlink" Target="https://prozorro.gov.ua/tender/UA-2026-08-03-004932-a" TargetMode="External" Id="rId5" /><Relationship Type="http://schemas.openxmlformats.org/officeDocument/2006/relationships/hyperlink" Target="https://prozorro.gov.ua/tender/UA-2025-11-13-011847-a" TargetMode="External" Id="rId6" /><Relationship Type="http://schemas.openxmlformats.org/officeDocument/2006/relationships/hyperlink" Target="https://prozorro.gov.ua/tender/UA-2026-04-25-000383-a" TargetMode="External" Id="rId7" /><Relationship Type="http://schemas.openxmlformats.org/officeDocument/2006/relationships/hyperlink" Target="https://prozorro.gov.ua/tender/UA-2025-09-15-004289-a" TargetMode="External" Id="rId8" /><Relationship Type="http://schemas.openxmlformats.org/officeDocument/2006/relationships/hyperlink" Target="https://prozorro.gov.ua/tender/UA-2026-04-25-000392-a" TargetMode="External" Id="rId9" /><Relationship Type="http://schemas.openxmlformats.org/officeDocument/2006/relationships/hyperlink" Target="https://prozorro.gov.ua/tender/UA-2026-06-29-007703-a" TargetMode="External" Id="rId10" /><Relationship Type="http://schemas.openxmlformats.org/officeDocument/2006/relationships/hyperlink" Target="https://prozorro.gov.ua/tender/UA-2026-02-11-015123-a" TargetMode="External" Id="rId11" /><Relationship Type="http://schemas.openxmlformats.org/officeDocument/2006/relationships/hyperlink" Target="https://prozorro.gov.ua/tender/UA-2026-03-18-000028-a" TargetMode="External" Id="rId12" /><Relationship Type="http://schemas.openxmlformats.org/officeDocument/2006/relationships/hyperlink" Target="https://prozorro.gov.ua/tender/UA-2025-10-02-005717-a" TargetMode="External" Id="rId13" /><Relationship Type="http://schemas.openxmlformats.org/officeDocument/2006/relationships/hyperlink" Target="https://prozorro.gov.ua/tender/UA-2026-02-16-013850-a" TargetMode="External" Id="rId14" /><Relationship Type="http://schemas.openxmlformats.org/officeDocument/2006/relationships/hyperlink" Target="https://prozorro.gov.ua/tender/UA-2026-02-19-013081-a" TargetMode="External" Id="rId15" /><Relationship Type="http://schemas.openxmlformats.org/officeDocument/2006/relationships/hyperlink" Target="https://prozorro.gov.ua/tender/UA-2026-02-12-011618-a" TargetMode="External" Id="rId16" /><Relationship Type="http://schemas.openxmlformats.org/officeDocument/2006/relationships/hyperlink" Target="https://prozorro.gov.ua/tender/UA-2026-02-16-010196-a" TargetMode="External" Id="rId17" /><Relationship Type="http://schemas.openxmlformats.org/officeDocument/2006/relationships/hyperlink" Target="https://prozorro.gov.ua/tender/UA-2026-01-23-013674-a" TargetMode="External" Id="rId18" /><Relationship Type="http://schemas.openxmlformats.org/officeDocument/2006/relationships/hyperlink" Target="https://prozorro.gov.ua/tender/UA-2026-02-12-014782-a" TargetMode="External" Id="rId19" /><Relationship Type="http://schemas.openxmlformats.org/officeDocument/2006/relationships/hyperlink" Target="https://prozorro.gov.ua/tender/UA-2025-11-13-011847-a" TargetMode="External" Id="rId20" /><Relationship Type="http://schemas.openxmlformats.org/officeDocument/2006/relationships/hyperlink" Target="https://prozorro.gov.ua/tender/UA-2026-04-25-000383-a" TargetMode="External" Id="rId21" /><Relationship Type="http://schemas.openxmlformats.org/officeDocument/2006/relationships/hyperlink" Target="https://prozorro.gov.ua/tender/UA-2026-08-03-004932-a" TargetMode="External" Id="rId22" /><Relationship Type="http://schemas.openxmlformats.org/officeDocument/2006/relationships/hyperlink" Target="https://prozorro.gov.ua/tender/UA-2025-09-15-004289-a" TargetMode="External" Id="rId23" /><Relationship Type="http://schemas.openxmlformats.org/officeDocument/2006/relationships/hyperlink" Target="https://prozorro.gov.ua/tender/UA-2026-04-25-000392-a" TargetMode="External" Id="rId24" /><Relationship Type="http://schemas.openxmlformats.org/officeDocument/2006/relationships/hyperlink" Target="https://prozorro.gov.ua/tender/UA-2026-06-29-007703-a" TargetMode="External" Id="rId25" /><Relationship Type="http://schemas.openxmlformats.org/officeDocument/2006/relationships/hyperlink" Target="https://prozorro.gov.ua/tender/UA-2026-02-11-015123-a" TargetMode="External" Id="rId26" /><Relationship Type="http://schemas.openxmlformats.org/officeDocument/2006/relationships/hyperlink" Target="https://prozorro.gov.ua/tender/UA-2026-03-18-000028-a" TargetMode="External" Id="rId27" /><Relationship Type="http://schemas.openxmlformats.org/officeDocument/2006/relationships/hyperlink" Target="https://prozorro.gov.ua/tender/UA-2025-10-02-005717-a" TargetMode="External" Id="rId28" /><Relationship Type="http://schemas.openxmlformats.org/officeDocument/2006/relationships/hyperlink" Target="https://prozorro.gov.ua/tender/UA-2026-02-16-013850-a" TargetMode="External" Id="rId29" /><Relationship Type="http://schemas.openxmlformats.org/officeDocument/2006/relationships/hyperlink" Target="https://prozorro.gov.ua/tender/UA-2026-02-19-013081-a" TargetMode="External" Id="rId30" /><Relationship Type="http://schemas.openxmlformats.org/officeDocument/2006/relationships/hyperlink" Target="https://prozorro.gov.ua/tender/UA-2026-02-12-011618-a" TargetMode="External" Id="rId31" /><Relationship Type="http://schemas.openxmlformats.org/officeDocument/2006/relationships/drawing" Target="/xl/drawings/drawing29.xml" Id="rId32" /><Relationship Type="http://schemas.openxmlformats.org/officeDocument/2006/relationships/table" Target="/xl/tables/table125.xml" Id="rId33" /><Relationship Type="http://schemas.openxmlformats.org/officeDocument/2006/relationships/table" Target="/xl/tables/table126.xml" Id="rId34" /><Relationship Type="http://schemas.openxmlformats.org/officeDocument/2006/relationships/table" Target="/xl/tables/table127.xml" Id="rId35" /><Relationship Type="http://schemas.openxmlformats.org/officeDocument/2006/relationships/table" Target="/xl/tables/table128.xml" Id="rId36" /><Relationship Type="http://schemas.openxmlformats.org/officeDocument/2006/relationships/table" Target="/xl/tables/table129.xml" Id="rId37" /><Relationship Type="http://schemas.openxmlformats.org/officeDocument/2006/relationships/table" Target="/xl/tables/table130.xml" Id="rId38" /></Relationships>
</file>

<file path=xl/worksheets/_rels/sheet31.xml.rels><Relationships xmlns="http://schemas.openxmlformats.org/package/2006/relationships"><Relationship Type="http://schemas.openxmlformats.org/officeDocument/2006/relationships/hyperlink" Target="https://prozorro.gov.ua/tender/UA-2026-08-21-012764-a" TargetMode="External" Id="rId1" /><Relationship Type="http://schemas.openxmlformats.org/officeDocument/2006/relationships/hyperlink" Target="https://prozorro.gov.ua/tender/UA-2026-07-13-003096-a" TargetMode="External" Id="rId2" /><Relationship Type="http://schemas.openxmlformats.org/officeDocument/2006/relationships/hyperlink" Target="https://prozorro.gov.ua/tender/UA-2026-08-21-012764-a" TargetMode="External" Id="rId3" /><Relationship Type="http://schemas.openxmlformats.org/officeDocument/2006/relationships/hyperlink" Target="https://prozorro.gov.ua/tender/UA-2026-07-13-003096-a" TargetMode="External" Id="rId4" /><Relationship Type="http://schemas.openxmlformats.org/officeDocument/2006/relationships/drawing" Target="/xl/drawings/drawing30.xml" Id="rId5" /><Relationship Type="http://schemas.openxmlformats.org/officeDocument/2006/relationships/table" Target="/xl/tables/table131.xml" Id="rId6" /><Relationship Type="http://schemas.openxmlformats.org/officeDocument/2006/relationships/table" Target="/xl/tables/table132.xml" Id="rId7" /><Relationship Type="http://schemas.openxmlformats.org/officeDocument/2006/relationships/table" Target="/xl/tables/table133.xml" Id="rId8" /><Relationship Type="http://schemas.openxmlformats.org/officeDocument/2006/relationships/table" Target="/xl/tables/table134.xml" Id="rId9" /></Relationships>
</file>

<file path=xl/worksheets/_rels/sheet32.xml.rels><Relationships xmlns="http://schemas.openxmlformats.org/package/2006/relationships"><Relationship Type="http://schemas.openxmlformats.org/officeDocument/2006/relationships/hyperlink" Target="https://prozorro.gov.ua/tender/UA-2026-06-03-009856-a" TargetMode="External" Id="rId1" /><Relationship Type="http://schemas.openxmlformats.org/officeDocument/2006/relationships/hyperlink" Target="https://prozorro.gov.ua/tender/UA-2026-06-30-012911-a" TargetMode="External" Id="rId2" /><Relationship Type="http://schemas.openxmlformats.org/officeDocument/2006/relationships/hyperlink" Target="https://prozorro.gov.ua/tender/UA-2026-06-03-009856-a" TargetMode="External" Id="rId3" /><Relationship Type="http://schemas.openxmlformats.org/officeDocument/2006/relationships/hyperlink" Target="https://prozorro.gov.ua/tender/UA-2026-06-30-012911-a" TargetMode="External" Id="rId4" /><Relationship Type="http://schemas.openxmlformats.org/officeDocument/2006/relationships/drawing" Target="/xl/drawings/drawing31.xml" Id="rId5" /><Relationship Type="http://schemas.openxmlformats.org/officeDocument/2006/relationships/table" Target="/xl/tables/table135.xml" Id="rId6" /><Relationship Type="http://schemas.openxmlformats.org/officeDocument/2006/relationships/table" Target="/xl/tables/table136.xml" Id="rId7" /><Relationship Type="http://schemas.openxmlformats.org/officeDocument/2006/relationships/table" Target="/xl/tables/table137.xml" Id="rId8" /><Relationship Type="http://schemas.openxmlformats.org/officeDocument/2006/relationships/table" Target="/xl/tables/table138.xml" Id="rId9" /></Relationships>
</file>

<file path=xl/worksheets/_rels/sheet33.xml.rels><Relationships xmlns="http://schemas.openxmlformats.org/package/2006/relationships"><Relationship Type="http://schemas.openxmlformats.org/officeDocument/2006/relationships/hyperlink" Target="https://prozorro.gov.ua/tender/UA-2026-03-30-001969-a" TargetMode="External" Id="rId1" /><Relationship Type="http://schemas.openxmlformats.org/officeDocument/2006/relationships/hyperlink" Target="https://prozorro.gov.ua/tender/UA-2026-06-25-011478-a" TargetMode="External" Id="rId2" /><Relationship Type="http://schemas.openxmlformats.org/officeDocument/2006/relationships/hyperlink" Target="https://prozorro.gov.ua/tender/UA-2025-12-22-002473-a" TargetMode="External" Id="rId3" /><Relationship Type="http://schemas.openxmlformats.org/officeDocument/2006/relationships/hyperlink" Target="https://prozorro.gov.ua/tender/UA-2026-08-04-010910-a" TargetMode="External" Id="rId4" /><Relationship Type="http://schemas.openxmlformats.org/officeDocument/2006/relationships/hyperlink" Target="https://prozorro.gov.ua/tender/UA-2025-12-03-006193-a" TargetMode="External" Id="rId5" /><Relationship Type="http://schemas.openxmlformats.org/officeDocument/2006/relationships/hyperlink" Target="https://prozorro.gov.ua/tender/UA-2026-02-17-013093-a" TargetMode="External" Id="rId6" /><Relationship Type="http://schemas.openxmlformats.org/officeDocument/2006/relationships/hyperlink" Target="https://prozorro.gov.ua/tender/UA-2026-04-06-006206-a" TargetMode="External" Id="rId7" /><Relationship Type="http://schemas.openxmlformats.org/officeDocument/2006/relationships/hyperlink" Target="https://prozorro.gov.ua/tender/UA-2026-05-14-005108-a" TargetMode="External" Id="rId8" /><Relationship Type="http://schemas.openxmlformats.org/officeDocument/2006/relationships/hyperlink" Target="https://prozorro.gov.ua/tender/UA-2026-04-02-005235-a" TargetMode="External" Id="rId9" /><Relationship Type="http://schemas.openxmlformats.org/officeDocument/2006/relationships/hyperlink" Target="https://prozorro.gov.ua/tender/UA-2025-10-31-001127-a" TargetMode="External" Id="rId10" /><Relationship Type="http://schemas.openxmlformats.org/officeDocument/2006/relationships/hyperlink" Target="https://prozorro.gov.ua/tender/UA-2026-04-06-007529-a" TargetMode="External" Id="rId11" /><Relationship Type="http://schemas.openxmlformats.org/officeDocument/2006/relationships/hyperlink" Target="https://prozorro.gov.ua/tender/UA-2026-04-06-006378-a" TargetMode="External" Id="rId12" /><Relationship Type="http://schemas.openxmlformats.org/officeDocument/2006/relationships/hyperlink" Target="https://prozorro.gov.ua/tender/UA-2026-04-29-000997-a" TargetMode="External" Id="rId13" /><Relationship Type="http://schemas.openxmlformats.org/officeDocument/2006/relationships/hyperlink" Target="https://prozorro.gov.ua/tender/UA-2026-04-28-000741-a" TargetMode="External" Id="rId14" /><Relationship Type="http://schemas.openxmlformats.org/officeDocument/2006/relationships/hyperlink" Target="https://prozorro.gov.ua/tender/UA-2026-07-27-001584-a" TargetMode="External" Id="rId15" /><Relationship Type="http://schemas.openxmlformats.org/officeDocument/2006/relationships/hyperlink" Target="https://prozorro.gov.ua/tender/UA-2026-02-04-000266-a" TargetMode="External" Id="rId16" /><Relationship Type="http://schemas.openxmlformats.org/officeDocument/2006/relationships/hyperlink" Target="https://prozorro.gov.ua/tender/UA-2026-02-04-003027-a" TargetMode="External" Id="rId17" /><Relationship Type="http://schemas.openxmlformats.org/officeDocument/2006/relationships/hyperlink" Target="https://prozorro.gov.ua/tender/UA-2026-08-14-000920-a" TargetMode="External" Id="rId18" /><Relationship Type="http://schemas.openxmlformats.org/officeDocument/2006/relationships/hyperlink" Target="https://prozorro.gov.ua/tender/UA-2026-01-13-002834-a" TargetMode="External" Id="rId19" /><Relationship Type="http://schemas.openxmlformats.org/officeDocument/2006/relationships/hyperlink" Target="https://prozorro.gov.ua/tender/UA-2025-11-04-001201-a" TargetMode="External" Id="rId20" /><Relationship Type="http://schemas.openxmlformats.org/officeDocument/2006/relationships/hyperlink" Target="https://prozorro.gov.ua/tender/UA-2026-01-15-003366-a" TargetMode="External" Id="rId21" /><Relationship Type="http://schemas.openxmlformats.org/officeDocument/2006/relationships/hyperlink" Target="https://prozorro.gov.ua/tender/UA-2026-02-16-008541-a" TargetMode="External" Id="rId22" /><Relationship Type="http://schemas.openxmlformats.org/officeDocument/2006/relationships/hyperlink" Target="https://prozorro.gov.ua/tender/UA-2026-02-18-007805-a" TargetMode="External" Id="rId23" /><Relationship Type="http://schemas.openxmlformats.org/officeDocument/2006/relationships/hyperlink" Target="https://prozorro.gov.ua/tender/UA-2025-12-09-000950-a" TargetMode="External" Id="rId24" /><Relationship Type="http://schemas.openxmlformats.org/officeDocument/2006/relationships/hyperlink" Target="https://prozorro.gov.ua/tender/UA-2025-12-19-022968-a" TargetMode="External" Id="rId25" /><Relationship Type="http://schemas.openxmlformats.org/officeDocument/2006/relationships/hyperlink" Target="https://prozorro.gov.ua/tender/UA-2025-11-24-012403-a" TargetMode="External" Id="rId26" /><Relationship Type="http://schemas.openxmlformats.org/officeDocument/2006/relationships/hyperlink" Target="https://prozorro.gov.ua/tender/UA-2025-11-25-008532-a" TargetMode="External" Id="rId27" /><Relationship Type="http://schemas.openxmlformats.org/officeDocument/2006/relationships/hyperlink" Target="https://prozorro.gov.ua/tender/UA-2025-12-05-008674-a" TargetMode="External" Id="rId28" /><Relationship Type="http://schemas.openxmlformats.org/officeDocument/2006/relationships/hyperlink" Target="https://prozorro.gov.ua/tender/UA-2026-02-27-005868-a" TargetMode="External" Id="rId29" /><Relationship Type="http://schemas.openxmlformats.org/officeDocument/2006/relationships/hyperlink" Target="https://prozorro.gov.ua/tender/UA-2025-12-18-005141-a" TargetMode="External" Id="rId30" /><Relationship Type="http://schemas.openxmlformats.org/officeDocument/2006/relationships/hyperlink" Target="https://prozorro.gov.ua/tender/UA-2026-01-15-004626-a" TargetMode="External" Id="rId31" /><Relationship Type="http://schemas.openxmlformats.org/officeDocument/2006/relationships/hyperlink" Target="https://prozorro.gov.ua/tender/UA-2025-10-09-013483-a" TargetMode="External" Id="rId32" /><Relationship Type="http://schemas.openxmlformats.org/officeDocument/2006/relationships/hyperlink" Target="https://prozorro.gov.ua/tender/UA-2025-12-26-007896-a" TargetMode="External" Id="rId33" /><Relationship Type="http://schemas.openxmlformats.org/officeDocument/2006/relationships/hyperlink" Target="https://prozorro.gov.ua/tender/UA-2025-09-11-010638-a" TargetMode="External" Id="rId34" /><Relationship Type="http://schemas.openxmlformats.org/officeDocument/2006/relationships/hyperlink" Target="https://prozorro.gov.ua/tender/UA-2025-11-11-008386-a" TargetMode="External" Id="rId35" /><Relationship Type="http://schemas.openxmlformats.org/officeDocument/2006/relationships/hyperlink" Target="https://prozorro.gov.ua/tender/UA-2026-02-27-006254-a" TargetMode="External" Id="rId36" /><Relationship Type="http://schemas.openxmlformats.org/officeDocument/2006/relationships/hyperlink" Target="https://prozorro.gov.ua/tender/UA-2026-08-27-003601-a" TargetMode="External" Id="rId37" /><Relationship Type="http://schemas.openxmlformats.org/officeDocument/2006/relationships/hyperlink" Target="https://prozorro.gov.ua/tender/UA-2026-01-27-015449-a" TargetMode="External" Id="rId38" /><Relationship Type="http://schemas.openxmlformats.org/officeDocument/2006/relationships/hyperlink" Target="https://prozorro.gov.ua/tender/UA-2026-08-27-003105-a" TargetMode="External" Id="rId39" /><Relationship Type="http://schemas.openxmlformats.org/officeDocument/2006/relationships/hyperlink" Target="https://prozorro.gov.ua/tender/UA-2025-11-11-005205-a" TargetMode="External" Id="rId40" /><Relationship Type="http://schemas.openxmlformats.org/officeDocument/2006/relationships/hyperlink" Target="https://prozorro.gov.ua/tender/UA-2025-10-03-003374-a" TargetMode="External" Id="rId41" /><Relationship Type="http://schemas.openxmlformats.org/officeDocument/2006/relationships/hyperlink" Target="https://prozorro.gov.ua/tender/UA-2025-12-26-000577-a" TargetMode="External" Id="rId42" /><Relationship Type="http://schemas.openxmlformats.org/officeDocument/2006/relationships/hyperlink" Target="https://prozorro.gov.ua/tender/UA-2026-02-04-005120-a" TargetMode="External" Id="rId43" /><Relationship Type="http://schemas.openxmlformats.org/officeDocument/2006/relationships/hyperlink" Target="https://prozorro.gov.ua/tender/UA-2025-11-11-004978-a" TargetMode="External" Id="rId44" /><Relationship Type="http://schemas.openxmlformats.org/officeDocument/2006/relationships/hyperlink" Target="https://prozorro.gov.ua/tender/UA-2025-11-25-014359-a" TargetMode="External" Id="rId45" /><Relationship Type="http://schemas.openxmlformats.org/officeDocument/2006/relationships/hyperlink" Target="https://prozorro.gov.ua/tender/UA-2025-11-11-008669-a" TargetMode="External" Id="rId46" /><Relationship Type="http://schemas.openxmlformats.org/officeDocument/2006/relationships/hyperlink" Target="https://prozorro.gov.ua/tender/UA-2026-07-08-003573-a" TargetMode="External" Id="rId47" /><Relationship Type="http://schemas.openxmlformats.org/officeDocument/2006/relationships/hyperlink" Target="https://prozorro.gov.ua/tender/UA-2026-07-06-001474-a" TargetMode="External" Id="rId48" /><Relationship Type="http://schemas.openxmlformats.org/officeDocument/2006/relationships/hyperlink" Target="https://prozorro.gov.ua/tender/UA-2026-05-01-003436-a" TargetMode="External" Id="rId49" /><Relationship Type="http://schemas.openxmlformats.org/officeDocument/2006/relationships/hyperlink" Target="https://prozorro.gov.ua/tender/UA-2025-12-25-015554-a" TargetMode="External" Id="rId50" /><Relationship Type="http://schemas.openxmlformats.org/officeDocument/2006/relationships/hyperlink" Target="https://prozorro.gov.ua/tender/UA-2026-02-04-005214-a" TargetMode="External" Id="rId51" /><Relationship Type="http://schemas.openxmlformats.org/officeDocument/2006/relationships/hyperlink" Target="https://prozorro.gov.ua/tender/UA-2025-11-25-013914-a" TargetMode="External" Id="rId52" /><Relationship Type="http://schemas.openxmlformats.org/officeDocument/2006/relationships/hyperlink" Target="https://prozorro.gov.ua/tender/UA-2026-06-09-000586-a" TargetMode="External" Id="rId53" /><Relationship Type="http://schemas.openxmlformats.org/officeDocument/2006/relationships/hyperlink" Target="https://prozorro.gov.ua/tender/UA-2025-11-25-013421-a" TargetMode="External" Id="rId54" /><Relationship Type="http://schemas.openxmlformats.org/officeDocument/2006/relationships/hyperlink" Target="https://prozorro.gov.ua/tender/UA-2026-03-30-001969-a" TargetMode="External" Id="rId55" /><Relationship Type="http://schemas.openxmlformats.org/officeDocument/2006/relationships/hyperlink" Target="https://prozorro.gov.ua/tender/UA-2026-06-25-011478-a" TargetMode="External" Id="rId56" /><Relationship Type="http://schemas.openxmlformats.org/officeDocument/2006/relationships/hyperlink" Target="https://prozorro.gov.ua/tender/UA-2025-12-22-002473-a" TargetMode="External" Id="rId57" /><Relationship Type="http://schemas.openxmlformats.org/officeDocument/2006/relationships/hyperlink" Target="https://prozorro.gov.ua/tender/UA-2026-08-04-010910-a" TargetMode="External" Id="rId58" /><Relationship Type="http://schemas.openxmlformats.org/officeDocument/2006/relationships/hyperlink" Target="https://prozorro.gov.ua/tender/UA-2025-12-03-006193-a" TargetMode="External" Id="rId59" /><Relationship Type="http://schemas.openxmlformats.org/officeDocument/2006/relationships/hyperlink" Target="https://prozorro.gov.ua/tender/UA-2026-02-17-013093-a" TargetMode="External" Id="rId60" /><Relationship Type="http://schemas.openxmlformats.org/officeDocument/2006/relationships/hyperlink" Target="https://prozorro.gov.ua/tender/UA-2026-04-06-006206-a" TargetMode="External" Id="rId61" /><Relationship Type="http://schemas.openxmlformats.org/officeDocument/2006/relationships/hyperlink" Target="https://prozorro.gov.ua/tender/UA-2026-05-14-005108-a" TargetMode="External" Id="rId62" /><Relationship Type="http://schemas.openxmlformats.org/officeDocument/2006/relationships/hyperlink" Target="https://prozorro.gov.ua/tender/UA-2026-04-02-005235-a" TargetMode="External" Id="rId63" /><Relationship Type="http://schemas.openxmlformats.org/officeDocument/2006/relationships/hyperlink" Target="https://prozorro.gov.ua/tender/UA-2025-10-31-001127-a" TargetMode="External" Id="rId64" /><Relationship Type="http://schemas.openxmlformats.org/officeDocument/2006/relationships/hyperlink" Target="https://prozorro.gov.ua/tender/UA-2026-04-06-007529-a" TargetMode="External" Id="rId65" /><Relationship Type="http://schemas.openxmlformats.org/officeDocument/2006/relationships/hyperlink" Target="https://prozorro.gov.ua/tender/UA-2026-04-06-006378-a" TargetMode="External" Id="rId66" /><Relationship Type="http://schemas.openxmlformats.org/officeDocument/2006/relationships/hyperlink" Target="https://prozorro.gov.ua/tender/UA-2026-04-29-000997-a" TargetMode="External" Id="rId67" /><Relationship Type="http://schemas.openxmlformats.org/officeDocument/2006/relationships/hyperlink" Target="https://prozorro.gov.ua/tender/UA-2026-04-28-000741-a" TargetMode="External" Id="rId68" /><Relationship Type="http://schemas.openxmlformats.org/officeDocument/2006/relationships/hyperlink" Target="https://prozorro.gov.ua/tender/UA-2026-07-27-001584-a" TargetMode="External" Id="rId69" /><Relationship Type="http://schemas.openxmlformats.org/officeDocument/2006/relationships/hyperlink" Target="https://prozorro.gov.ua/tender/UA-2026-02-04-000266-a" TargetMode="External" Id="rId70" /><Relationship Type="http://schemas.openxmlformats.org/officeDocument/2006/relationships/hyperlink" Target="https://prozorro.gov.ua/tender/UA-2026-02-04-003027-a" TargetMode="External" Id="rId71" /><Relationship Type="http://schemas.openxmlformats.org/officeDocument/2006/relationships/hyperlink" Target="https://prozorro.gov.ua/tender/UA-2026-08-14-000920-a" TargetMode="External" Id="rId72" /><Relationship Type="http://schemas.openxmlformats.org/officeDocument/2006/relationships/hyperlink" Target="https://prozorro.gov.ua/tender/UA-2026-01-13-002834-a" TargetMode="External" Id="rId73" /><Relationship Type="http://schemas.openxmlformats.org/officeDocument/2006/relationships/hyperlink" Target="https://prozorro.gov.ua/tender/UA-2025-11-04-001201-a" TargetMode="External" Id="rId74" /><Relationship Type="http://schemas.openxmlformats.org/officeDocument/2006/relationships/hyperlink" Target="https://prozorro.gov.ua/tender/UA-2026-01-15-003366-a" TargetMode="External" Id="rId75" /><Relationship Type="http://schemas.openxmlformats.org/officeDocument/2006/relationships/hyperlink" Target="https://prozorro.gov.ua/tender/UA-2026-02-16-008541-a" TargetMode="External" Id="rId76" /><Relationship Type="http://schemas.openxmlformats.org/officeDocument/2006/relationships/hyperlink" Target="https://prozorro.gov.ua/tender/UA-2026-02-18-007805-a" TargetMode="External" Id="rId77" /><Relationship Type="http://schemas.openxmlformats.org/officeDocument/2006/relationships/hyperlink" Target="https://prozorro.gov.ua/tender/UA-2025-12-09-000950-a" TargetMode="External" Id="rId78" /><Relationship Type="http://schemas.openxmlformats.org/officeDocument/2006/relationships/hyperlink" Target="https://prozorro.gov.ua/tender/UA-2025-12-19-022968-a" TargetMode="External" Id="rId79" /><Relationship Type="http://schemas.openxmlformats.org/officeDocument/2006/relationships/hyperlink" Target="https://prozorro.gov.ua/tender/UA-2025-11-24-012403-a" TargetMode="External" Id="rId80" /><Relationship Type="http://schemas.openxmlformats.org/officeDocument/2006/relationships/hyperlink" Target="https://prozorro.gov.ua/tender/UA-2025-11-25-008532-a" TargetMode="External" Id="rId81" /><Relationship Type="http://schemas.openxmlformats.org/officeDocument/2006/relationships/hyperlink" Target="https://prozorro.gov.ua/tender/UA-2025-12-05-008674-a" TargetMode="External" Id="rId82" /><Relationship Type="http://schemas.openxmlformats.org/officeDocument/2006/relationships/hyperlink" Target="https://prozorro.gov.ua/tender/UA-2026-02-27-005868-a" TargetMode="External" Id="rId83" /><Relationship Type="http://schemas.openxmlformats.org/officeDocument/2006/relationships/hyperlink" Target="https://prozorro.gov.ua/tender/UA-2025-12-18-005141-a" TargetMode="External" Id="rId84" /><Relationship Type="http://schemas.openxmlformats.org/officeDocument/2006/relationships/hyperlink" Target="https://prozorro.gov.ua/tender/UA-2026-01-15-004626-a" TargetMode="External" Id="rId85" /><Relationship Type="http://schemas.openxmlformats.org/officeDocument/2006/relationships/hyperlink" Target="https://prozorro.gov.ua/tender/UA-2025-10-09-013483-a" TargetMode="External" Id="rId86" /><Relationship Type="http://schemas.openxmlformats.org/officeDocument/2006/relationships/hyperlink" Target="https://prozorro.gov.ua/tender/UA-2025-12-26-007896-a" TargetMode="External" Id="rId87" /><Relationship Type="http://schemas.openxmlformats.org/officeDocument/2006/relationships/hyperlink" Target="https://prozorro.gov.ua/tender/UA-2025-09-11-010638-a" TargetMode="External" Id="rId88" /><Relationship Type="http://schemas.openxmlformats.org/officeDocument/2006/relationships/hyperlink" Target="https://prozorro.gov.ua/tender/UA-2025-11-11-008386-a" TargetMode="External" Id="rId89" /><Relationship Type="http://schemas.openxmlformats.org/officeDocument/2006/relationships/hyperlink" Target="https://prozorro.gov.ua/tender/UA-2026-02-27-006254-a" TargetMode="External" Id="rId90" /><Relationship Type="http://schemas.openxmlformats.org/officeDocument/2006/relationships/hyperlink" Target="https://prozorro.gov.ua/tender/UA-2026-08-27-003601-a" TargetMode="External" Id="rId91" /><Relationship Type="http://schemas.openxmlformats.org/officeDocument/2006/relationships/hyperlink" Target="https://prozorro.gov.ua/tender/UA-2026-01-27-015449-a" TargetMode="External" Id="rId92" /><Relationship Type="http://schemas.openxmlformats.org/officeDocument/2006/relationships/hyperlink" Target="https://prozorro.gov.ua/tender/UA-2026-08-27-003105-a" TargetMode="External" Id="rId93" /><Relationship Type="http://schemas.openxmlformats.org/officeDocument/2006/relationships/hyperlink" Target="https://prozorro.gov.ua/tender/UA-2025-11-11-005205-a" TargetMode="External" Id="rId94" /><Relationship Type="http://schemas.openxmlformats.org/officeDocument/2006/relationships/hyperlink" Target="https://prozorro.gov.ua/tender/UA-2025-10-03-003374-a" TargetMode="External" Id="rId95" /><Relationship Type="http://schemas.openxmlformats.org/officeDocument/2006/relationships/hyperlink" Target="https://prozorro.gov.ua/tender/UA-2025-12-26-000577-a" TargetMode="External" Id="rId96" /><Relationship Type="http://schemas.openxmlformats.org/officeDocument/2006/relationships/hyperlink" Target="https://prozorro.gov.ua/tender/UA-2026-02-04-005120-a" TargetMode="External" Id="rId97" /><Relationship Type="http://schemas.openxmlformats.org/officeDocument/2006/relationships/hyperlink" Target="https://prozorro.gov.ua/tender/UA-2025-11-11-004978-a" TargetMode="External" Id="rId98" /><Relationship Type="http://schemas.openxmlformats.org/officeDocument/2006/relationships/hyperlink" Target="https://prozorro.gov.ua/tender/UA-2025-11-25-014359-a" TargetMode="External" Id="rId99" /><Relationship Type="http://schemas.openxmlformats.org/officeDocument/2006/relationships/hyperlink" Target="https://prozorro.gov.ua/tender/UA-2025-11-11-008669-a" TargetMode="External" Id="rId100" /><Relationship Type="http://schemas.openxmlformats.org/officeDocument/2006/relationships/hyperlink" Target="https://prozorro.gov.ua/tender/UA-2026-07-08-003573-a" TargetMode="External" Id="rId101" /><Relationship Type="http://schemas.openxmlformats.org/officeDocument/2006/relationships/hyperlink" Target="https://prozorro.gov.ua/tender/UA-2026-07-06-001474-a" TargetMode="External" Id="rId102" /><Relationship Type="http://schemas.openxmlformats.org/officeDocument/2006/relationships/hyperlink" Target="https://prozorro.gov.ua/tender/UA-2026-05-01-003436-a" TargetMode="External" Id="rId103" /><Relationship Type="http://schemas.openxmlformats.org/officeDocument/2006/relationships/hyperlink" Target="https://prozorro.gov.ua/tender/UA-2025-12-25-015554-a" TargetMode="External" Id="rId104" /><Relationship Type="http://schemas.openxmlformats.org/officeDocument/2006/relationships/hyperlink" Target="https://prozorro.gov.ua/tender/UA-2026-02-04-005214-a" TargetMode="External" Id="rId105" /><Relationship Type="http://schemas.openxmlformats.org/officeDocument/2006/relationships/hyperlink" Target="https://prozorro.gov.ua/tender/UA-2025-11-25-013914-a" TargetMode="External" Id="rId106" /><Relationship Type="http://schemas.openxmlformats.org/officeDocument/2006/relationships/hyperlink" Target="https://prozorro.gov.ua/tender/UA-2026-06-09-000586-a" TargetMode="External" Id="rId107" /><Relationship Type="http://schemas.openxmlformats.org/officeDocument/2006/relationships/hyperlink" Target="https://prozorro.gov.ua/tender/UA-2025-11-25-013421-a" TargetMode="External" Id="rId108" /><Relationship Type="http://schemas.openxmlformats.org/officeDocument/2006/relationships/drawing" Target="/xl/drawings/drawing32.xml" Id="rId109" /><Relationship Type="http://schemas.openxmlformats.org/officeDocument/2006/relationships/table" Target="/xl/tables/table139.xml" Id="rId110" /><Relationship Type="http://schemas.openxmlformats.org/officeDocument/2006/relationships/table" Target="/xl/tables/table140.xml" Id="rId111" /><Relationship Type="http://schemas.openxmlformats.org/officeDocument/2006/relationships/table" Target="/xl/tables/table141.xml" Id="rId112" /><Relationship Type="http://schemas.openxmlformats.org/officeDocument/2006/relationships/table" Target="/xl/tables/table142.xml" Id="rId113" /></Relationships>
</file>

<file path=xl/worksheets/_rels/sheet34.xml.rels><Relationships xmlns="http://schemas.openxmlformats.org/package/2006/relationships"><Relationship Type="http://schemas.openxmlformats.org/officeDocument/2006/relationships/hyperlink" Target="https://prozorro.gov.ua/tender/UA-2025-10-24-015870-a" TargetMode="External" Id="rId1" /><Relationship Type="http://schemas.openxmlformats.org/officeDocument/2006/relationships/hyperlink" Target="https://prozorro.gov.ua/tender/UA-2025-10-29-011635-a" TargetMode="External" Id="rId2" /><Relationship Type="http://schemas.openxmlformats.org/officeDocument/2006/relationships/hyperlink" Target="https://prozorro.gov.ua/tender/UA-2025-10-01-005167-a" TargetMode="External" Id="rId3" /><Relationship Type="http://schemas.openxmlformats.org/officeDocument/2006/relationships/hyperlink" Target="https://prozorro.gov.ua/tender/UA-2025-11-26-016214-a" TargetMode="External" Id="rId4" /><Relationship Type="http://schemas.openxmlformats.org/officeDocument/2006/relationships/hyperlink" Target="https://prozorro.gov.ua/tender/UA-2025-11-05-015298-a" TargetMode="External" Id="rId5" /><Relationship Type="http://schemas.openxmlformats.org/officeDocument/2006/relationships/hyperlink" Target="https://prozorro.gov.ua/tender/UA-2025-11-04-016904-a" TargetMode="External" Id="rId6" /><Relationship Type="http://schemas.openxmlformats.org/officeDocument/2006/relationships/hyperlink" Target="https://prozorro.gov.ua/tender/UA-2026-07-15-011524-a" TargetMode="External" Id="rId7" /><Relationship Type="http://schemas.openxmlformats.org/officeDocument/2006/relationships/hyperlink" Target="https://prozorro.gov.ua/tender/UA-2025-12-25-008718-a" TargetMode="External" Id="rId8" /><Relationship Type="http://schemas.openxmlformats.org/officeDocument/2006/relationships/hyperlink" Target="https://prozorro.gov.ua/tender/UA-2025-12-10-012543-a" TargetMode="External" Id="rId9" /><Relationship Type="http://schemas.openxmlformats.org/officeDocument/2006/relationships/hyperlink" Target="https://prozorro.gov.ua/tender/UA-2025-10-24-015870-a" TargetMode="External" Id="rId10" /><Relationship Type="http://schemas.openxmlformats.org/officeDocument/2006/relationships/hyperlink" Target="https://prozorro.gov.ua/tender/UA-2025-10-29-011635-a" TargetMode="External" Id="rId11" /><Relationship Type="http://schemas.openxmlformats.org/officeDocument/2006/relationships/hyperlink" Target="https://prozorro.gov.ua/tender/UA-2025-10-01-005167-a" TargetMode="External" Id="rId12" /><Relationship Type="http://schemas.openxmlformats.org/officeDocument/2006/relationships/hyperlink" Target="https://prozorro.gov.ua/tender/UA-2025-11-26-016214-a" TargetMode="External" Id="rId13" /><Relationship Type="http://schemas.openxmlformats.org/officeDocument/2006/relationships/hyperlink" Target="https://prozorro.gov.ua/tender/UA-2025-11-05-015298-a" TargetMode="External" Id="rId14" /><Relationship Type="http://schemas.openxmlformats.org/officeDocument/2006/relationships/hyperlink" Target="https://prozorro.gov.ua/tender/UA-2025-11-04-016904-a" TargetMode="External" Id="rId15" /><Relationship Type="http://schemas.openxmlformats.org/officeDocument/2006/relationships/hyperlink" Target="https://prozorro.gov.ua/tender/UA-2026-07-15-011524-a" TargetMode="External" Id="rId16" /><Relationship Type="http://schemas.openxmlformats.org/officeDocument/2006/relationships/hyperlink" Target="https://prozorro.gov.ua/tender/UA-2025-12-25-008718-a" TargetMode="External" Id="rId17" /><Relationship Type="http://schemas.openxmlformats.org/officeDocument/2006/relationships/hyperlink" Target="https://prozorro.gov.ua/tender/UA-2025-12-10-012543-a" TargetMode="External" Id="rId18" /><Relationship Type="http://schemas.openxmlformats.org/officeDocument/2006/relationships/drawing" Target="/xl/drawings/drawing33.xml" Id="rId19" /><Relationship Type="http://schemas.openxmlformats.org/officeDocument/2006/relationships/table" Target="/xl/tables/table143.xml" Id="rId20" /><Relationship Type="http://schemas.openxmlformats.org/officeDocument/2006/relationships/table" Target="/xl/tables/table144.xml" Id="rId21" /><Relationship Type="http://schemas.openxmlformats.org/officeDocument/2006/relationships/table" Target="/xl/tables/table145.xml" Id="rId22" /><Relationship Type="http://schemas.openxmlformats.org/officeDocument/2006/relationships/table" Target="/xl/tables/table146.xml" Id="rId23" /><Relationship Type="http://schemas.openxmlformats.org/officeDocument/2006/relationships/table" Target="/xl/tables/table147.xml" Id="rId24" /></Relationships>
</file>

<file path=xl/worksheets/_rels/sheet35.xml.rels><Relationships xmlns="http://schemas.openxmlformats.org/package/2006/relationships"><Relationship Type="http://schemas.openxmlformats.org/officeDocument/2006/relationships/hyperlink" Target="https://prozorro.gov.ua/tender/UA-2026-08-13-003838-a" TargetMode="External" Id="rId1" /><Relationship Type="http://schemas.openxmlformats.org/officeDocument/2006/relationships/hyperlink" Target="https://prozorro.gov.ua/tender/UA-2026-07-08-003947-a" TargetMode="External" Id="rId2" /><Relationship Type="http://schemas.openxmlformats.org/officeDocument/2006/relationships/hyperlink" Target="https://prozorro.gov.ua/tender/UA-2026-04-17-005811-a" TargetMode="External" Id="rId3" /><Relationship Type="http://schemas.openxmlformats.org/officeDocument/2006/relationships/hyperlink" Target="https://prozorro.gov.ua/tender/UA-2026-08-19-010837-a" TargetMode="External" Id="rId4" /><Relationship Type="http://schemas.openxmlformats.org/officeDocument/2006/relationships/hyperlink" Target="https://prozorro.gov.ua/tender/UA-2026-05-18-012093-a" TargetMode="External" Id="rId5" /><Relationship Type="http://schemas.openxmlformats.org/officeDocument/2006/relationships/hyperlink" Target="https://prozorro.gov.ua/tender/UA-2026-06-09-010646-a" TargetMode="External" Id="rId6" /><Relationship Type="http://schemas.openxmlformats.org/officeDocument/2006/relationships/hyperlink" Target="https://prozorro.gov.ua/tender/UA-2026-08-13-003838-a" TargetMode="External" Id="rId7" /><Relationship Type="http://schemas.openxmlformats.org/officeDocument/2006/relationships/hyperlink" Target="https://prozorro.gov.ua/tender/UA-2026-07-08-003947-a" TargetMode="External" Id="rId8" /><Relationship Type="http://schemas.openxmlformats.org/officeDocument/2006/relationships/hyperlink" Target="https://prozorro.gov.ua/tender/UA-2026-04-17-005811-a" TargetMode="External" Id="rId9" /><Relationship Type="http://schemas.openxmlformats.org/officeDocument/2006/relationships/hyperlink" Target="https://prozorro.gov.ua/tender/UA-2026-08-19-010837-a" TargetMode="External" Id="rId10" /><Relationship Type="http://schemas.openxmlformats.org/officeDocument/2006/relationships/hyperlink" Target="https://prozorro.gov.ua/tender/UA-2026-05-18-012093-a" TargetMode="External" Id="rId11" /><Relationship Type="http://schemas.openxmlformats.org/officeDocument/2006/relationships/hyperlink" Target="https://prozorro.gov.ua/tender/UA-2026-06-09-010646-a" TargetMode="External" Id="rId12" /><Relationship Type="http://schemas.openxmlformats.org/officeDocument/2006/relationships/drawing" Target="/xl/drawings/drawing34.xml" Id="rId13" /><Relationship Type="http://schemas.openxmlformats.org/officeDocument/2006/relationships/table" Target="/xl/tables/table148.xml" Id="rId14" /><Relationship Type="http://schemas.openxmlformats.org/officeDocument/2006/relationships/table" Target="/xl/tables/table149.xml" Id="rId15" /><Relationship Type="http://schemas.openxmlformats.org/officeDocument/2006/relationships/table" Target="/xl/tables/table150.xml" Id="rId16" /><Relationship Type="http://schemas.openxmlformats.org/officeDocument/2006/relationships/table" Target="/xl/tables/table151.xml" Id="rId17" /></Relationships>
</file>

<file path=xl/worksheets/_rels/sheet36.xml.rels><Relationships xmlns="http://schemas.openxmlformats.org/package/2006/relationships"><Relationship Type="http://schemas.openxmlformats.org/officeDocument/2006/relationships/hyperlink" Target="https://prozorro.gov.ua/tender/UA-2026-07-31-005748-a" TargetMode="External" Id="rId1" /><Relationship Type="http://schemas.openxmlformats.org/officeDocument/2006/relationships/hyperlink" Target="https://prozorro.gov.ua/tender/UA-2025-11-27-008022-a" TargetMode="External" Id="rId2" /><Relationship Type="http://schemas.openxmlformats.org/officeDocument/2006/relationships/hyperlink" Target="https://prozorro.gov.ua/tender/UA-2025-12-24-007483-a" TargetMode="External" Id="rId3" /><Relationship Type="http://schemas.openxmlformats.org/officeDocument/2006/relationships/hyperlink" Target="https://prozorro.gov.ua/tender/UA-2026-07-31-005748-a" TargetMode="External" Id="rId4" /><Relationship Type="http://schemas.openxmlformats.org/officeDocument/2006/relationships/hyperlink" Target="https://prozorro.gov.ua/tender/UA-2025-11-27-008022-a" TargetMode="External" Id="rId5" /><Relationship Type="http://schemas.openxmlformats.org/officeDocument/2006/relationships/hyperlink" Target="https://prozorro.gov.ua/tender/UA-2025-12-24-007483-a" TargetMode="External" Id="rId6" /><Relationship Type="http://schemas.openxmlformats.org/officeDocument/2006/relationships/drawing" Target="/xl/drawings/drawing35.xml" Id="rId7" /><Relationship Type="http://schemas.openxmlformats.org/officeDocument/2006/relationships/table" Target="/xl/tables/table152.xml" Id="rId8" /><Relationship Type="http://schemas.openxmlformats.org/officeDocument/2006/relationships/table" Target="/xl/tables/table153.xml" Id="rId9" /><Relationship Type="http://schemas.openxmlformats.org/officeDocument/2006/relationships/table" Target="/xl/tables/table154.xml" Id="rId10" /><Relationship Type="http://schemas.openxmlformats.org/officeDocument/2006/relationships/table" Target="/xl/tables/table155.xml" Id="rId11" /><Relationship Type="http://schemas.openxmlformats.org/officeDocument/2006/relationships/table" Target="/xl/tables/table156.xml" Id="rId12" /></Relationships>
</file>

<file path=xl/worksheets/_rels/sheet37.xml.rels><Relationships xmlns="http://schemas.openxmlformats.org/package/2006/relationships"><Relationship Type="http://schemas.openxmlformats.org/officeDocument/2006/relationships/hyperlink" Target="https://prozorro.gov.ua/tender/UA-2025-10-28-010787-a" TargetMode="External" Id="rId1" /><Relationship Type="http://schemas.openxmlformats.org/officeDocument/2006/relationships/hyperlink" Target="https://prozorro.gov.ua/tender/UA-2025-10-24-012403-a" TargetMode="External" Id="rId2" /><Relationship Type="http://schemas.openxmlformats.org/officeDocument/2006/relationships/hyperlink" Target="https://prozorro.gov.ua/tender/UA-2026-04-06-002585-a" TargetMode="External" Id="rId3" /><Relationship Type="http://schemas.openxmlformats.org/officeDocument/2006/relationships/hyperlink" Target="https://prozorro.gov.ua/tender/UA-2026-05-27-012781-a" TargetMode="External" Id="rId4" /><Relationship Type="http://schemas.openxmlformats.org/officeDocument/2006/relationships/hyperlink" Target="https://prozorro.gov.ua/tender/UA-2026-06-04-010998-a" TargetMode="External" Id="rId5" /><Relationship Type="http://schemas.openxmlformats.org/officeDocument/2006/relationships/hyperlink" Target="https://prozorro.gov.ua/tender/UA-2025-12-17-023135-a" TargetMode="External" Id="rId6" /><Relationship Type="http://schemas.openxmlformats.org/officeDocument/2006/relationships/hyperlink" Target="https://prozorro.gov.ua/tender/UA-2025-11-11-016946-a" TargetMode="External" Id="rId7" /><Relationship Type="http://schemas.openxmlformats.org/officeDocument/2006/relationships/hyperlink" Target="https://prozorro.gov.ua/tender/UA-2026-04-21-005323-a" TargetMode="External" Id="rId8" /><Relationship Type="http://schemas.openxmlformats.org/officeDocument/2006/relationships/hyperlink" Target="https://prozorro.gov.ua/tender/UA-2026-07-23-002735-a" TargetMode="External" Id="rId9" /><Relationship Type="http://schemas.openxmlformats.org/officeDocument/2006/relationships/hyperlink" Target="https://prozorro.gov.ua/tender/UA-2026-06-18-013017-a" TargetMode="External" Id="rId10" /><Relationship Type="http://schemas.openxmlformats.org/officeDocument/2006/relationships/hyperlink" Target="https://prozorro.gov.ua/tender/UA-2026-08-14-011549-a" TargetMode="External" Id="rId11" /><Relationship Type="http://schemas.openxmlformats.org/officeDocument/2006/relationships/hyperlink" Target="https://prozorro.gov.ua/tender/UA-2026-06-18-010301-a" TargetMode="External" Id="rId12" /><Relationship Type="http://schemas.openxmlformats.org/officeDocument/2006/relationships/hyperlink" Target="https://prozorro.gov.ua/tender/UA-2026-06-03-002897-a" TargetMode="External" Id="rId13" /><Relationship Type="http://schemas.openxmlformats.org/officeDocument/2006/relationships/hyperlink" Target="https://prozorro.gov.ua/tender/UA-2025-12-05-006402-a" TargetMode="External" Id="rId14" /><Relationship Type="http://schemas.openxmlformats.org/officeDocument/2006/relationships/hyperlink" Target="https://prozorro.gov.ua/tender/UA-2025-12-25-005550-a" TargetMode="External" Id="rId15" /><Relationship Type="http://schemas.openxmlformats.org/officeDocument/2006/relationships/hyperlink" Target="https://prozorro.gov.ua/tender/UA-2025-12-17-021142-a" TargetMode="External" Id="rId16" /><Relationship Type="http://schemas.openxmlformats.org/officeDocument/2006/relationships/hyperlink" Target="https://prozorro.gov.ua/tender/UA-2026-03-12-001016-a" TargetMode="External" Id="rId17" /><Relationship Type="http://schemas.openxmlformats.org/officeDocument/2006/relationships/hyperlink" Target="https://prozorro.gov.ua/tender/UA-2026-03-12-001423-a" TargetMode="External" Id="rId18" /><Relationship Type="http://schemas.openxmlformats.org/officeDocument/2006/relationships/hyperlink" Target="https://prozorro.gov.ua/tender/UA-2025-10-16-007461-a" TargetMode="External" Id="rId19" /><Relationship Type="http://schemas.openxmlformats.org/officeDocument/2006/relationships/hyperlink" Target="https://prozorro.gov.ua/tender/UA-2026-06-04-012177-a" TargetMode="External" Id="rId20" /><Relationship Type="http://schemas.openxmlformats.org/officeDocument/2006/relationships/hyperlink" Target="https://prozorro.gov.ua/tender/UA-2026-08-18-008314-a" TargetMode="External" Id="rId21" /><Relationship Type="http://schemas.openxmlformats.org/officeDocument/2006/relationships/hyperlink" Target="https://prozorro.gov.ua/tender/UA-2025-12-17-023135-a" TargetMode="External" Id="rId22" /><Relationship Type="http://schemas.openxmlformats.org/officeDocument/2006/relationships/hyperlink" Target="https://prozorro.gov.ua/tender/UA-2025-11-11-016946-a" TargetMode="External" Id="rId23" /><Relationship Type="http://schemas.openxmlformats.org/officeDocument/2006/relationships/hyperlink" Target="https://prozorro.gov.ua/tender/UA-2026-04-21-005323-a" TargetMode="External" Id="rId24" /><Relationship Type="http://schemas.openxmlformats.org/officeDocument/2006/relationships/hyperlink" Target="https://prozorro.gov.ua/tender/UA-2026-07-23-002735-a" TargetMode="External" Id="rId25" /><Relationship Type="http://schemas.openxmlformats.org/officeDocument/2006/relationships/hyperlink" Target="https://prozorro.gov.ua/tender/UA-2026-06-18-013017-a" TargetMode="External" Id="rId26" /><Relationship Type="http://schemas.openxmlformats.org/officeDocument/2006/relationships/hyperlink" Target="https://prozorro.gov.ua/tender/UA-2026-06-18-010301-a" TargetMode="External" Id="rId27" /><Relationship Type="http://schemas.openxmlformats.org/officeDocument/2006/relationships/hyperlink" Target="https://prozorro.gov.ua/tender/UA-2026-08-14-011549-a" TargetMode="External" Id="rId28" /><Relationship Type="http://schemas.openxmlformats.org/officeDocument/2006/relationships/hyperlink" Target="https://prozorro.gov.ua/tender/UA-2026-06-03-002897-a" TargetMode="External" Id="rId29" /><Relationship Type="http://schemas.openxmlformats.org/officeDocument/2006/relationships/hyperlink" Target="https://prozorro.gov.ua/tender/UA-2025-12-05-006402-a" TargetMode="External" Id="rId30" /><Relationship Type="http://schemas.openxmlformats.org/officeDocument/2006/relationships/hyperlink" Target="https://prozorro.gov.ua/tender/UA-2025-12-25-005550-a" TargetMode="External" Id="rId31" /><Relationship Type="http://schemas.openxmlformats.org/officeDocument/2006/relationships/hyperlink" Target="https://prozorro.gov.ua/tender/UA-2025-12-17-021142-a" TargetMode="External" Id="rId32" /><Relationship Type="http://schemas.openxmlformats.org/officeDocument/2006/relationships/hyperlink" Target="https://prozorro.gov.ua/tender/UA-2026-03-12-001016-a" TargetMode="External" Id="rId33" /><Relationship Type="http://schemas.openxmlformats.org/officeDocument/2006/relationships/hyperlink" Target="https://prozorro.gov.ua/tender/UA-2026-03-12-001423-a" TargetMode="External" Id="rId34" /><Relationship Type="http://schemas.openxmlformats.org/officeDocument/2006/relationships/hyperlink" Target="https://prozorro.gov.ua/tender/UA-2025-10-16-007461-a" TargetMode="External" Id="rId35" /><Relationship Type="http://schemas.openxmlformats.org/officeDocument/2006/relationships/hyperlink" Target="https://prozorro.gov.ua/tender/UA-2026-06-04-012177-a" TargetMode="External" Id="rId36" /><Relationship Type="http://schemas.openxmlformats.org/officeDocument/2006/relationships/hyperlink" Target="https://prozorro.gov.ua/tender/UA-2026-08-18-008314-a" TargetMode="External" Id="rId37" /><Relationship Type="http://schemas.openxmlformats.org/officeDocument/2006/relationships/drawing" Target="/xl/drawings/drawing36.xml" Id="rId38" /><Relationship Type="http://schemas.openxmlformats.org/officeDocument/2006/relationships/table" Target="/xl/tables/table157.xml" Id="rId39" /><Relationship Type="http://schemas.openxmlformats.org/officeDocument/2006/relationships/table" Target="/xl/tables/table158.xml" Id="rId40" /><Relationship Type="http://schemas.openxmlformats.org/officeDocument/2006/relationships/table" Target="/xl/tables/table159.xml" Id="rId41" /><Relationship Type="http://schemas.openxmlformats.org/officeDocument/2006/relationships/table" Target="/xl/tables/table160.xml" Id="rId42" /><Relationship Type="http://schemas.openxmlformats.org/officeDocument/2006/relationships/table" Target="/xl/tables/table161.xml" Id="rId43" /><Relationship Type="http://schemas.openxmlformats.org/officeDocument/2006/relationships/table" Target="/xl/tables/table162.xml" Id="rId44" /></Relationships>
</file>

<file path=xl/worksheets/_rels/sheet38.xml.rels><Relationships xmlns="http://schemas.openxmlformats.org/package/2006/relationships"><Relationship Type="http://schemas.openxmlformats.org/officeDocument/2006/relationships/hyperlink" Target="https://prozorro.gov.ua/tender/UA-2025-09-12-006819-a" TargetMode="External" Id="rId1" /><Relationship Type="http://schemas.openxmlformats.org/officeDocument/2006/relationships/hyperlink" Target="https://prozorro.gov.ua/tender/UA-2025-11-14-015599-a" TargetMode="External" Id="rId2" /><Relationship Type="http://schemas.openxmlformats.org/officeDocument/2006/relationships/hyperlink" Target="https://prozorro.gov.ua/tender/UA-2025-11-27-013291-a" TargetMode="External" Id="rId3" /><Relationship Type="http://schemas.openxmlformats.org/officeDocument/2006/relationships/hyperlink" Target="https://prozorro.gov.ua/tender/UA-2026-02-19-010901-a" TargetMode="External" Id="rId4" /><Relationship Type="http://schemas.openxmlformats.org/officeDocument/2006/relationships/hyperlink" Target="https://prozorro.gov.ua/tender/UA-2026-04-17-005811-a" TargetMode="External" Id="rId5" /><Relationship Type="http://schemas.openxmlformats.org/officeDocument/2006/relationships/hyperlink" Target="https://prozorro.gov.ua/tender/UA-2025-10-27-014765-a" TargetMode="External" Id="rId6" /><Relationship Type="http://schemas.openxmlformats.org/officeDocument/2006/relationships/hyperlink" Target="https://prozorro.gov.ua/tender/UA-2025-09-23-001196-a" TargetMode="External" Id="rId7" /><Relationship Type="http://schemas.openxmlformats.org/officeDocument/2006/relationships/hyperlink" Target="https://prozorro.gov.ua/tender/UA-2026-08-19-010837-a" TargetMode="External" Id="rId8" /><Relationship Type="http://schemas.openxmlformats.org/officeDocument/2006/relationships/hyperlink" Target="https://prozorro.gov.ua/tender/UA-2026-01-27-008052-a" TargetMode="External" Id="rId9" /><Relationship Type="http://schemas.openxmlformats.org/officeDocument/2006/relationships/hyperlink" Target="https://prozorro.gov.ua/tender/UA-2025-11-21-016116-a" TargetMode="External" Id="rId10" /><Relationship Type="http://schemas.openxmlformats.org/officeDocument/2006/relationships/hyperlink" Target="https://prozorro.gov.ua/tender/UA-2025-11-14-014735-a" TargetMode="External" Id="rId11" /><Relationship Type="http://schemas.openxmlformats.org/officeDocument/2006/relationships/hyperlink" Target="https://prozorro.gov.ua/tender/UA-2025-11-03-001599-a" TargetMode="External" Id="rId12" /><Relationship Type="http://schemas.openxmlformats.org/officeDocument/2006/relationships/hyperlink" Target="https://prozorro.gov.ua/tender/UA-2026-06-09-010646-a" TargetMode="External" Id="rId13" /><Relationship Type="http://schemas.openxmlformats.org/officeDocument/2006/relationships/hyperlink" Target="https://prozorro.gov.ua/tender/UA-2026-03-04-010049-a" TargetMode="External" Id="rId14" /><Relationship Type="http://schemas.openxmlformats.org/officeDocument/2006/relationships/hyperlink" Target="https://prozorro.gov.ua/tender/UA-2025-11-21-015712-a" TargetMode="External" Id="rId15" /><Relationship Type="http://schemas.openxmlformats.org/officeDocument/2006/relationships/hyperlink" Target="https://prozorro.gov.ua/tender/UA-2026-01-27-018088-a" TargetMode="External" Id="rId16" /><Relationship Type="http://schemas.openxmlformats.org/officeDocument/2006/relationships/hyperlink" Target="https://prozorro.gov.ua/tender/UA-2025-10-10-006331-a" TargetMode="External" Id="rId17" /><Relationship Type="http://schemas.openxmlformats.org/officeDocument/2006/relationships/hyperlink" Target="https://prozorro.gov.ua/tender/UA-2026-05-27-000085-a" TargetMode="External" Id="rId18" /><Relationship Type="http://schemas.openxmlformats.org/officeDocument/2006/relationships/hyperlink" Target="https://prozorro.gov.ua/tender/UA-2026-06-16-008359-a" TargetMode="External" Id="rId19" /><Relationship Type="http://schemas.openxmlformats.org/officeDocument/2006/relationships/hyperlink" Target="https://prozorro.gov.ua/tender/UA-2025-09-09-008091-a" TargetMode="External" Id="rId20" /><Relationship Type="http://schemas.openxmlformats.org/officeDocument/2006/relationships/hyperlink" Target="https://prozorro.gov.ua/tender/UA-2025-10-27-015405-a" TargetMode="External" Id="rId21" /><Relationship Type="http://schemas.openxmlformats.org/officeDocument/2006/relationships/hyperlink" Target="https://prozorro.gov.ua/tender/UA-2026-03-24-014217-a" TargetMode="External" Id="rId22" /><Relationship Type="http://schemas.openxmlformats.org/officeDocument/2006/relationships/hyperlink" Target="https://prozorro.gov.ua/tender/UA-2025-12-09-006191-a" TargetMode="External" Id="rId23" /><Relationship Type="http://schemas.openxmlformats.org/officeDocument/2006/relationships/hyperlink" Target="https://prozorro.gov.ua/tender/UA-2025-10-28-014986-a" TargetMode="External" Id="rId24" /><Relationship Type="http://schemas.openxmlformats.org/officeDocument/2006/relationships/hyperlink" Target="https://prozorro.gov.ua/tender/UA-2026-08-21-010634-a" TargetMode="External" Id="rId25" /><Relationship Type="http://schemas.openxmlformats.org/officeDocument/2006/relationships/hyperlink" Target="https://prozorro.gov.ua/tender/UA-2025-12-09-020374-a" TargetMode="External" Id="rId26" /><Relationship Type="http://schemas.openxmlformats.org/officeDocument/2006/relationships/hyperlink" Target="https://prozorro.gov.ua/tender/UA-2025-09-10-011386-a" TargetMode="External" Id="rId27" /><Relationship Type="http://schemas.openxmlformats.org/officeDocument/2006/relationships/hyperlink" Target="https://prozorro.gov.ua/tender/UA-2026-08-21-002218-a" TargetMode="External" Id="rId28" /><Relationship Type="http://schemas.openxmlformats.org/officeDocument/2006/relationships/hyperlink" Target="https://prozorro.gov.ua/tender/UA-2025-10-28-014986-a" TargetMode="External" Id="rId29" /><Relationship Type="http://schemas.openxmlformats.org/officeDocument/2006/relationships/hyperlink" Target="https://prozorro.gov.ua/tender/UA-2025-10-15-013167-a" TargetMode="External" Id="rId30" /><Relationship Type="http://schemas.openxmlformats.org/officeDocument/2006/relationships/hyperlink" Target="https://prozorro.gov.ua/tender/UA-2026-03-24-014217-a" TargetMode="External" Id="rId31" /><Relationship Type="http://schemas.openxmlformats.org/officeDocument/2006/relationships/hyperlink" Target="https://prozorro.gov.ua/tender/UA-2025-12-09-006191-a" TargetMode="External" Id="rId32" /><Relationship Type="http://schemas.openxmlformats.org/officeDocument/2006/relationships/hyperlink" Target="https://prozorro.gov.ua/tender/UA-2026-08-21-010634-a" TargetMode="External" Id="rId33" /><Relationship Type="http://schemas.openxmlformats.org/officeDocument/2006/relationships/hyperlink" Target="https://prozorro.gov.ua/tender/UA-2025-12-09-020374-a" TargetMode="External" Id="rId34" /><Relationship Type="http://schemas.openxmlformats.org/officeDocument/2006/relationships/hyperlink" Target="https://prozorro.gov.ua/tender/UA-2025-09-10-011386-a" TargetMode="External" Id="rId35" /><Relationship Type="http://schemas.openxmlformats.org/officeDocument/2006/relationships/hyperlink" Target="https://prozorro.gov.ua/tender/UA-2026-08-21-002218-a" TargetMode="External" Id="rId36" /><Relationship Type="http://schemas.openxmlformats.org/officeDocument/2006/relationships/hyperlink" Target="https://prozorro.gov.ua/tender/UA-2025-10-28-014986-a" TargetMode="External" Id="rId37" /><Relationship Type="http://schemas.openxmlformats.org/officeDocument/2006/relationships/hyperlink" Target="https://prozorro.gov.ua/tender/UA-2025-10-15-013167-a" TargetMode="External" Id="rId38" /><Relationship Type="http://schemas.openxmlformats.org/officeDocument/2006/relationships/drawing" Target="/xl/drawings/drawing37.xml" Id="rId39" /><Relationship Type="http://schemas.openxmlformats.org/officeDocument/2006/relationships/table" Target="/xl/tables/table163.xml" Id="rId40" /><Relationship Type="http://schemas.openxmlformats.org/officeDocument/2006/relationships/table" Target="/xl/tables/table164.xml" Id="rId41" /><Relationship Type="http://schemas.openxmlformats.org/officeDocument/2006/relationships/table" Target="/xl/tables/table165.xml" Id="rId42" /><Relationship Type="http://schemas.openxmlformats.org/officeDocument/2006/relationships/table" Target="/xl/tables/table166.xml" Id="rId43" /><Relationship Type="http://schemas.openxmlformats.org/officeDocument/2006/relationships/table" Target="/xl/tables/table167.xml" Id="rId44" /><Relationship Type="http://schemas.openxmlformats.org/officeDocument/2006/relationships/table" Target="/xl/tables/table168.xml" Id="rId45" /></Relationships>
</file>

<file path=xl/worksheets/_rels/sheet39.xml.rels><Relationships xmlns="http://schemas.openxmlformats.org/package/2006/relationships"><Relationship Type="http://schemas.openxmlformats.org/officeDocument/2006/relationships/hyperlink" Target="https://prozorro.gov.ua/tender/UA-2026-02-06-003851-a" TargetMode="External" Id="rId1" /><Relationship Type="http://schemas.openxmlformats.org/officeDocument/2006/relationships/hyperlink" Target="https://prozorro.gov.ua/tender/UA-2026-01-27-008052-a" TargetMode="External" Id="rId2" /><Relationship Type="http://schemas.openxmlformats.org/officeDocument/2006/relationships/hyperlink" Target="https://prozorro.gov.ua/tender/UA-2026-05-18-012093-a" TargetMode="External" Id="rId3" /><Relationship Type="http://schemas.openxmlformats.org/officeDocument/2006/relationships/hyperlink" Target="https://prozorro.gov.ua/tender/UA-2026-02-09-016135-a" TargetMode="External" Id="rId4" /><Relationship Type="http://schemas.openxmlformats.org/officeDocument/2006/relationships/hyperlink" Target="https://prozorro.gov.ua/tender/UA-2026-06-04-010998-a" TargetMode="External" Id="rId5" /><Relationship Type="http://schemas.openxmlformats.org/officeDocument/2006/relationships/hyperlink" Target="https://prozorro.gov.ua/tender/UA-2026-08-14-011647-a" TargetMode="External" Id="rId6" /><Relationship Type="http://schemas.openxmlformats.org/officeDocument/2006/relationships/hyperlink" Target="https://prozorro.gov.ua/tender/UA-2026-03-09-011096-a" TargetMode="External" Id="rId7" /><Relationship Type="http://schemas.openxmlformats.org/officeDocument/2006/relationships/hyperlink" Target="https://prozorro.gov.ua/tender/UA-2026-05-27-011873-a" TargetMode="External" Id="rId8" /><Relationship Type="http://schemas.openxmlformats.org/officeDocument/2006/relationships/hyperlink" Target="https://prozorro.gov.ua/tender/UA-2026-05-18-003915-a" TargetMode="External" Id="rId9" /><Relationship Type="http://schemas.openxmlformats.org/officeDocument/2006/relationships/hyperlink" Target="https://prozorro.gov.ua/tender/UA-2026-06-05-005739-a" TargetMode="External" Id="rId10" /><Relationship Type="http://schemas.openxmlformats.org/officeDocument/2006/relationships/hyperlink" Target="https://prozorro.gov.ua/tender/UA-2026-05-25-011070-a" TargetMode="External" Id="rId11" /><Relationship Type="http://schemas.openxmlformats.org/officeDocument/2006/relationships/hyperlink" Target="https://prozorro.gov.ua/tender/UA-2026-05-18-003762-a" TargetMode="External" Id="rId12" /><Relationship Type="http://schemas.openxmlformats.org/officeDocument/2006/relationships/hyperlink" Target="https://prozorro.gov.ua/tender/UA-2026-06-30-011927-a" TargetMode="External" Id="rId13" /><Relationship Type="http://schemas.openxmlformats.org/officeDocument/2006/relationships/hyperlink" Target="https://prozorro.gov.ua/tender/UA-2026-08-09-000562-a" TargetMode="External" Id="rId14" /><Relationship Type="http://schemas.openxmlformats.org/officeDocument/2006/relationships/hyperlink" Target="https://prozorro.gov.ua/tender/UA-2026-06-26-009211-a" TargetMode="External" Id="rId15" /><Relationship Type="http://schemas.openxmlformats.org/officeDocument/2006/relationships/hyperlink" Target="https://prozorro.gov.ua/tender/UA-2025-09-05-002447-a" TargetMode="External" Id="rId16" /><Relationship Type="http://schemas.openxmlformats.org/officeDocument/2006/relationships/hyperlink" Target="https://prozorro.gov.ua/tender/UA-2026-07-21-003188-a" TargetMode="External" Id="rId17" /><Relationship Type="http://schemas.openxmlformats.org/officeDocument/2006/relationships/hyperlink" Target="https://prozorro.gov.ua/tender/UA-2026-03-09-011096-a" TargetMode="External" Id="rId18" /><Relationship Type="http://schemas.openxmlformats.org/officeDocument/2006/relationships/hyperlink" Target="https://prozorro.gov.ua/tender/UA-2026-05-27-011873-a" TargetMode="External" Id="rId19" /><Relationship Type="http://schemas.openxmlformats.org/officeDocument/2006/relationships/hyperlink" Target="https://prozorro.gov.ua/tender/UA-2026-05-18-003915-a" TargetMode="External" Id="rId20" /><Relationship Type="http://schemas.openxmlformats.org/officeDocument/2006/relationships/hyperlink" Target="https://prozorro.gov.ua/tender/UA-2026-06-05-005739-a" TargetMode="External" Id="rId21" /><Relationship Type="http://schemas.openxmlformats.org/officeDocument/2006/relationships/hyperlink" Target="https://prozorro.gov.ua/tender/UA-2026-05-25-011070-a" TargetMode="External" Id="rId22" /><Relationship Type="http://schemas.openxmlformats.org/officeDocument/2006/relationships/hyperlink" Target="https://prozorro.gov.ua/tender/UA-2026-05-18-003762-a" TargetMode="External" Id="rId23" /><Relationship Type="http://schemas.openxmlformats.org/officeDocument/2006/relationships/hyperlink" Target="https://prozorro.gov.ua/tender/UA-2026-06-30-011927-a" TargetMode="External" Id="rId24" /><Relationship Type="http://schemas.openxmlformats.org/officeDocument/2006/relationships/hyperlink" Target="https://prozorro.gov.ua/tender/UA-2026-08-09-000562-a" TargetMode="External" Id="rId25" /><Relationship Type="http://schemas.openxmlformats.org/officeDocument/2006/relationships/hyperlink" Target="https://prozorro.gov.ua/tender/UA-2026-06-26-009211-a" TargetMode="External" Id="rId26" /><Relationship Type="http://schemas.openxmlformats.org/officeDocument/2006/relationships/hyperlink" Target="https://prozorro.gov.ua/tender/UA-2025-09-05-002447-a" TargetMode="External" Id="rId27" /><Relationship Type="http://schemas.openxmlformats.org/officeDocument/2006/relationships/hyperlink" Target="https://prozorro.gov.ua/tender/UA-2026-07-21-003188-a" TargetMode="External" Id="rId28" /><Relationship Type="http://schemas.openxmlformats.org/officeDocument/2006/relationships/drawing" Target="/xl/drawings/drawing38.xml" Id="rId29" /><Relationship Type="http://schemas.openxmlformats.org/officeDocument/2006/relationships/table" Target="/xl/tables/table169.xml" Id="rId30" /><Relationship Type="http://schemas.openxmlformats.org/officeDocument/2006/relationships/table" Target="/xl/tables/table170.xml" Id="rId31" /><Relationship Type="http://schemas.openxmlformats.org/officeDocument/2006/relationships/table" Target="/xl/tables/table171.xml" Id="rId32" /><Relationship Type="http://schemas.openxmlformats.org/officeDocument/2006/relationships/table" Target="/xl/tables/table172.xml" Id="rId33" /><Relationship Type="http://schemas.openxmlformats.org/officeDocument/2006/relationships/table" Target="/xl/tables/table173.xml" Id="rId34" /><Relationship Type="http://schemas.openxmlformats.org/officeDocument/2006/relationships/table" Target="/xl/tables/table174.xml" Id="rId35" /></Relationships>
</file>

<file path=xl/worksheets/_rels/sheet40.xml.rels><Relationships xmlns="http://schemas.openxmlformats.org/package/2006/relationships"><Relationship Type="http://schemas.openxmlformats.org/officeDocument/2006/relationships/hyperlink" Target="https://prozorro.gov.ua/tender/UA-2025-11-11-016296-a" TargetMode="External" Id="rId1" /><Relationship Type="http://schemas.openxmlformats.org/officeDocument/2006/relationships/hyperlink" Target="https://prozorro.gov.ua/tender/UA-2025-11-11-014988-a" TargetMode="External" Id="rId2" /><Relationship Type="http://schemas.openxmlformats.org/officeDocument/2006/relationships/hyperlink" Target="https://prozorro.gov.ua/tender/UA-2025-10-01-005167-a" TargetMode="External" Id="rId3" /><Relationship Type="http://schemas.openxmlformats.org/officeDocument/2006/relationships/hyperlink" Target="https://prozorro.gov.ua/tender/UA-2026-08-18-002713-a" TargetMode="External" Id="rId4" /><Relationship Type="http://schemas.openxmlformats.org/officeDocument/2006/relationships/hyperlink" Target="https://prozorro.gov.ua/tender/UA-2026-04-17-005811-a" TargetMode="External" Id="rId5" /><Relationship Type="http://schemas.openxmlformats.org/officeDocument/2006/relationships/hyperlink" Target="https://prozorro.gov.ua/tender/UA-2026-08-19-010837-a" TargetMode="External" Id="rId6" /><Relationship Type="http://schemas.openxmlformats.org/officeDocument/2006/relationships/hyperlink" Target="https://prozorro.gov.ua/tender/UA-2026-06-24-009852-a" TargetMode="External" Id="rId7" /><Relationship Type="http://schemas.openxmlformats.org/officeDocument/2006/relationships/hyperlink" Target="https://prozorro.gov.ua/tender/UA-2025-10-17-008340-a" TargetMode="External" Id="rId8" /><Relationship Type="http://schemas.openxmlformats.org/officeDocument/2006/relationships/hyperlink" Target="https://prozorro.gov.ua/tender/UA-2025-10-10-006331-a" TargetMode="External" Id="rId9" /><Relationship Type="http://schemas.openxmlformats.org/officeDocument/2006/relationships/drawing" Target="/xl/drawings/drawing39.xml" Id="rId10" /><Relationship Type="http://schemas.openxmlformats.org/officeDocument/2006/relationships/table" Target="/xl/tables/table175.xml" Id="rId11" /><Relationship Type="http://schemas.openxmlformats.org/officeDocument/2006/relationships/table" Target="/xl/tables/table176.xml" Id="rId12" /><Relationship Type="http://schemas.openxmlformats.org/officeDocument/2006/relationships/table" Target="/xl/tables/table177.xml" Id="rId13" /><Relationship Type="http://schemas.openxmlformats.org/officeDocument/2006/relationships/table" Target="/xl/tables/table178.xml" Id="rId14" /></Relationships>
</file>

<file path=xl/worksheets/_rels/sheet41.xml.rels><Relationships xmlns="http://schemas.openxmlformats.org/package/2006/relationships"><Relationship Type="http://schemas.openxmlformats.org/officeDocument/2006/relationships/hyperlink" Target="https://prozorro.gov.ua/tender/UA-2025-12-02-009458-a" TargetMode="External" Id="rId1" /><Relationship Type="http://schemas.openxmlformats.org/officeDocument/2006/relationships/hyperlink" Target="https://prozorro.gov.ua/tender/UA-2025-10-13-003016-a" TargetMode="External" Id="rId2" /><Relationship Type="http://schemas.openxmlformats.org/officeDocument/2006/relationships/hyperlink" Target="https://prozorro.gov.ua/tender/UA-2025-09-03-009264-a" TargetMode="External" Id="rId3" /><Relationship Type="http://schemas.openxmlformats.org/officeDocument/2006/relationships/hyperlink" Target="https://prozorro.gov.ua/tender/UA-2025-12-12-018968-a" TargetMode="External" Id="rId4" /><Relationship Type="http://schemas.openxmlformats.org/officeDocument/2006/relationships/hyperlink" Target="https://prozorro.gov.ua/tender/UA-2025-12-02-018883-a" TargetMode="External" Id="rId5" /><Relationship Type="http://schemas.openxmlformats.org/officeDocument/2006/relationships/hyperlink" Target="https://prozorro.gov.ua/tender/UA-2025-12-02-009458-a" TargetMode="External" Id="rId6" /><Relationship Type="http://schemas.openxmlformats.org/officeDocument/2006/relationships/hyperlink" Target="https://prozorro.gov.ua/tender/UA-2025-10-13-003016-a" TargetMode="External" Id="rId7" /><Relationship Type="http://schemas.openxmlformats.org/officeDocument/2006/relationships/hyperlink" Target="https://prozorro.gov.ua/tender/UA-2025-09-03-009264-a" TargetMode="External" Id="rId8" /><Relationship Type="http://schemas.openxmlformats.org/officeDocument/2006/relationships/hyperlink" Target="https://prozorro.gov.ua/tender/UA-2025-12-12-018968-a" TargetMode="External" Id="rId9" /><Relationship Type="http://schemas.openxmlformats.org/officeDocument/2006/relationships/hyperlink" Target="https://prozorro.gov.ua/tender/UA-2025-12-02-018883-a" TargetMode="External" Id="rId10" /><Relationship Type="http://schemas.openxmlformats.org/officeDocument/2006/relationships/drawing" Target="/xl/drawings/drawing40.xml" Id="rId11" /><Relationship Type="http://schemas.openxmlformats.org/officeDocument/2006/relationships/table" Target="/xl/tables/table179.xml" Id="rId12" /><Relationship Type="http://schemas.openxmlformats.org/officeDocument/2006/relationships/table" Target="/xl/tables/table180.xml" Id="rId13" /><Relationship Type="http://schemas.openxmlformats.org/officeDocument/2006/relationships/table" Target="/xl/tables/table181.xml" Id="rId14" /><Relationship Type="http://schemas.openxmlformats.org/officeDocument/2006/relationships/table" Target="/xl/tables/table182.xml" Id="rId15" /></Relationships>
</file>

<file path=xl/worksheets/_rels/sheet42.xml.rels><Relationships xmlns="http://schemas.openxmlformats.org/package/2006/relationships"><Relationship Type="http://schemas.openxmlformats.org/officeDocument/2006/relationships/hyperlink" Target="https://prozorro.gov.ua/tender/UA-2025-09-16-005057-a" TargetMode="External" Id="rId1" /><Relationship Type="http://schemas.openxmlformats.org/officeDocument/2006/relationships/hyperlink" Target="https://prozorro.gov.ua/tender/UA-2025-10-24-012403-a" TargetMode="External" Id="rId2" /><Relationship Type="http://schemas.openxmlformats.org/officeDocument/2006/relationships/hyperlink" Target="https://prozorro.gov.ua/tender/UA-2025-10-22-010976-a" TargetMode="External" Id="rId3" /><Relationship Type="http://schemas.openxmlformats.org/officeDocument/2006/relationships/hyperlink" Target="https://prozorro.gov.ua/tender/UA-2025-10-24-010296-a" TargetMode="External" Id="rId4" /><Relationship Type="http://schemas.openxmlformats.org/officeDocument/2006/relationships/hyperlink" Target="https://prozorro.gov.ua/tender/UA-2026-06-16-011580-a" TargetMode="External" Id="rId5" /><Relationship Type="http://schemas.openxmlformats.org/officeDocument/2006/relationships/hyperlink" Target="https://prozorro.gov.ua/tender/UA-2025-09-23-010940-a" TargetMode="External" Id="rId6" /><Relationship Type="http://schemas.openxmlformats.org/officeDocument/2006/relationships/hyperlink" Target="https://prozorro.gov.ua/tender/UA-2026-06-15-012072-a" TargetMode="External" Id="rId7" /><Relationship Type="http://schemas.openxmlformats.org/officeDocument/2006/relationships/hyperlink" Target="https://prozorro.gov.ua/tender/UA-2026-07-13-003979-a" TargetMode="External" Id="rId8" /><Relationship Type="http://schemas.openxmlformats.org/officeDocument/2006/relationships/hyperlink" Target="https://prozorro.gov.ua/tender/UA-2025-10-09-014125-a" TargetMode="External" Id="rId9" /><Relationship Type="http://schemas.openxmlformats.org/officeDocument/2006/relationships/hyperlink" Target="https://prozorro.gov.ua/tender/UA-2025-10-27-002344-a" TargetMode="External" Id="rId10" /><Relationship Type="http://schemas.openxmlformats.org/officeDocument/2006/relationships/hyperlink" Target="https://prozorro.gov.ua/tender/UA-2025-10-24-010296-a" TargetMode="External" Id="rId11" /><Relationship Type="http://schemas.openxmlformats.org/officeDocument/2006/relationships/hyperlink" Target="https://prozorro.gov.ua/tender/UA-2026-06-16-011580-a" TargetMode="External" Id="rId12" /><Relationship Type="http://schemas.openxmlformats.org/officeDocument/2006/relationships/hyperlink" Target="https://prozorro.gov.ua/tender/UA-2025-09-23-010940-a" TargetMode="External" Id="rId13" /><Relationship Type="http://schemas.openxmlformats.org/officeDocument/2006/relationships/hyperlink" Target="https://prozorro.gov.ua/tender/UA-2026-06-15-012072-a" TargetMode="External" Id="rId14" /><Relationship Type="http://schemas.openxmlformats.org/officeDocument/2006/relationships/hyperlink" Target="https://prozorro.gov.ua/tender/UA-2026-07-13-003979-a" TargetMode="External" Id="rId15" /><Relationship Type="http://schemas.openxmlformats.org/officeDocument/2006/relationships/hyperlink" Target="https://prozorro.gov.ua/tender/UA-2025-10-09-014125-a" TargetMode="External" Id="rId16" /><Relationship Type="http://schemas.openxmlformats.org/officeDocument/2006/relationships/hyperlink" Target="https://prozorro.gov.ua/tender/UA-2025-10-27-002344-a" TargetMode="External" Id="rId17" /><Relationship Type="http://schemas.openxmlformats.org/officeDocument/2006/relationships/drawing" Target="/xl/drawings/drawing41.xml" Id="rId18" /><Relationship Type="http://schemas.openxmlformats.org/officeDocument/2006/relationships/table" Target="/xl/tables/table183.xml" Id="rId19" /><Relationship Type="http://schemas.openxmlformats.org/officeDocument/2006/relationships/table" Target="/xl/tables/table184.xml" Id="rId20" /><Relationship Type="http://schemas.openxmlformats.org/officeDocument/2006/relationships/table" Target="/xl/tables/table185.xml" Id="rId21" /><Relationship Type="http://schemas.openxmlformats.org/officeDocument/2006/relationships/table" Target="/xl/tables/table186.xml" Id="rId22" /><Relationship Type="http://schemas.openxmlformats.org/officeDocument/2006/relationships/table" Target="/xl/tables/table187.xml" Id="rId23" /><Relationship Type="http://schemas.openxmlformats.org/officeDocument/2006/relationships/table" Target="/xl/tables/table188.xml" Id="rId24" /></Relationships>
</file>

<file path=xl/worksheets/_rels/sheet43.xml.rels><Relationships xmlns="http://schemas.openxmlformats.org/package/2006/relationships"><Relationship Type="http://schemas.openxmlformats.org/officeDocument/2006/relationships/hyperlink" Target="https://prozorro.gov.ua/tender/UA-2026-07-27-008910-a" TargetMode="External" Id="rId1" /><Relationship Type="http://schemas.openxmlformats.org/officeDocument/2006/relationships/hyperlink" Target="https://prozorro.gov.ua/tender/UA-2026-06-26-011036-a" TargetMode="External" Id="rId2" /><Relationship Type="http://schemas.openxmlformats.org/officeDocument/2006/relationships/hyperlink" Target="https://prozorro.gov.ua/tender/UA-2026-01-27-008052-a" TargetMode="External" Id="rId3" /><Relationship Type="http://schemas.openxmlformats.org/officeDocument/2006/relationships/hyperlink" Target="https://prozorro.gov.ua/tender/UA-2026-03-31-003542-a" TargetMode="External" Id="rId4" /><Relationship Type="http://schemas.openxmlformats.org/officeDocument/2006/relationships/hyperlink" Target="https://prozorro.gov.ua/tender/UA-2026-02-10-012534-a" TargetMode="External" Id="rId5" /><Relationship Type="http://schemas.openxmlformats.org/officeDocument/2006/relationships/hyperlink" Target="https://prozorro.gov.ua/tender/UA-2026-07-10-004513-a" TargetMode="External" Id="rId6" /><Relationship Type="http://schemas.openxmlformats.org/officeDocument/2006/relationships/hyperlink" Target="https://prozorro.gov.ua/tender/UA-2026-07-10-004513-a" TargetMode="External" Id="rId7" /><Relationship Type="http://schemas.openxmlformats.org/officeDocument/2006/relationships/hyperlink" Target="https://prozorro.gov.ua/tender/UA-2026-07-30-003002-a" TargetMode="External" Id="rId8" /><Relationship Type="http://schemas.openxmlformats.org/officeDocument/2006/relationships/hyperlink" Target="https://prozorro.gov.ua/tender/UA-2026-06-16-008359-a" TargetMode="External" Id="rId9" /><Relationship Type="http://schemas.openxmlformats.org/officeDocument/2006/relationships/hyperlink" Target="https://prozorro.gov.ua/tender/UA-2026-03-31-003542-a" TargetMode="External" Id="rId10" /><Relationship Type="http://schemas.openxmlformats.org/officeDocument/2006/relationships/hyperlink" Target="https://prozorro.gov.ua/tender/UA-2026-02-10-012534-a" TargetMode="External" Id="rId11" /><Relationship Type="http://schemas.openxmlformats.org/officeDocument/2006/relationships/hyperlink" Target="https://prozorro.gov.ua/tender/UA-2026-07-10-004513-a" TargetMode="External" Id="rId12" /><Relationship Type="http://schemas.openxmlformats.org/officeDocument/2006/relationships/hyperlink" Target="https://prozorro.gov.ua/tender/UA-2026-07-30-003002-a" TargetMode="External" Id="rId13" /><Relationship Type="http://schemas.openxmlformats.org/officeDocument/2006/relationships/hyperlink" Target="https://prozorro.gov.ua/tender/UA-2026-06-16-008359-a" TargetMode="External" Id="rId14" /><Relationship Type="http://schemas.openxmlformats.org/officeDocument/2006/relationships/drawing" Target="/xl/drawings/drawing42.xml" Id="rId15" /><Relationship Type="http://schemas.openxmlformats.org/officeDocument/2006/relationships/table" Target="/xl/tables/table189.xml" Id="rId16" /><Relationship Type="http://schemas.openxmlformats.org/officeDocument/2006/relationships/table" Target="/xl/tables/table190.xml" Id="rId17" /><Relationship Type="http://schemas.openxmlformats.org/officeDocument/2006/relationships/table" Target="/xl/tables/table191.xml" Id="rId18" /><Relationship Type="http://schemas.openxmlformats.org/officeDocument/2006/relationships/table" Target="/xl/tables/table192.xml" Id="rId19" /><Relationship Type="http://schemas.openxmlformats.org/officeDocument/2006/relationships/table" Target="/xl/tables/table193.xml" Id="rId20" /><Relationship Type="http://schemas.openxmlformats.org/officeDocument/2006/relationships/table" Target="/xl/tables/table194.xml" Id="rId21" /></Relationships>
</file>

<file path=xl/worksheets/_rels/sheet44.xml.rels><Relationships xmlns="http://schemas.openxmlformats.org/package/2006/relationships"><Relationship Type="http://schemas.openxmlformats.org/officeDocument/2006/relationships/hyperlink" Target="https://prozorro.gov.ua/tender/UA-2025-10-24-010296-a" TargetMode="External" Id="rId1" /><Relationship Type="http://schemas.openxmlformats.org/officeDocument/2006/relationships/hyperlink" Target="https://prozorro.gov.ua/tender/UA-2026-03-16-002706-a" TargetMode="External" Id="rId2" /><Relationship Type="http://schemas.openxmlformats.org/officeDocument/2006/relationships/hyperlink" Target="https://prozorro.gov.ua/tender/UA-2026-04-28-010499-a" TargetMode="External" Id="rId3" /><Relationship Type="http://schemas.openxmlformats.org/officeDocument/2006/relationships/hyperlink" Target="https://prozorro.gov.ua/tender/UA-2026-07-17-009859-a" TargetMode="External" Id="rId4" /><Relationship Type="http://schemas.openxmlformats.org/officeDocument/2006/relationships/hyperlink" Target="https://prozorro.gov.ua/tender/UA-2026-05-12-001531-a" TargetMode="External" Id="rId5" /><Relationship Type="http://schemas.openxmlformats.org/officeDocument/2006/relationships/hyperlink" Target="https://prozorro.gov.ua/tender/UA-2025-12-05-010265-a" TargetMode="External" Id="rId6" /><Relationship Type="http://schemas.openxmlformats.org/officeDocument/2006/relationships/hyperlink" Target="https://prozorro.gov.ua/tender/UA-2026-06-16-000898-a" TargetMode="External" Id="rId7" /><Relationship Type="http://schemas.openxmlformats.org/officeDocument/2006/relationships/hyperlink" Target="https://prozorro.gov.ua/tender/UA-2026-05-12-001531-a" TargetMode="External" Id="rId8" /><Relationship Type="http://schemas.openxmlformats.org/officeDocument/2006/relationships/hyperlink" Target="https://prozorro.gov.ua/tender/UA-2026-07-17-009859-a" TargetMode="External" Id="rId9" /><Relationship Type="http://schemas.openxmlformats.org/officeDocument/2006/relationships/hyperlink" Target="https://prozorro.gov.ua/tender/UA-2025-12-05-010265-a" TargetMode="External" Id="rId10" /><Relationship Type="http://schemas.openxmlformats.org/officeDocument/2006/relationships/hyperlink" Target="https://prozorro.gov.ua/tender/UA-2026-06-16-000898-a" TargetMode="External" Id="rId11" /><Relationship Type="http://schemas.openxmlformats.org/officeDocument/2006/relationships/drawing" Target="/xl/drawings/drawing43.xml" Id="rId12" /><Relationship Type="http://schemas.openxmlformats.org/officeDocument/2006/relationships/table" Target="/xl/tables/table195.xml" Id="rId13" /><Relationship Type="http://schemas.openxmlformats.org/officeDocument/2006/relationships/table" Target="/xl/tables/table196.xml" Id="rId14" /><Relationship Type="http://schemas.openxmlformats.org/officeDocument/2006/relationships/table" Target="/xl/tables/table197.xml" Id="rId15" /><Relationship Type="http://schemas.openxmlformats.org/officeDocument/2006/relationships/table" Target="/xl/tables/table198.xml" Id="rId16" /><Relationship Type="http://schemas.openxmlformats.org/officeDocument/2006/relationships/table" Target="/xl/tables/table199.xml" Id="rId17" /></Relationships>
</file>

<file path=xl/worksheets/_rels/sheet45.xml.rels><Relationships xmlns="http://schemas.openxmlformats.org/package/2006/relationships"><Relationship Type="http://schemas.openxmlformats.org/officeDocument/2006/relationships/hyperlink" Target="https://prozorro.gov.ua/tender/UA-2025-10-24-010296-a" TargetMode="External" Id="rId1" /><Relationship Type="http://schemas.openxmlformats.org/officeDocument/2006/relationships/hyperlink" Target="https://prozorro.gov.ua/tender/UA-2025-10-22-010276-a" TargetMode="External" Id="rId2" /><Relationship Type="http://schemas.openxmlformats.org/officeDocument/2006/relationships/hyperlink" Target="https://prozorro.gov.ua/tender/UA-2026-04-29-004887-a" TargetMode="External" Id="rId3" /><Relationship Type="http://schemas.openxmlformats.org/officeDocument/2006/relationships/hyperlink" Target="https://prozorro.gov.ua/tender/UA-2026-05-27-012781-a" TargetMode="External" Id="rId4" /><Relationship Type="http://schemas.openxmlformats.org/officeDocument/2006/relationships/hyperlink" Target="https://prozorro.gov.ua/tender/UA-2026-06-19-006186-a" TargetMode="External" Id="rId5" /><Relationship Type="http://schemas.openxmlformats.org/officeDocument/2006/relationships/hyperlink" Target="https://prozorro.gov.ua/tender/UA-2026-06-15-011810-a" TargetMode="External" Id="rId6" /><Relationship Type="http://schemas.openxmlformats.org/officeDocument/2006/relationships/hyperlink" Target="https://prozorro.gov.ua/tender/UA-2026-06-18-011430-a" TargetMode="External" Id="rId7" /><Relationship Type="http://schemas.openxmlformats.org/officeDocument/2006/relationships/hyperlink" Target="https://prozorro.gov.ua/tender/UA-2026-03-17-009780-a" TargetMode="External" Id="rId8" /><Relationship Type="http://schemas.openxmlformats.org/officeDocument/2006/relationships/hyperlink" Target="https://prozorro.gov.ua/tender/UA-2026-08-19-001718-a" TargetMode="External" Id="rId9" /><Relationship Type="http://schemas.openxmlformats.org/officeDocument/2006/relationships/hyperlink" Target="https://prozorro.gov.ua/tender/UA-2026-04-29-004887-a" TargetMode="External" Id="rId10" /><Relationship Type="http://schemas.openxmlformats.org/officeDocument/2006/relationships/hyperlink" Target="https://prozorro.gov.ua/tender/UA-2026-05-27-012781-a" TargetMode="External" Id="rId11" /><Relationship Type="http://schemas.openxmlformats.org/officeDocument/2006/relationships/hyperlink" Target="https://prozorro.gov.ua/tender/UA-2026-06-19-006186-a" TargetMode="External" Id="rId12" /><Relationship Type="http://schemas.openxmlformats.org/officeDocument/2006/relationships/hyperlink" Target="https://prozorro.gov.ua/tender/UA-2026-06-15-011810-a" TargetMode="External" Id="rId13" /><Relationship Type="http://schemas.openxmlformats.org/officeDocument/2006/relationships/hyperlink" Target="https://prozorro.gov.ua/tender/UA-2026-06-18-011430-a" TargetMode="External" Id="rId14" /><Relationship Type="http://schemas.openxmlformats.org/officeDocument/2006/relationships/hyperlink" Target="https://prozorro.gov.ua/tender/UA-2026-03-17-009780-a" TargetMode="External" Id="rId15" /><Relationship Type="http://schemas.openxmlformats.org/officeDocument/2006/relationships/hyperlink" Target="https://prozorro.gov.ua/tender/UA-2026-08-19-001718-a" TargetMode="External" Id="rId16" /><Relationship Type="http://schemas.openxmlformats.org/officeDocument/2006/relationships/drawing" Target="/xl/drawings/drawing44.xml" Id="rId17" /><Relationship Type="http://schemas.openxmlformats.org/officeDocument/2006/relationships/table" Target="/xl/tables/table200.xml" Id="rId18" /><Relationship Type="http://schemas.openxmlformats.org/officeDocument/2006/relationships/table" Target="/xl/tables/table201.xml" Id="rId19" /><Relationship Type="http://schemas.openxmlformats.org/officeDocument/2006/relationships/table" Target="/xl/tables/table202.xml" Id="rId20" /><Relationship Type="http://schemas.openxmlformats.org/officeDocument/2006/relationships/table" Target="/xl/tables/table203.xml" Id="rId21" /><Relationship Type="http://schemas.openxmlformats.org/officeDocument/2006/relationships/table" Target="/xl/tables/table204.xml" Id="rId22" /></Relationships>
</file>

<file path=xl/worksheets/_rels/sheet46.xml.rels><Relationships xmlns="http://schemas.openxmlformats.org/package/2006/relationships"><Relationship Type="http://schemas.openxmlformats.org/officeDocument/2006/relationships/hyperlink" Target="https://prozorro.gov.ua/tender/UA-2025-09-25-014419-a" TargetMode="External" Id="rId1" /><Relationship Type="http://schemas.openxmlformats.org/officeDocument/2006/relationships/hyperlink" Target="https://prozorro.gov.ua/tender/UA-2025-12-11-002565-a" TargetMode="External" Id="rId2" /><Relationship Type="http://schemas.openxmlformats.org/officeDocument/2006/relationships/hyperlink" Target="https://prozorro.gov.ua/tender/UA-2026-03-16-004185-a" TargetMode="External" Id="rId3" /><Relationship Type="http://schemas.openxmlformats.org/officeDocument/2006/relationships/hyperlink" Target="https://prozorro.gov.ua/tender/UA-2026-03-16-004185-a" TargetMode="External" Id="rId4" /><Relationship Type="http://schemas.openxmlformats.org/officeDocument/2006/relationships/drawing" Target="/xl/drawings/drawing45.xml" Id="rId5" /><Relationship Type="http://schemas.openxmlformats.org/officeDocument/2006/relationships/table" Target="/xl/tables/table205.xml" Id="rId6" /><Relationship Type="http://schemas.openxmlformats.org/officeDocument/2006/relationships/table" Target="/xl/tables/table206.xml" Id="rId7" /><Relationship Type="http://schemas.openxmlformats.org/officeDocument/2006/relationships/table" Target="/xl/tables/table207.xml" Id="rId8" /><Relationship Type="http://schemas.openxmlformats.org/officeDocument/2006/relationships/table" Target="/xl/tables/table208.xml" Id="rId9" /><Relationship Type="http://schemas.openxmlformats.org/officeDocument/2006/relationships/table" Target="/xl/tables/table209.xml" Id="rId10" /></Relationships>
</file>

<file path=xl/worksheets/_rels/sheet47.xml.rels><Relationships xmlns="http://schemas.openxmlformats.org/package/2006/relationships"><Relationship Type="http://schemas.openxmlformats.org/officeDocument/2006/relationships/hyperlink" Target="https://prozorro.gov.ua/tender/UA-2025-10-29-011635-a" TargetMode="External" Id="rId1" /><Relationship Type="http://schemas.openxmlformats.org/officeDocument/2006/relationships/hyperlink" Target="https://prozorro.gov.ua/tender/UA-2025-11-11-016296-a" TargetMode="External" Id="rId2" /><Relationship Type="http://schemas.openxmlformats.org/officeDocument/2006/relationships/hyperlink" Target="https://prozorro.gov.ua/tender/UA-2025-10-02-010895-a" TargetMode="External" Id="rId3" /><Relationship Type="http://schemas.openxmlformats.org/officeDocument/2006/relationships/hyperlink" Target="https://prozorro.gov.ua/tender/UA-2025-10-27-011448-a" TargetMode="External" Id="rId4" /><Relationship Type="http://schemas.openxmlformats.org/officeDocument/2006/relationships/hyperlink" Target="https://prozorro.gov.ua/tender/UA-2025-12-11-002565-a" TargetMode="External" Id="rId5" /><Relationship Type="http://schemas.openxmlformats.org/officeDocument/2006/relationships/hyperlink" Target="https://prozorro.gov.ua/tender/UA-2025-10-28-010787-a" TargetMode="External" Id="rId6" /><Relationship Type="http://schemas.openxmlformats.org/officeDocument/2006/relationships/hyperlink" Target="https://prozorro.gov.ua/tender/UA-2025-10-24-011106-a" TargetMode="External" Id="rId7" /><Relationship Type="http://schemas.openxmlformats.org/officeDocument/2006/relationships/hyperlink" Target="https://prozorro.gov.ua/tender/UA-2025-11-11-014988-a" TargetMode="External" Id="rId8" /><Relationship Type="http://schemas.openxmlformats.org/officeDocument/2006/relationships/hyperlink" Target="https://prozorro.gov.ua/tender/UA-2025-10-24-011502-a" TargetMode="External" Id="rId9" /><Relationship Type="http://schemas.openxmlformats.org/officeDocument/2006/relationships/hyperlink" Target="https://prozorro.gov.ua/tender/UA-2026-02-09-011617-a" TargetMode="External" Id="rId10" /><Relationship Type="http://schemas.openxmlformats.org/officeDocument/2006/relationships/hyperlink" Target="https://prozorro.gov.ua/tender/UA-2025-11-28-002008-a" TargetMode="External" Id="rId11" /><Relationship Type="http://schemas.openxmlformats.org/officeDocument/2006/relationships/hyperlink" Target="https://prozorro.gov.ua/tender/UA-2025-11-28-001729-a" TargetMode="External" Id="rId12" /><Relationship Type="http://schemas.openxmlformats.org/officeDocument/2006/relationships/hyperlink" Target="https://prozorro.gov.ua/tender/UA-2025-10-28-010787-a" TargetMode="External" Id="rId13" /><Relationship Type="http://schemas.openxmlformats.org/officeDocument/2006/relationships/hyperlink" Target="https://prozorro.gov.ua/tender/UA-2025-10-24-011106-a" TargetMode="External" Id="rId14" /><Relationship Type="http://schemas.openxmlformats.org/officeDocument/2006/relationships/hyperlink" Target="https://prozorro.gov.ua/tender/UA-2025-11-11-014988-a" TargetMode="External" Id="rId15" /><Relationship Type="http://schemas.openxmlformats.org/officeDocument/2006/relationships/hyperlink" Target="https://prozorro.gov.ua/tender/UA-2025-10-24-011502-a" TargetMode="External" Id="rId16" /><Relationship Type="http://schemas.openxmlformats.org/officeDocument/2006/relationships/hyperlink" Target="https://prozorro.gov.ua/tender/UA-2026-02-09-011617-a" TargetMode="External" Id="rId17" /><Relationship Type="http://schemas.openxmlformats.org/officeDocument/2006/relationships/hyperlink" Target="https://prozorro.gov.ua/tender/UA-2025-11-28-002008-a" TargetMode="External" Id="rId18" /><Relationship Type="http://schemas.openxmlformats.org/officeDocument/2006/relationships/hyperlink" Target="https://prozorro.gov.ua/tender/UA-2025-11-28-001729-a" TargetMode="External" Id="rId19" /><Relationship Type="http://schemas.openxmlformats.org/officeDocument/2006/relationships/drawing" Target="/xl/drawings/drawing46.xml" Id="rId20" /><Relationship Type="http://schemas.openxmlformats.org/officeDocument/2006/relationships/table" Target="/xl/tables/table210.xml" Id="rId21" /><Relationship Type="http://schemas.openxmlformats.org/officeDocument/2006/relationships/table" Target="/xl/tables/table211.xml" Id="rId22" /><Relationship Type="http://schemas.openxmlformats.org/officeDocument/2006/relationships/table" Target="/xl/tables/table212.xml" Id="rId23" /><Relationship Type="http://schemas.openxmlformats.org/officeDocument/2006/relationships/table" Target="/xl/tables/table213.xml" Id="rId24" /><Relationship Type="http://schemas.openxmlformats.org/officeDocument/2006/relationships/table" Target="/xl/tables/table214.xml" Id="rId25" /><Relationship Type="http://schemas.openxmlformats.org/officeDocument/2006/relationships/table" Target="/xl/tables/table215.xml" Id="rId26" /></Relationships>
</file>

<file path=xl/worksheets/_rels/sheet48.xml.rels><Relationships xmlns="http://schemas.openxmlformats.org/package/2006/relationships"><Relationship Type="http://schemas.openxmlformats.org/officeDocument/2006/relationships/hyperlink" Target="https://prozorro.gov.ua/tender/UA-2025-11-18-010645-a" TargetMode="External" Id="rId1" /><Relationship Type="http://schemas.openxmlformats.org/officeDocument/2006/relationships/hyperlink" Target="https://prozorro.gov.ua/tender/UA-2026-01-14-011038-a" TargetMode="External" Id="rId2" /><Relationship Type="http://schemas.openxmlformats.org/officeDocument/2006/relationships/hyperlink" Target="https://prozorro.gov.ua/tender/UA-2025-09-30-005210-a" TargetMode="External" Id="rId3" /><Relationship Type="http://schemas.openxmlformats.org/officeDocument/2006/relationships/hyperlink" Target="https://prozorro.gov.ua/tender/UA-2025-09-05-006416-a" TargetMode="External" Id="rId4" /><Relationship Type="http://schemas.openxmlformats.org/officeDocument/2006/relationships/hyperlink" Target="https://prozorro.gov.ua/tender/UA-2026-04-17-005811-a" TargetMode="External" Id="rId5" /><Relationship Type="http://schemas.openxmlformats.org/officeDocument/2006/relationships/hyperlink" Target="https://prozorro.gov.ua/tender/UA-2025-09-23-001196-a" TargetMode="External" Id="rId6" /><Relationship Type="http://schemas.openxmlformats.org/officeDocument/2006/relationships/hyperlink" Target="https://prozorro.gov.ua/tender/UA-2025-10-02-010895-a" TargetMode="External" Id="rId7" /><Relationship Type="http://schemas.openxmlformats.org/officeDocument/2006/relationships/hyperlink" Target="https://prozorro.gov.ua/tender/UA-2025-09-16-014691-a" TargetMode="External" Id="rId8" /><Relationship Type="http://schemas.openxmlformats.org/officeDocument/2006/relationships/hyperlink" Target="https://prozorro.gov.ua/tender/UA-2026-05-18-012093-a" TargetMode="External" Id="rId9" /><Relationship Type="http://schemas.openxmlformats.org/officeDocument/2006/relationships/hyperlink" Target="https://prozorro.gov.ua/tender/UA-2025-12-02-019796-a" TargetMode="External" Id="rId10" /><Relationship Type="http://schemas.openxmlformats.org/officeDocument/2006/relationships/hyperlink" Target="https://prozorro.gov.ua/tender/UA-2025-10-27-015405-a" TargetMode="External" Id="rId11" /><Relationship Type="http://schemas.openxmlformats.org/officeDocument/2006/relationships/hyperlink" Target="https://prozorro.gov.ua/tender/UA-2025-10-29-001814-a" TargetMode="External" Id="rId12" /><Relationship Type="http://schemas.openxmlformats.org/officeDocument/2006/relationships/hyperlink" Target="https://prozorro.gov.ua/tender/UA-2025-09-12-010734-a" TargetMode="External" Id="rId13" /><Relationship Type="http://schemas.openxmlformats.org/officeDocument/2006/relationships/hyperlink" Target="https://prozorro.gov.ua/tender/UA-2025-10-29-001814-a" TargetMode="External" Id="rId14" /><Relationship Type="http://schemas.openxmlformats.org/officeDocument/2006/relationships/hyperlink" Target="https://prozorro.gov.ua/tender/UA-2025-09-12-010734-a" TargetMode="External" Id="rId15" /><Relationship Type="http://schemas.openxmlformats.org/officeDocument/2006/relationships/drawing" Target="/xl/drawings/drawing47.xml" Id="rId16" /><Relationship Type="http://schemas.openxmlformats.org/officeDocument/2006/relationships/table" Target="/xl/tables/table216.xml" Id="rId17" /><Relationship Type="http://schemas.openxmlformats.org/officeDocument/2006/relationships/table" Target="/xl/tables/table217.xml" Id="rId18" /><Relationship Type="http://schemas.openxmlformats.org/officeDocument/2006/relationships/table" Target="/xl/tables/table218.xml" Id="rId19" /><Relationship Type="http://schemas.openxmlformats.org/officeDocument/2006/relationships/table" Target="/xl/tables/table219.xml" Id="rId20" /><Relationship Type="http://schemas.openxmlformats.org/officeDocument/2006/relationships/table" Target="/xl/tables/table220.xml" Id="rId21" /><Relationship Type="http://schemas.openxmlformats.org/officeDocument/2006/relationships/table" Target="/xl/tables/table221.xml" Id="rId22" /></Relationships>
</file>

<file path=xl/worksheets/sheet1.xml><?xml version="1.0" encoding="utf-8"?>
<worksheet xmlns="http://schemas.openxmlformats.org/spreadsheetml/2006/main">
  <sheetPr>
    <outlinePr summaryBelow="1" summaryRight="1"/>
    <pageSetUpPr/>
  </sheetPr>
  <dimension ref="A1:E57"/>
  <sheetViews>
    <sheetView showGridLines="0" workbookViewId="0">
      <pane ySplit="10" topLeftCell="A11" activePane="bottomLeft" state="frozen"/>
      <selection pane="bottomLeft" activeCell="A1" sqref="A1"/>
    </sheetView>
  </sheetViews>
  <sheetFormatPr baseColWidth="8" defaultRowHeight="15"/>
  <cols>
    <col width="14" customWidth="1" min="1" max="1"/>
    <col width="52" customWidth="1" min="2" max="2"/>
    <col width="34" customWidth="1" min="3" max="3"/>
    <col width="10" customWidth="1" min="4" max="4"/>
    <col width="11" customWidth="1" min="5" max="5"/>
  </cols>
  <sheetData>
    <row r="1">
      <c r="A1" s="1" t="inlineStr">
        <is>
          <t>Звіт аналітики Prozorro</t>
        </is>
      </c>
    </row>
    <row r="3">
      <c r="A3" s="2" t="inlineStr">
        <is>
          <t>Джерело</t>
        </is>
      </c>
      <c r="B3" t="inlineStr">
        <is>
          <t>prozorro-дані-2026-09-02-1713.xlsx</t>
        </is>
      </c>
    </row>
    <row r="4">
      <c r="A4" s="2" t="inlineStr">
        <is>
          <t>Період</t>
        </is>
      </c>
      <c r="B4" t="inlineStr">
        <is>
          <t>2025-09-02 — 2026-09-02</t>
        </is>
      </c>
    </row>
    <row r="5">
      <c r="A5" s="2" t="inlineStr">
        <is>
          <t>Складено</t>
        </is>
      </c>
      <c r="B5" t="inlineStr">
        <is>
          <t>03.09.2026 00:19</t>
        </is>
      </c>
    </row>
    <row r="6">
      <c r="A6" s="2" t="inlineStr">
        <is>
          <t>Аркушів</t>
        </is>
      </c>
      <c r="B6" t="n">
        <v>47</v>
      </c>
    </row>
    <row r="7">
      <c r="A7" s="2" t="inlineStr">
        <is>
          <t>Таблиць</t>
        </is>
      </c>
      <c r="B7" t="n">
        <v>221</v>
      </c>
    </row>
    <row r="8">
      <c r="A8" s="2" t="inlineStr">
        <is>
          <t>Графіків</t>
        </is>
      </c>
      <c r="B8" t="n">
        <v>217</v>
      </c>
    </row>
    <row r="10">
      <c r="A10" s="3" t="inlineStr">
        <is>
          <t>Що це</t>
        </is>
      </c>
      <c r="B10" s="3" t="inlineStr">
        <is>
          <t>Назва</t>
        </is>
      </c>
      <c r="C10" s="3" t="inlineStr">
        <is>
          <t>Аркуш</t>
        </is>
      </c>
      <c r="D10" s="3" t="inlineStr">
        <is>
          <t>Таблиць</t>
        </is>
      </c>
      <c r="E10" s="3" t="inlineStr">
        <is>
          <t>Графіків</t>
        </is>
      </c>
    </row>
    <row r="11">
      <c r="A11" t="inlineStr">
        <is>
          <t>Огляд</t>
        </is>
      </c>
      <c r="B11" t="inlineStr">
        <is>
          <t>Усі графіки звіту</t>
        </is>
      </c>
      <c r="C11" s="4">
        <f>HYPERLINK("#'Графіки'!A1","Графіки")</f>
        <v/>
      </c>
      <c r="D11" s="5" t="n">
        <v>0</v>
      </c>
      <c r="E11" s="5" t="n">
        <v>36</v>
      </c>
    </row>
    <row r="12">
      <c r="A12" t="inlineStr">
        <is>
          <t>Розділ</t>
        </is>
      </c>
      <c r="B12" t="inlineStr">
        <is>
          <t>Підсумок</t>
        </is>
      </c>
      <c r="C12" s="4">
        <f>HYPERLINK("#'Підсумок'!A1","Підсумок")</f>
        <v/>
      </c>
      <c r="D12" s="5" t="n">
        <v>0</v>
      </c>
      <c r="E12" s="5" t="n">
        <v>4</v>
      </c>
    </row>
    <row r="13">
      <c r="A13" t="inlineStr">
        <is>
          <t>Розділ</t>
        </is>
      </c>
      <c r="B13" t="inlineStr">
        <is>
          <t>Очищення</t>
        </is>
      </c>
      <c r="C13" s="4">
        <f>HYPERLINK("#'Очищення'!A1","Очищення")</f>
        <v/>
      </c>
      <c r="D13" s="5" t="n">
        <v>4</v>
      </c>
      <c r="E13" s="5" t="n">
        <v>3</v>
      </c>
    </row>
    <row r="14">
      <c r="A14" t="inlineStr">
        <is>
          <t>Розділ</t>
        </is>
      </c>
      <c r="B14" t="inlineStr">
        <is>
          <t>Ринок</t>
        </is>
      </c>
      <c r="C14" s="4">
        <f>HYPERLINK("#'Ринок'!A1","Ринок")</f>
        <v/>
      </c>
      <c r="D14" s="5" t="n">
        <v>7</v>
      </c>
      <c r="E14" s="5" t="n">
        <v>9</v>
      </c>
    </row>
    <row r="15">
      <c r="A15" t="inlineStr">
        <is>
          <t>Розділ</t>
        </is>
      </c>
      <c r="B15" t="inlineStr">
        <is>
          <t>Прогнозування</t>
        </is>
      </c>
      <c r="C15" s="4">
        <f>HYPERLINK("#'Прогнозування'!A1","Прогнозування")</f>
        <v/>
      </c>
      <c r="D15" s="5" t="n">
        <v>6</v>
      </c>
      <c r="E15" s="5" t="n">
        <v>6</v>
      </c>
    </row>
    <row r="16">
      <c r="A16" t="inlineStr">
        <is>
          <t>Розділ</t>
        </is>
      </c>
      <c r="B16" t="inlineStr">
        <is>
          <t>Відмови</t>
        </is>
      </c>
      <c r="C16" s="4">
        <f>HYPERLINK("#'Відмови'!A1","Відмови")</f>
        <v/>
      </c>
      <c r="D16" s="5" t="n">
        <v>6</v>
      </c>
      <c r="E16" s="5" t="n">
        <v>4</v>
      </c>
    </row>
    <row r="17">
      <c r="A17" t="inlineStr">
        <is>
          <t>Розділ</t>
        </is>
      </c>
      <c r="B17" t="inlineStr">
        <is>
          <t>Наші ТОВ</t>
        </is>
      </c>
      <c r="C17" s="4">
        <f>HYPERLINK("#'Наші ТОВ'!A1","Наші ТОВ")</f>
        <v/>
      </c>
      <c r="D17" s="5" t="n">
        <v>3</v>
      </c>
      <c r="E17" s="5" t="n">
        <v>3</v>
      </c>
    </row>
    <row r="18">
      <c r="A18" t="inlineStr">
        <is>
          <t>Розділ</t>
        </is>
      </c>
      <c r="B18" t="inlineStr">
        <is>
          <t>Конкуренти</t>
        </is>
      </c>
      <c r="C18" s="4">
        <f>HYPERLINK("#'Конкуренти'!A1","Конкуренти")</f>
        <v/>
      </c>
      <c r="D18" s="5" t="n">
        <v>2</v>
      </c>
      <c r="E18" s="5" t="n">
        <v>2</v>
      </c>
    </row>
    <row r="19">
      <c r="A19" t="inlineStr">
        <is>
          <t>Розділ</t>
        </is>
      </c>
      <c r="B19" t="inlineStr">
        <is>
          <t>Товари і ТМ</t>
        </is>
      </c>
      <c r="C19" s="4">
        <f>HYPERLINK("#'Товари і ТМ'!A1","Товари і ТМ")</f>
        <v/>
      </c>
      <c r="D19" s="5" t="n">
        <v>6</v>
      </c>
      <c r="E19" s="5" t="n">
        <v>5</v>
      </c>
    </row>
    <row r="20">
      <c r="A20" t="inlineStr">
        <is>
          <t>Розділ</t>
        </is>
      </c>
      <c r="B20" t="inlineStr">
        <is>
          <t>Постачання</t>
        </is>
      </c>
      <c r="C20" s="4">
        <f>HYPERLINK("#'Постачання'!A1","Постачання")</f>
        <v/>
      </c>
      <c r="D20" s="5" t="n">
        <v>3</v>
      </c>
      <c r="E20" s="5" t="n">
        <v>1</v>
      </c>
    </row>
    <row r="21">
      <c r="A21" t="inlineStr">
        <is>
          <t>Розділ</t>
        </is>
      </c>
      <c r="B21" t="inlineStr">
        <is>
          <t>Порівняння</t>
        </is>
      </c>
      <c r="C21" s="4">
        <f>HYPERLINK("#'Порівняння'!A1","Порівняння")</f>
        <v/>
      </c>
      <c r="D21" s="5" t="n">
        <v>1</v>
      </c>
      <c r="E21" s="5" t="n">
        <v>3</v>
      </c>
    </row>
    <row r="22">
      <c r="A22" t="inlineStr">
        <is>
          <t>Наше ТОВ</t>
        </is>
      </c>
      <c r="B22" t="inlineStr">
        <is>
          <t>ТОВ "ТОРГОВИЙ ДІМ "ПАРТНЕР АЙ ТІ" (41263186)</t>
        </is>
      </c>
      <c r="C22" s="4">
        <f>HYPERLINK("#'Ми1 ТОВ ""ТОРГОВИЙ ДІМ ""ПАРТНЕР'!A1","Ми1 ТОВ ""ТОРГОВИЙ ДІМ ""ПАРТНЕР")</f>
        <v/>
      </c>
      <c r="D22" s="5" t="n">
        <v>5</v>
      </c>
      <c r="E22" s="5" t="n">
        <v>5</v>
      </c>
    </row>
    <row r="23">
      <c r="A23" t="inlineStr">
        <is>
          <t>Наше ТОВ</t>
        </is>
      </c>
      <c r="B23" t="inlineStr">
        <is>
          <t>ТОВ "РЕФОРМА СИСТЕМЗ" (44728541)</t>
        </is>
      </c>
      <c r="C23" s="4">
        <f>HYPERLINK("#'Ми2 ТОВ ""РЕФОРМА СИСТЕМЗ""'!A1","Ми2 ТОВ ""РЕФОРМА СИСТЕМЗ""")</f>
        <v/>
      </c>
      <c r="D23" s="5" t="n">
        <v>3</v>
      </c>
      <c r="E23" s="5" t="n">
        <v>3</v>
      </c>
    </row>
    <row r="24">
      <c r="A24" t="inlineStr">
        <is>
          <t>Конкурент</t>
        </is>
      </c>
      <c r="B24" t="inlineStr">
        <is>
          <t>ТОВ "Технології для бізнесу" (19331194)</t>
        </is>
      </c>
      <c r="C24" s="4">
        <f>HYPERLINK("#'К1 ТОВ ""Технології для бізнесу""'!A1","К1 ТОВ ""Технології для бізнесу""")</f>
        <v/>
      </c>
      <c r="D24" s="5" t="n">
        <v>4</v>
      </c>
      <c r="E24" s="5" t="n">
        <v>2</v>
      </c>
    </row>
    <row r="25">
      <c r="A25" t="inlineStr">
        <is>
          <t>Конкурент</t>
        </is>
      </c>
      <c r="B25" t="inlineStr">
        <is>
          <t>ТОВ "ЕМЕНС" (42647754)</t>
        </is>
      </c>
      <c r="C25" s="4">
        <f>HYPERLINK("#'К2 ТОВ ""ЕМЕНС""'!A1","К2 ТОВ ""ЕМЕНС""")</f>
        <v/>
      </c>
      <c r="D25" s="5" t="n">
        <v>5</v>
      </c>
      <c r="E25" s="5" t="n">
        <v>3</v>
      </c>
    </row>
    <row r="26">
      <c r="A26" t="inlineStr">
        <is>
          <t>Конкурент</t>
        </is>
      </c>
      <c r="B26" t="inlineStr">
        <is>
          <t>ТОВ «ПОРТАЛ АРЕНА» (45119322)</t>
        </is>
      </c>
      <c r="C26" s="4">
        <f>HYPERLINK("#'К3 ТОВ «ПОРТАЛ АРЕНА»'!A1","К3 ТОВ «ПОРТАЛ АРЕНА»")</f>
        <v/>
      </c>
      <c r="D26" s="5" t="n">
        <v>6</v>
      </c>
      <c r="E26" s="5" t="n">
        <v>5</v>
      </c>
    </row>
    <row r="27">
      <c r="A27" t="inlineStr">
        <is>
          <t>Конкурент</t>
        </is>
      </c>
      <c r="B27" t="inlineStr">
        <is>
          <t>ТОВ «ПБГ19» (45701274)</t>
        </is>
      </c>
      <c r="C27" s="4">
        <f>HYPERLINK("#'К4 ТОВ «ПБГ19»'!A1","К4 ТОВ «ПБГ19»")</f>
        <v/>
      </c>
      <c r="D27" s="5" t="n">
        <v>6</v>
      </c>
      <c r="E27" s="5" t="n">
        <v>5</v>
      </c>
    </row>
    <row r="28">
      <c r="A28" t="inlineStr">
        <is>
          <t>Конкурент</t>
        </is>
      </c>
      <c r="B28" t="inlineStr">
        <is>
          <t>ФОП ДАВИДЕНКО ПАВЛО АНДРІЙОВИЧ (2381207253)</t>
        </is>
      </c>
      <c r="C28" s="4">
        <f>HYPERLINK("#'К5 ФОП ДАВИДЕНКО ПАВЛО АНДРІЙОВ'!A1","К5 ФОП ДАВИДЕНКО ПАВЛО АНДРІЙОВ")</f>
        <v/>
      </c>
      <c r="D28" s="5" t="n">
        <v>4</v>
      </c>
      <c r="E28" s="5" t="n">
        <v>2</v>
      </c>
    </row>
    <row r="29">
      <c r="A29" t="inlineStr">
        <is>
          <t>Конкурент</t>
        </is>
      </c>
      <c r="B29" t="inlineStr">
        <is>
          <t>ТОВ «ЮДІТРЕЙД» (42036301)</t>
        </is>
      </c>
      <c r="C29" s="4">
        <f>HYPERLINK("#'К6 ТОВ «ЮДІТРЕЙД»'!A1","К6 ТОВ «ЮДІТРЕЙД»")</f>
        <v/>
      </c>
      <c r="D29" s="5" t="n">
        <v>6</v>
      </c>
      <c r="E29" s="5" t="n">
        <v>5</v>
      </c>
    </row>
    <row r="30">
      <c r="A30" t="inlineStr">
        <is>
          <t>Конкурент</t>
        </is>
      </c>
      <c r="B30" t="inlineStr">
        <is>
          <t>ТОВ "ТІНОС-Д" (42289645)</t>
        </is>
      </c>
      <c r="C30" s="4">
        <f>HYPERLINK("#'К7 ТОВ ""ТІНОС-Д""'!A1","К7 ТОВ ""ТІНОС-Д""")</f>
        <v/>
      </c>
      <c r="D30" s="5" t="n">
        <v>6</v>
      </c>
      <c r="E30" s="5" t="n">
        <v>5</v>
      </c>
    </row>
    <row r="31">
      <c r="A31" t="inlineStr">
        <is>
          <t>Конкурент</t>
        </is>
      </c>
      <c r="B31" t="inlineStr">
        <is>
          <t>ТОВ "ТЕХНО ГАЛАКТИКА" (45884059)</t>
        </is>
      </c>
      <c r="C31" s="4">
        <f>HYPERLINK("#'К8 ТОВ ""ТЕХНО ГАЛАКТИКА""'!A1","К8 ТОВ ""ТЕХНО ГАЛАКТИКА""")</f>
        <v/>
      </c>
      <c r="D31" s="5" t="n">
        <v>4</v>
      </c>
      <c r="E31" s="5" t="n">
        <v>2</v>
      </c>
    </row>
    <row r="32">
      <c r="A32" t="inlineStr">
        <is>
          <t>Конкурент</t>
        </is>
      </c>
      <c r="B32" t="inlineStr">
        <is>
          <t>ТОВ "ДІСТРІ ІНВАЙТ ІТ" (40955533)</t>
        </is>
      </c>
      <c r="C32" s="4">
        <f>HYPERLINK("#'К9 ТОВ ""ДІСТРІ ІНВАЙТ ІТ""'!A1","К9 ТОВ ""ДІСТРІ ІНВАЙТ ІТ""")</f>
        <v/>
      </c>
      <c r="D32" s="5" t="n">
        <v>6</v>
      </c>
      <c r="E32" s="5" t="n">
        <v>5</v>
      </c>
    </row>
    <row r="33">
      <c r="A33" t="inlineStr">
        <is>
          <t>Конкурент</t>
        </is>
      </c>
      <c r="B33" t="inlineStr">
        <is>
          <t>ТОВ "ПАРСЕРС" (35893554)</t>
        </is>
      </c>
      <c r="C33" s="4">
        <f>HYPERLINK("#'К10 ТОВ ""ПАРСЕРС""'!A1","К10 ТОВ ""ПАРСЕРС""")</f>
        <v/>
      </c>
      <c r="D33" s="5" t="n">
        <v>5</v>
      </c>
      <c r="E33" s="5" t="n">
        <v>5</v>
      </c>
    </row>
    <row r="34">
      <c r="A34" t="inlineStr">
        <is>
          <t>Конкурент</t>
        </is>
      </c>
      <c r="B34" t="inlineStr">
        <is>
          <t>ТОВ "СИСТЕМАТИКА УКРАЇНА" (40175293)</t>
        </is>
      </c>
      <c r="C34" s="4">
        <f>HYPERLINK("#'К11 ТОВ ""СИСТЕМАТИКА УКРАЇНА""'!A1","К11 ТОВ ""СИСТЕМАТИКА УКРАЇНА""")</f>
        <v/>
      </c>
      <c r="D34" s="5" t="n">
        <v>6</v>
      </c>
      <c r="E34" s="5" t="n">
        <v>5</v>
      </c>
    </row>
    <row r="35">
      <c r="A35" t="inlineStr">
        <is>
          <t>Конкурент</t>
        </is>
      </c>
      <c r="B35" t="inlineStr">
        <is>
          <t>ТОВ "КОРВЕТ" (21337459)</t>
        </is>
      </c>
      <c r="C35" s="4">
        <f>HYPERLINK("#'К12 ТОВ ""КОРВЕТ""'!A1","К12 ТОВ ""КОРВЕТ""")</f>
        <v/>
      </c>
      <c r="D35" s="5" t="n">
        <v>6</v>
      </c>
      <c r="E35" s="5" t="n">
        <v>5</v>
      </c>
    </row>
    <row r="36">
      <c r="A36" t="inlineStr">
        <is>
          <t>Конкурент</t>
        </is>
      </c>
      <c r="B36" t="inlineStr">
        <is>
          <t>ТОВ "ІНТЕРАКТИВНІ СИСТЕМИ НАВЧАННЯ" (42216158)</t>
        </is>
      </c>
      <c r="C36" s="4">
        <f>HYPERLINK("#'К13 ТОВ ""ІНТЕРАКТИВНІ СИСТЕМИ Н'!A1","К13 ТОВ ""ІНТЕРАКТИВНІ СИСТЕМИ Н")</f>
        <v/>
      </c>
      <c r="D36" s="5" t="n">
        <v>4</v>
      </c>
      <c r="E36" s="5" t="n">
        <v>2</v>
      </c>
    </row>
    <row r="37">
      <c r="A37" t="inlineStr">
        <is>
          <t>Конкурент</t>
        </is>
      </c>
      <c r="B37" t="inlineStr">
        <is>
          <t>ФОП ІВАНЧЕНКО МИКОЛА ІВАНОВИЧ (2235409477)</t>
        </is>
      </c>
      <c r="C37" s="4">
        <f>HYPERLINK("#'К14 ФОП ІВАНЧЕНКО МИКОЛА ІВАНОВ'!A1","К14 ФОП ІВАНЧЕНКО МИКОЛА ІВАНОВ")</f>
        <v/>
      </c>
      <c r="D37" s="5" t="n">
        <v>4</v>
      </c>
      <c r="E37" s="5" t="n">
        <v>4</v>
      </c>
    </row>
    <row r="38">
      <c r="A38" t="inlineStr">
        <is>
          <t>Конкурент</t>
        </is>
      </c>
      <c r="B38" t="inlineStr">
        <is>
          <t>ТОВ "САНТАРЕКС" (30126040)</t>
        </is>
      </c>
      <c r="C38" s="4">
        <f>HYPERLINK("#'К15 ТОВ ""САНТАРЕКС""'!A1","К15 ТОВ ""САНТАРЕКС""")</f>
        <v/>
      </c>
      <c r="D38" s="5" t="n">
        <v>6</v>
      </c>
      <c r="E38" s="5" t="n">
        <v>5</v>
      </c>
    </row>
    <row r="39">
      <c r="A39" t="inlineStr">
        <is>
          <t>Конкурент</t>
        </is>
      </c>
      <c r="B39" t="inlineStr">
        <is>
          <t>ТОВ "АРТЛАЙН ІНТЕГРАЦІЯ" (40733799)</t>
        </is>
      </c>
      <c r="C39" s="4">
        <f>HYPERLINK("#'К16 ТОВ ""АРТЛАЙН ІНТЕГРАЦІЯ""'!A1","К16 ТОВ ""АРТЛАЙН ІНТЕГРАЦІЯ""")</f>
        <v/>
      </c>
      <c r="D39" s="5" t="n">
        <v>6</v>
      </c>
      <c r="E39" s="5" t="n">
        <v>5</v>
      </c>
    </row>
    <row r="40">
      <c r="A40" t="inlineStr">
        <is>
          <t>Конкурент</t>
        </is>
      </c>
      <c r="B40" t="inlineStr">
        <is>
          <t>ТОВ "СМАРТ ТЕХНОЛОГІЇ В ОСВІТІ" (37570093)</t>
        </is>
      </c>
      <c r="C40" s="4">
        <f>HYPERLINK("#'К17 ТОВ ""СМАРТ ТЕХНОЛОГІЇ В ОСВ'!A1","К17 ТОВ ""СМАРТ ТЕХНОЛОГІЇ В ОСВ")</f>
        <v/>
      </c>
      <c r="D40" s="5" t="n">
        <v>4</v>
      </c>
      <c r="E40" s="5" t="n">
        <v>3</v>
      </c>
    </row>
    <row r="41">
      <c r="A41" t="inlineStr">
        <is>
          <t>Конкурент</t>
        </is>
      </c>
      <c r="B41" t="inlineStr">
        <is>
          <t>ФОП "ВАЙДА ГАВРИЛО ІВАНОВИЧ" (1620205276)</t>
        </is>
      </c>
      <c r="C41" s="4">
        <f>HYPERLINK("#'К18 ФОП ""ВАЙДА ГАВРИЛО ІВАНОВИЧ'!A1","К18 ФОП ""ВАЙДА ГАВРИЛО ІВАНОВИЧ")</f>
        <v/>
      </c>
      <c r="D41" s="5" t="n">
        <v>4</v>
      </c>
      <c r="E41" s="5" t="n">
        <v>3</v>
      </c>
    </row>
    <row r="42">
      <c r="A42" t="inlineStr">
        <is>
          <t>Конкурент</t>
        </is>
      </c>
      <c r="B42" t="inlineStr">
        <is>
          <t>ФОП Цяк Валерій Михайлович (2145216995)</t>
        </is>
      </c>
      <c r="C42" s="4">
        <f>HYPERLINK("#'К19 ФОП Цяк Валерій Михайлович'!A1","К19 ФОП Цяк Валерій Михайлович")</f>
        <v/>
      </c>
      <c r="D42" s="5" t="n">
        <v>4</v>
      </c>
      <c r="E42" s="5" t="n">
        <v>4</v>
      </c>
    </row>
    <row r="43">
      <c r="A43" t="inlineStr">
        <is>
          <t>Конкурент</t>
        </is>
      </c>
      <c r="B43" t="inlineStr">
        <is>
          <t>ТОВ "ДИДАКТИКЛАБ" (42831727)</t>
        </is>
      </c>
      <c r="C43" s="4">
        <f>HYPERLINK("#'К20 ТОВ ""ДИДАКТИКЛАБ""'!A1","К20 ТОВ ""ДИДАКТИКЛАБ""")</f>
        <v/>
      </c>
      <c r="D43" s="5" t="n">
        <v>5</v>
      </c>
      <c r="E43" s="5" t="n">
        <v>5</v>
      </c>
    </row>
    <row r="44">
      <c r="A44" t="inlineStr">
        <is>
          <t>Конкурент</t>
        </is>
      </c>
      <c r="B44" t="inlineStr">
        <is>
          <t>ТОВ "НАВІГАТОР СИСТЕМ" (42893689)</t>
        </is>
      </c>
      <c r="C44" s="4">
        <f>HYPERLINK("#'К21 ТОВ ""НАВІГАТОР СИСТЕМ""'!A1","К21 ТОВ ""НАВІГАТОР СИСТЕМ""")</f>
        <v/>
      </c>
      <c r="D44" s="5" t="n">
        <v>4</v>
      </c>
      <c r="E44" s="5" t="n">
        <v>4</v>
      </c>
    </row>
    <row r="45">
      <c r="A45" t="inlineStr">
        <is>
          <t>Конкурент</t>
        </is>
      </c>
      <c r="B45" t="inlineStr">
        <is>
          <t>ТОВ "КОМЕЛ" (24083083)</t>
        </is>
      </c>
      <c r="C45" s="4">
        <f>HYPERLINK("#'К22 ТОВ ""КОМЕЛ""'!A1","К22 ТОВ ""КОМЕЛ""")</f>
        <v/>
      </c>
      <c r="D45" s="5" t="n">
        <v>5</v>
      </c>
      <c r="E45" s="5" t="n">
        <v>4</v>
      </c>
    </row>
    <row r="46">
      <c r="A46" t="inlineStr">
        <is>
          <t>Конкурент</t>
        </is>
      </c>
      <c r="B46" t="inlineStr">
        <is>
          <t>ТОВ "ПАВЕРТРЕЙД" (43120417)</t>
        </is>
      </c>
      <c r="C46" s="4">
        <f>HYPERLINK("#'К23 ТОВ ""ПАВЕРТРЕЙД""'!A1","К23 ТОВ ""ПАВЕРТРЕЙД""")</f>
        <v/>
      </c>
      <c r="D46" s="5" t="n">
        <v>6</v>
      </c>
      <c r="E46" s="5" t="n">
        <v>5</v>
      </c>
    </row>
    <row r="47">
      <c r="A47" t="inlineStr">
        <is>
          <t>Конкурент</t>
        </is>
      </c>
      <c r="B47" t="inlineStr">
        <is>
          <t>ТОВ "КОМПАКОМ" (45596933)</t>
        </is>
      </c>
      <c r="C47" s="4">
        <f>HYPERLINK("#'К24 ТОВ ""КОМПАКОМ""'!A1","К24 ТОВ ""КОМПАКОМ""")</f>
        <v/>
      </c>
      <c r="D47" s="5" t="n">
        <v>6</v>
      </c>
      <c r="E47" s="5" t="n">
        <v>5</v>
      </c>
    </row>
    <row r="48">
      <c r="A48" t="inlineStr">
        <is>
          <t>Конкурент</t>
        </is>
      </c>
      <c r="B48" t="inlineStr">
        <is>
          <t>ФОП "Гріпіч Тетяна Борисівна" (2850105825)</t>
        </is>
      </c>
      <c r="C48" s="4">
        <f>HYPERLINK("#'К25 ФОП ""Гріпіч Тетяна Борисівн'!A1","К25 ФОП ""Гріпіч Тетяна Борисівн")</f>
        <v/>
      </c>
      <c r="D48" s="5" t="n">
        <v>6</v>
      </c>
      <c r="E48" s="5" t="n">
        <v>4</v>
      </c>
    </row>
    <row r="49">
      <c r="A49" t="inlineStr">
        <is>
          <t>Конкурент</t>
        </is>
      </c>
      <c r="B49" t="inlineStr">
        <is>
          <t>ФОП "СРИВКІН СЕРГІЙ БОРИСОВИЧ" (2874302850)</t>
        </is>
      </c>
      <c r="C49" s="4">
        <f>HYPERLINK("#'К26 ФОП ""СРИВКІН СЕРГІЙ БОРИСОВ'!A1","К26 ФОП ""СРИВКІН СЕРГІЙ БОРИСОВ")</f>
        <v/>
      </c>
      <c r="D49" s="5" t="n">
        <v>4</v>
      </c>
      <c r="E49" s="5" t="n">
        <v>2</v>
      </c>
    </row>
    <row r="50">
      <c r="A50" t="inlineStr">
        <is>
          <t>Конкурент</t>
        </is>
      </c>
      <c r="B50" t="inlineStr">
        <is>
          <t>ФОП СІНЬКЕВИЧ ОЛЕКСАНДР АНАТОЛІЙОВИЧ (3395906995)</t>
        </is>
      </c>
      <c r="C50" s="4">
        <f>HYPERLINK("#'К27 ФОП СІНЬКЕВИЧ ОЛЕКСАНДР АНА'!A1","К27 ФОП СІНЬКЕВИЧ ОЛЕКСАНДР АНА")</f>
        <v/>
      </c>
      <c r="D50" s="5" t="n">
        <v>4</v>
      </c>
      <c r="E50" s="5" t="n">
        <v>3</v>
      </c>
    </row>
    <row r="51">
      <c r="A51" t="inlineStr">
        <is>
          <t>Конкурент</t>
        </is>
      </c>
      <c r="B51" t="inlineStr">
        <is>
          <t>ТОВ "Епіцентр К" (32490244)</t>
        </is>
      </c>
      <c r="C51" s="4">
        <f>HYPERLINK("#'К28 ТОВ ""Епіцентр К""'!A1","К28 ТОВ ""Епіцентр К""")</f>
        <v/>
      </c>
      <c r="D51" s="5" t="n">
        <v>6</v>
      </c>
      <c r="E51" s="5" t="n">
        <v>5</v>
      </c>
    </row>
    <row r="52">
      <c r="A52" t="inlineStr">
        <is>
          <t>Конкурент</t>
        </is>
      </c>
      <c r="B52" t="inlineStr">
        <is>
          <t>ТОВ "ДІАВЕСТЕНД КОМПЛЕКСНІ РІШЕННЯ" (30256061)</t>
        </is>
      </c>
      <c r="C52" s="4">
        <f>HYPERLINK("#'К29 ТОВ ""ДІАВЕСТЕНД КОМПЛЕКСНІ'!A1","К29 ТОВ ""ДІАВЕСТЕНД КОМПЛЕКСНІ")</f>
        <v/>
      </c>
      <c r="D52" s="5" t="n">
        <v>6</v>
      </c>
      <c r="E52" s="5" t="n">
        <v>5</v>
      </c>
    </row>
    <row r="53">
      <c r="A53" t="inlineStr">
        <is>
          <t>Конкурент</t>
        </is>
      </c>
      <c r="B53" t="inlineStr">
        <is>
          <t>ТОВ "КУБІК ГРУП" (44554976)</t>
        </is>
      </c>
      <c r="C53" s="4">
        <f>HYPERLINK("#'К30 ТОВ ""КУБІК ГРУП""'!A1","К30 ТОВ ""КУБІК ГРУП""")</f>
        <v/>
      </c>
      <c r="D53" s="5" t="n">
        <v>5</v>
      </c>
      <c r="E53" s="5" t="n">
        <v>3</v>
      </c>
    </row>
    <row r="54">
      <c r="A54" t="inlineStr">
        <is>
          <t>Конкурент</t>
        </is>
      </c>
      <c r="B54" t="inlineStr">
        <is>
          <t>ТОВ "СІНТ-ДНІПРОПЕТРОВСЬК" (38199744)</t>
        </is>
      </c>
      <c r="C54" s="4">
        <f>HYPERLINK("#'К31 ТОВ ""СІНТ-ДНІПРОПЕТРОВСЬК""'!A1","К31 ТОВ ""СІНТ-ДНІПРОПЕТРОВСЬК""")</f>
        <v/>
      </c>
      <c r="D54" s="5" t="n">
        <v>5</v>
      </c>
      <c r="E54" s="5" t="n">
        <v>3</v>
      </c>
    </row>
    <row r="55">
      <c r="A55" t="inlineStr">
        <is>
          <t>Конкурент</t>
        </is>
      </c>
      <c r="B55" t="inlineStr">
        <is>
          <t>ТОВ "КПІ-МАРКЕТ" (41351235)</t>
        </is>
      </c>
      <c r="C55" s="4">
        <f>HYPERLINK("#'К32 ТОВ ""КПІ-МАРКЕТ""'!A1","К32 ТОВ ""КПІ-МАРКЕТ""")</f>
        <v/>
      </c>
      <c r="D55" s="5" t="n">
        <v>5</v>
      </c>
      <c r="E55" s="5" t="n">
        <v>2</v>
      </c>
    </row>
    <row r="56">
      <c r="A56" t="inlineStr">
        <is>
          <t>Конкурент</t>
        </is>
      </c>
      <c r="B56" t="inlineStr">
        <is>
          <t>ФОП Козловський Сергій Павлович (2948314313)</t>
        </is>
      </c>
      <c r="C56" s="4">
        <f>HYPERLINK("#'К33 ФОП Козловський Сергій Павл'!A1","К33 ФОП Козловський Сергій Павл")</f>
        <v/>
      </c>
      <c r="D56" s="5" t="n">
        <v>6</v>
      </c>
      <c r="E56" s="5" t="n">
        <v>4</v>
      </c>
    </row>
    <row r="57">
      <c r="A57" t="inlineStr">
        <is>
          <t>Конкурент</t>
        </is>
      </c>
      <c r="B57" t="inlineStr">
        <is>
          <t>ФОП ПРІСИЧ ДМИТРО МИКОЛАЙОВИЧ (3248805838)</t>
        </is>
      </c>
      <c r="C57" s="4">
        <f>HYPERLINK("#'К34 ФОП ПРІСИЧ ДМИТРО МИКОЛАЙОВ'!A1","К34 ФОП ПРІСИЧ ДМИТРО МИКОЛАЙОВ")</f>
        <v/>
      </c>
      <c r="D57" s="5" t="n">
        <v>6</v>
      </c>
      <c r="E57" s="5" t="n">
        <v>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428"/>
  <sheetViews>
    <sheetView showGridLines="0" workbookViewId="0">
      <selection activeCell="A1" sqref="A1"/>
    </sheetView>
  </sheetViews>
  <sheetFormatPr baseColWidth="8" defaultRowHeight="15"/>
  <cols>
    <col width="9" customWidth="1" min="1" max="1"/>
    <col width="9" customWidth="1" min="2" max="2"/>
    <col width="9" customWidth="1" min="3" max="3"/>
    <col width="9"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9" customWidth="1" min="22" max="22"/>
    <col width="9" customWidth="1" min="23" max="23"/>
    <col width="9" customWidth="1" min="24" max="24"/>
  </cols>
  <sheetData>
    <row r="1">
      <c r="A1" s="1" t="inlineStr">
        <is>
          <t>Усі графіки звіту</t>
        </is>
      </c>
    </row>
    <row r="2">
      <c r="A2" s="6" t="inlineStr">
        <is>
          <t>prozorro-дані-2026-09-02-1713.xlsx  ·  період 2025-09-02 — 2026-09-02  ·  складено 03.09.2026 00:19</t>
        </is>
      </c>
    </row>
    <row r="3">
      <c r="A3" s="6" t="inlineStr">
        <is>
          <t>Кожна діаграма побудована на даних свого розділу — вони лишилися на його аркуші, тут лише малюнки. Портрети окремих компаній мають власні аркуші й сюди не входять.</t>
        </is>
      </c>
    </row>
    <row r="5">
      <c r="A5" s="7" t="inlineStr">
        <is>
          <t>Підсумок</t>
        </is>
      </c>
    </row>
    <row r="6">
      <c r="A6" s="6" t="inlineStr">
        <is>
          <t>дані — на аркуші «Підсумок»</t>
        </is>
      </c>
    </row>
    <row r="50">
      <c r="A50" s="7" t="inlineStr">
        <is>
          <t>Очищення</t>
        </is>
      </c>
    </row>
    <row r="51">
      <c r="A51" s="6" t="inlineStr">
        <is>
          <t>дані — на аркуші «Очищення»</t>
        </is>
      </c>
    </row>
    <row r="93">
      <c r="A93" s="7" t="inlineStr">
        <is>
          <t>Ринок</t>
        </is>
      </c>
    </row>
    <row r="94">
      <c r="A94" s="6" t="inlineStr">
        <is>
          <t>дані — на аркуші «Ринок»</t>
        </is>
      </c>
    </row>
    <row r="181">
      <c r="A181" s="7" t="inlineStr">
        <is>
          <t>Прогнозування</t>
        </is>
      </c>
    </row>
    <row r="182">
      <c r="A182" s="6" t="inlineStr">
        <is>
          <t>дані — на аркуші «Прогнозування»</t>
        </is>
      </c>
    </row>
    <row r="244">
      <c r="A244" s="7" t="inlineStr">
        <is>
          <t>Відмови</t>
        </is>
      </c>
    </row>
    <row r="245">
      <c r="A245" s="6" t="inlineStr">
        <is>
          <t>дані — на аркуші «Відмови»</t>
        </is>
      </c>
    </row>
    <row r="287">
      <c r="A287" s="7" t="inlineStr">
        <is>
          <t>Наші ТОВ</t>
        </is>
      </c>
    </row>
    <row r="288">
      <c r="A288" s="6" t="inlineStr">
        <is>
          <t>дані — на аркуші «Наші ТОВ»</t>
        </is>
      </c>
    </row>
    <row r="311">
      <c r="A311" s="7" t="inlineStr">
        <is>
          <t>Конкуренти</t>
        </is>
      </c>
    </row>
    <row r="312">
      <c r="A312" s="6" t="inlineStr">
        <is>
          <t>дані — на аркуші «Конкуренти»</t>
        </is>
      </c>
    </row>
    <row r="337">
      <c r="A337" s="7" t="inlineStr">
        <is>
          <t>Товари і ТМ</t>
        </is>
      </c>
    </row>
    <row r="338">
      <c r="A338" s="6" t="inlineStr">
        <is>
          <t>дані — на аркуші «Товари і ТМ»</t>
        </is>
      </c>
    </row>
    <row r="403">
      <c r="A403" s="7" t="inlineStr">
        <is>
          <t>Постачання</t>
        </is>
      </c>
    </row>
    <row r="404">
      <c r="A404" s="6" t="inlineStr">
        <is>
          <t>дані — на аркуші «Постачання»</t>
        </is>
      </c>
    </row>
    <row r="427">
      <c r="A427" s="7" t="inlineStr">
        <is>
          <t>Порівняння</t>
        </is>
      </c>
    </row>
    <row r="428">
      <c r="A428" s="6" t="inlineStr">
        <is>
          <t>дані — на аркуші «Порівняння»</t>
        </is>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C89"/>
  <sheetViews>
    <sheetView showGridLines="0" workbookViewId="0">
      <selection activeCell="A1" sqref="A1"/>
    </sheetView>
  </sheetViews>
  <sheetFormatPr baseColWidth="8" defaultRowHeight="15"/>
  <cols>
    <col width="45" customWidth="1" min="1" max="1"/>
    <col width="28" customWidth="1" min="2" max="2"/>
    <col width="16" customWidth="1" min="3" max="3"/>
  </cols>
  <sheetData>
    <row r="1">
      <c r="A1" s="1" t="inlineStr">
        <is>
          <t>Підсумок</t>
        </is>
      </c>
    </row>
    <row r="3">
      <c r="A3" s="7" t="inlineStr">
        <is>
          <t>Головне</t>
        </is>
      </c>
    </row>
    <row r="4">
      <c r="A4" s="6" t="inlineStr">
        <is>
          <t>Джерело: prozorro-дані-2026-09-02-1713.xlsx. Період: 2025-09-02 — 2026-09-02.</t>
        </is>
      </c>
    </row>
    <row r="6">
      <c r="A6" s="8" t="inlineStr">
        <is>
          <t>Показники</t>
        </is>
      </c>
    </row>
    <row r="7">
      <c r="A7" s="9" t="inlineStr">
        <is>
          <t>Сума ринку</t>
        </is>
      </c>
      <c r="B7" s="10" t="inlineStr">
        <is>
          <t>118,7 млн грн</t>
        </is>
      </c>
    </row>
    <row r="8">
      <c r="A8" s="9" t="inlineStr">
        <is>
          <t>Закупівель</t>
        </is>
      </c>
      <c r="B8" s="10" t="inlineStr">
        <is>
          <t>1 992</t>
        </is>
      </c>
    </row>
    <row r="9">
      <c r="A9" s="9" t="inlineStr">
        <is>
          <t>Постачальників</t>
        </is>
      </c>
      <c r="B9" s="10" t="inlineStr">
        <is>
          <t>352</t>
        </is>
      </c>
    </row>
    <row r="10">
      <c r="A10" s="9" t="inlineStr">
        <is>
          <t>Наша сума</t>
        </is>
      </c>
      <c r="B10" s="10" t="inlineStr">
        <is>
          <t>4,4 млн грн</t>
        </is>
      </c>
    </row>
    <row r="11">
      <c r="A11" s="9" t="inlineStr">
        <is>
          <t>Наша частка</t>
        </is>
      </c>
      <c r="B11" s="10" t="inlineStr">
        <is>
          <t>3,7%</t>
        </is>
      </c>
    </row>
    <row r="12">
      <c r="A12" s="9" t="inlineStr">
        <is>
          <t>Наше місце</t>
        </is>
      </c>
      <c r="B12" s="10" t="inlineStr">
        <is>
          <t>№3</t>
        </is>
      </c>
    </row>
    <row r="13">
      <c r="A13" s="9" t="inlineStr">
        <is>
          <t>Лідер ринку</t>
        </is>
      </c>
      <c r="B13" s="10" t="inlineStr">
        <is>
          <t>Технології для бізнесу</t>
        </is>
      </c>
    </row>
    <row r="14">
      <c r="A14" s="9" t="inlineStr">
        <is>
          <t>Частка лідера</t>
        </is>
      </c>
      <c r="B14" s="10" t="inlineStr">
        <is>
          <t>8,3%</t>
        </is>
      </c>
    </row>
    <row r="16">
      <c r="A16" s="8" t="inlineStr">
        <is>
          <t>Висновки</t>
        </is>
      </c>
    </row>
    <row r="17">
      <c r="A17" t="inlineStr">
        <is>
          <t>•  Лідер ринку — ТОВ "Технології для бізнесу": 9,8 млн грн (8,3% обороту).</t>
        </is>
      </c>
    </row>
    <row r="18">
      <c r="A18" t="inlineStr">
        <is>
          <t>•  Найкраще місце наших ТОВ — №3. Відрив від лідера: 6,2 млн грн.</t>
        </is>
      </c>
    </row>
    <row r="19">
      <c r="A19" t="inlineStr">
        <is>
          <t>•  Головні конкуренти: ТОВ "Технології для бізнесу" (9,8 млн грн); ТОВ "ЕМЕНС" (4,1 млн грн, ТМ Intel); ТОВ «ПОРТАЛ АРЕНА» (3,6 млн грн, ТМ Microsoft).</t>
        </is>
      </c>
    </row>
    <row r="20">
      <c r="A20" t="inlineStr">
        <is>
          <t>•  З 322 закупівель, які взяли розібрані конкуренти, у 313 (97,2%) нас навіть не було на подачі, у 9 нас перебили ціною.</t>
        </is>
      </c>
    </row>
    <row r="22">
      <c r="A22" s="8" t="inlineStr">
        <is>
          <t>Графіки</t>
        </is>
      </c>
    </row>
    <row r="24">
      <c r="A24" s="2" t="inlineStr">
        <is>
          <t>Динаміка ринку по місяцях</t>
        </is>
      </c>
    </row>
    <row r="25">
      <c r="A25" s="6" t="inlineStr">
        <is>
          <t>Обидва ряди — за місяцем оприлюднення закупівлі, тож план і факт стосуються тих самих закупівель. Зірочкою позначені неповні місяці — вибірка починається й закінчується посеред місяця.</t>
        </is>
      </c>
    </row>
    <row r="26">
      <c r="A26" s="3" t="inlineStr">
        <is>
          <t>Період</t>
        </is>
      </c>
      <c r="B26" s="3" t="inlineStr">
        <is>
          <t>Очікувана вартість, грн</t>
        </is>
      </c>
      <c r="C26" s="3" t="inlineStr">
        <is>
          <t>Сума угод, грн</t>
        </is>
      </c>
    </row>
    <row r="27">
      <c r="A27" t="inlineStr">
        <is>
          <t>2025-09 *</t>
        </is>
      </c>
      <c r="B27" s="5" t="n">
        <v>15523185.76</v>
      </c>
      <c r="C27" s="5" t="n">
        <v>11563064.43</v>
      </c>
    </row>
    <row r="28">
      <c r="A28" t="inlineStr">
        <is>
          <t>2025-10</t>
        </is>
      </c>
      <c r="B28" s="5" t="n">
        <v>30620699.8</v>
      </c>
      <c r="C28" s="5" t="n">
        <v>20692419.51</v>
      </c>
    </row>
    <row r="29">
      <c r="A29" t="inlineStr">
        <is>
          <t>2025-11</t>
        </is>
      </c>
      <c r="B29" s="5" t="n">
        <v>24428989.57</v>
      </c>
      <c r="C29" s="5" t="n">
        <v>17443458.37</v>
      </c>
    </row>
    <row r="30">
      <c r="A30" t="inlineStr">
        <is>
          <t>2025-12</t>
        </is>
      </c>
      <c r="B30" s="5" t="n">
        <v>15188370.92</v>
      </c>
      <c r="C30" s="5" t="n">
        <v>11925310.44</v>
      </c>
    </row>
    <row r="31">
      <c r="A31" t="inlineStr">
        <is>
          <t>2026-01</t>
        </is>
      </c>
      <c r="B31" s="5" t="n">
        <v>2634426.4</v>
      </c>
      <c r="C31" s="5" t="n">
        <v>2391256.88</v>
      </c>
    </row>
    <row r="32">
      <c r="A32" t="inlineStr">
        <is>
          <t>2026-02</t>
        </is>
      </c>
      <c r="B32" s="5" t="n">
        <v>4736855.39</v>
      </c>
      <c r="C32" s="5" t="n">
        <v>4063778</v>
      </c>
    </row>
    <row r="33">
      <c r="A33" t="inlineStr">
        <is>
          <t>2026-03</t>
        </is>
      </c>
      <c r="B33" s="5" t="n">
        <v>11709227.97</v>
      </c>
      <c r="C33" s="5" t="n">
        <v>7665282.61</v>
      </c>
    </row>
    <row r="34">
      <c r="A34" t="inlineStr">
        <is>
          <t>2026-04</t>
        </is>
      </c>
      <c r="B34" s="5" t="n">
        <v>10520468.4</v>
      </c>
      <c r="C34" s="5" t="n">
        <v>6553133.04</v>
      </c>
    </row>
    <row r="35">
      <c r="A35" t="inlineStr">
        <is>
          <t>2026-05</t>
        </is>
      </c>
      <c r="B35" s="5" t="n">
        <v>9533724.99</v>
      </c>
      <c r="C35" s="5" t="n">
        <v>6929667.07</v>
      </c>
    </row>
    <row r="36">
      <c r="A36" t="inlineStr">
        <is>
          <t>2026-06</t>
        </is>
      </c>
      <c r="B36" s="5" t="n">
        <v>16645965.18</v>
      </c>
      <c r="C36" s="5" t="n">
        <v>12332629.09</v>
      </c>
    </row>
    <row r="37">
      <c r="A37" t="inlineStr">
        <is>
          <t>2026-07</t>
        </is>
      </c>
      <c r="B37" s="5" t="n">
        <v>10696589.41</v>
      </c>
      <c r="C37" s="5" t="n">
        <v>8810389.59</v>
      </c>
    </row>
    <row r="38">
      <c r="A38" t="inlineStr">
        <is>
          <t>2026-08</t>
        </is>
      </c>
      <c r="B38" s="5" t="n">
        <v>11896675.45</v>
      </c>
      <c r="C38" s="5" t="n">
        <v>8271126.36</v>
      </c>
    </row>
    <row r="39">
      <c r="A39" t="inlineStr">
        <is>
          <t>2026-09 *</t>
        </is>
      </c>
      <c r="B39" s="5" t="n">
        <v>6416298.35</v>
      </c>
      <c r="C39" s="5" t="n">
        <v>49800</v>
      </c>
    </row>
    <row r="44">
      <c r="A44" s="2" t="inlineStr">
        <is>
          <t>Коли гроші розійшлися</t>
        </is>
      </c>
    </row>
    <row r="45">
      <c r="A45" s="6" t="inlineStr">
        <is>
          <t>Той самий обсяг, але за датою підписання договору. Різниця з попереднім графіком — це затримка між торгами й договором.</t>
        </is>
      </c>
    </row>
    <row r="46">
      <c r="A46" s="3" t="inlineStr">
        <is>
          <t>Період</t>
        </is>
      </c>
      <c r="B46" s="3" t="inlineStr">
        <is>
          <t>Сума за датою підпису, грн</t>
        </is>
      </c>
    </row>
    <row r="47">
      <c r="A47" t="inlineStr">
        <is>
          <t>2025-09 *</t>
        </is>
      </c>
      <c r="B47" s="5" t="n">
        <v>7725716.53</v>
      </c>
    </row>
    <row r="48">
      <c r="A48" t="inlineStr">
        <is>
          <t>2025-10</t>
        </is>
      </c>
      <c r="B48" s="5" t="n">
        <v>8424422.51</v>
      </c>
    </row>
    <row r="49">
      <c r="A49" t="inlineStr">
        <is>
          <t>2025-11</t>
        </is>
      </c>
      <c r="B49" s="5" t="n">
        <v>27825877.39</v>
      </c>
    </row>
    <row r="50">
      <c r="A50" t="inlineStr">
        <is>
          <t>2025-12</t>
        </is>
      </c>
      <c r="B50" s="5" t="n">
        <v>17616131.32</v>
      </c>
    </row>
    <row r="51">
      <c r="A51" t="inlineStr">
        <is>
          <t>2026-01</t>
        </is>
      </c>
      <c r="B51" s="5" t="n">
        <v>1291737.4</v>
      </c>
    </row>
    <row r="52">
      <c r="A52" t="inlineStr">
        <is>
          <t>2026-02</t>
        </is>
      </c>
      <c r="B52" s="5" t="n">
        <v>3380762.24</v>
      </c>
    </row>
    <row r="53">
      <c r="A53" t="inlineStr">
        <is>
          <t>2026-03</t>
        </is>
      </c>
      <c r="B53" s="5" t="n">
        <v>5157102.51</v>
      </c>
    </row>
    <row r="54">
      <c r="A54" t="inlineStr">
        <is>
          <t>2026-04</t>
        </is>
      </c>
      <c r="B54" s="5" t="n">
        <v>9082394.48</v>
      </c>
    </row>
    <row r="55">
      <c r="A55" t="inlineStr">
        <is>
          <t>2026-05</t>
        </is>
      </c>
      <c r="B55" s="5" t="n">
        <v>5551486.13</v>
      </c>
    </row>
    <row r="56">
      <c r="A56" t="inlineStr">
        <is>
          <t>2026-06</t>
        </is>
      </c>
      <c r="B56" s="5" t="n">
        <v>11432631.31</v>
      </c>
    </row>
    <row r="57">
      <c r="A57" t="inlineStr">
        <is>
          <t>2026-07</t>
        </is>
      </c>
      <c r="B57" s="5" t="n">
        <v>8968564.42</v>
      </c>
    </row>
    <row r="58">
      <c r="A58" t="inlineStr">
        <is>
          <t>2026-08</t>
        </is>
      </c>
      <c r="B58" s="5" t="n">
        <v>11008712.4</v>
      </c>
    </row>
    <row r="59">
      <c r="A59" t="inlineStr">
        <is>
          <t>2026-09 *</t>
        </is>
      </c>
      <c r="B59" s="5" t="n">
        <v>1225776.75</v>
      </c>
    </row>
    <row r="64">
      <c r="A64" s="2" t="inlineStr">
        <is>
          <t>Ми проти лідерів ринку (топ-12)</t>
        </is>
      </c>
    </row>
    <row r="65">
      <c r="A65" s="6" t="inlineStr">
        <is>
          <t>Наші ТОВ виділені кольором і стоять у списку завжди: те, що не ввійшло до топ-12, дописане в кінець із номером свого місця. Тут лише ті, у кого є підписані угоди — ЄДРПОУ без жодної угоди в рейтингу немає.</t>
        </is>
      </c>
    </row>
    <row r="66">
      <c r="A66" s="3" t="inlineStr">
        <is>
          <t>Категорія</t>
        </is>
      </c>
      <c r="B66" s="3" t="inlineStr">
        <is>
          <t>Сума угод, грн</t>
        </is>
      </c>
    </row>
    <row r="67">
      <c r="A67" t="inlineStr">
        <is>
          <t>Технології для бізнесу</t>
        </is>
      </c>
      <c r="B67" s="5" t="n">
        <v>9792379.5</v>
      </c>
    </row>
    <row r="68">
      <c r="A68" t="inlineStr">
        <is>
          <t>ЕМЕНС</t>
        </is>
      </c>
      <c r="B68" s="5" t="n">
        <v>4116900</v>
      </c>
    </row>
    <row r="69">
      <c r="A69" t="inlineStr">
        <is>
          <t>ТОРГОВИЙ ДІМ "ПАРТНЕР АЙ ТІ</t>
        </is>
      </c>
      <c r="B69" s="5" t="n">
        <v>3625405.8</v>
      </c>
    </row>
    <row r="70">
      <c r="A70" t="inlineStr">
        <is>
          <t>ПОРТАЛ АРЕНА</t>
        </is>
      </c>
      <c r="B70" s="5" t="n">
        <v>3597812.4</v>
      </c>
    </row>
    <row r="71">
      <c r="A71" t="inlineStr">
        <is>
          <t>ПБГ19</t>
        </is>
      </c>
      <c r="B71" s="5" t="n">
        <v>3383565.2</v>
      </c>
    </row>
    <row r="72">
      <c r="A72" t="inlineStr">
        <is>
          <t>ДАВИДЕНКО ПАВЛО АНДРІЙОВИЧ</t>
        </is>
      </c>
      <c r="B72" s="5" t="n">
        <v>2855900</v>
      </c>
    </row>
    <row r="73">
      <c r="A73" t="inlineStr">
        <is>
          <t>ЮДІТРЕЙД</t>
        </is>
      </c>
      <c r="B73" s="5" t="n">
        <v>2504219.64</v>
      </c>
    </row>
    <row r="74">
      <c r="A74" t="inlineStr">
        <is>
          <t>ТІНОС-Д</t>
        </is>
      </c>
      <c r="B74" s="5" t="n">
        <v>2232222</v>
      </c>
    </row>
    <row r="75">
      <c r="A75" t="inlineStr">
        <is>
          <t>ТЕХНО ГАЛАКТИКА</t>
        </is>
      </c>
      <c r="B75" s="5" t="n">
        <v>2199480</v>
      </c>
    </row>
    <row r="76">
      <c r="A76" t="inlineStr">
        <is>
          <t>ДІСТРІ ІНВАЙТ ІТ</t>
        </is>
      </c>
      <c r="B76" s="5" t="n">
        <v>2180234.28</v>
      </c>
    </row>
    <row r="77">
      <c r="A77" t="inlineStr">
        <is>
          <t>ПАРСЕРС</t>
        </is>
      </c>
      <c r="B77" s="5" t="n">
        <v>2175077.85</v>
      </c>
    </row>
    <row r="78">
      <c r="A78" t="inlineStr">
        <is>
          <t>СИСТЕМАТИКА УКРАЇНА</t>
        </is>
      </c>
      <c r="B78" s="5" t="n">
        <v>2154480</v>
      </c>
    </row>
    <row r="79">
      <c r="A79" t="inlineStr">
        <is>
          <t>РЕФОРМА СИСТЕМЗ (№41)</t>
        </is>
      </c>
      <c r="B79" s="5" t="n">
        <v>744540</v>
      </c>
    </row>
    <row r="86">
      <c r="A86" s="2" t="inlineStr">
        <is>
          <t>Де ми не брали участі — за галузями</t>
        </is>
      </c>
    </row>
    <row r="87">
      <c r="A87" s="3" t="inlineStr">
        <is>
          <t>Категорія</t>
        </is>
      </c>
      <c r="B87" s="3" t="inlineStr">
        <is>
          <t>Сума пропущеного, грн</t>
        </is>
      </c>
    </row>
    <row r="88">
      <c r="A88" t="inlineStr">
        <is>
          <t>Машини для обробки даних (апаратна частина)</t>
        </is>
      </c>
      <c r="B88" s="5" t="n">
        <v>109818253.83</v>
      </c>
    </row>
    <row r="89">
      <c r="A89" t="inlineStr">
        <is>
          <t>Комп’ютерне обладнання</t>
        </is>
      </c>
      <c r="B89" s="5" t="n">
        <v>45022539.42999999</v>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I1196"/>
  <sheetViews>
    <sheetView showGridLines="0" workbookViewId="0">
      <selection activeCell="A1" sqref="A1"/>
    </sheetView>
  </sheetViews>
  <sheetFormatPr baseColWidth="8" defaultRowHeight="15"/>
  <cols>
    <col width="29" customWidth="1" min="1" max="1"/>
    <col width="60" customWidth="1" min="2" max="2"/>
    <col width="28" customWidth="1" min="3" max="3"/>
    <col width="59" customWidth="1" min="4" max="4"/>
    <col width="17" customWidth="1" min="5" max="5"/>
    <col width="18" customWidth="1" min="6" max="6"/>
    <col width="10" customWidth="1" min="7" max="7"/>
    <col width="12" customWidth="1" min="8" max="8"/>
    <col width="10" customWidth="1" min="9" max="9"/>
  </cols>
  <sheetData>
    <row r="1">
      <c r="A1" s="1" t="inlineStr">
        <is>
          <t>Очищення</t>
        </is>
      </c>
    </row>
    <row r="3">
      <c r="A3" s="7" t="inlineStr">
        <is>
          <t>Попередня обробка та якість даних</t>
        </is>
      </c>
    </row>
    <row r="4">
      <c r="A4" s="6" t="inlineStr">
        <is>
          <t>Перед будь-якими підсумками дані перевіряються на те, що робить суми неправдивими: чужу валюту, нулі, дублікати, неможливі співвідношення та статистичні викиди. Викид визначається стійким z-показником (медіана й MAD) у логарифмі суми окремо по кожній галузі ДК021.</t>
        </is>
      </c>
    </row>
    <row r="6">
      <c r="A6" s="8" t="inlineStr">
        <is>
          <t>Показники</t>
        </is>
      </c>
    </row>
    <row r="7">
      <c r="A7" s="9" t="inlineStr">
        <is>
          <t>Рядків у книзі</t>
        </is>
      </c>
      <c r="B7" s="10" t="inlineStr">
        <is>
          <t>100 843</t>
        </is>
      </c>
    </row>
    <row r="8">
      <c r="A8" s="9" t="inlineStr">
        <is>
          <t>Угод знайдено</t>
        </is>
      </c>
      <c r="B8" s="10" t="inlineStr">
        <is>
          <t>1 753</t>
        </is>
      </c>
    </row>
    <row r="9">
      <c r="A9" s="9" t="inlineStr">
        <is>
          <t>Угод у розрахунках</t>
        </is>
      </c>
      <c r="B9" s="10" t="inlineStr">
        <is>
          <t>1 753</t>
        </is>
      </c>
    </row>
    <row r="10">
      <c r="A10" s="9" t="inlineStr">
        <is>
          <t>Виключено угод</t>
        </is>
      </c>
      <c r="B10" s="10" t="inlineStr">
        <is>
          <t>0 (0,0%)</t>
        </is>
      </c>
    </row>
    <row r="11">
      <c r="A11" s="9" t="inlineStr">
        <is>
          <t>Зауважень до даних</t>
        </is>
      </c>
      <c r="B11" s="10" t="inlineStr">
        <is>
          <t>85</t>
        </is>
      </c>
    </row>
    <row r="13">
      <c r="A13" s="8" t="inlineStr">
        <is>
          <t>Висновки</t>
        </is>
      </c>
    </row>
    <row r="14">
      <c r="A14" t="inlineStr">
        <is>
          <t>•  Структурний брак (не гривня, нуль, дублікат) вилучається завжди — інакше суми перестають означати гроші.</t>
        </is>
      </c>
    </row>
    <row r="15">
      <c r="A15" t="inlineStr">
        <is>
          <t>•  Сума 1 739 угод підтверджена очікуваною вартістю їхніх закупівель — статистика такі числа не перевіряє. Великий договір, який збігається з планом замовника, це не помилка даних, а велика закупівля; на цьому ринку саме в них лежить більша частина грошей.</t>
        </is>
      </c>
    </row>
    <row r="17">
      <c r="A17" s="8" t="inlineStr">
        <is>
          <t>Графіки</t>
        </is>
      </c>
    </row>
    <row r="19">
      <c r="A19" s="2" t="inlineStr">
        <is>
          <t>Зауваження до даних за типом</t>
        </is>
      </c>
    </row>
    <row r="20">
      <c r="A20" s="3" t="inlineStr">
        <is>
          <t>Категорія</t>
        </is>
      </c>
      <c r="B20" s="3" t="inlineStr">
        <is>
          <t>Випадків, шт</t>
        </is>
      </c>
    </row>
    <row r="21">
      <c r="A21" t="inlineStr">
        <is>
          <t>Нетипова ціна за одиницю</t>
        </is>
      </c>
      <c r="B21" s="5" t="n">
        <v>72</v>
      </c>
    </row>
    <row r="22">
      <c r="A22" t="inlineStr">
        <is>
          <t>Схожі закупівлі одного дня</t>
        </is>
      </c>
      <c r="B22" s="5" t="n">
        <v>10</v>
      </c>
    </row>
    <row r="23">
      <c r="A23" t="inlineStr">
        <is>
          <t>Нетипова сума для галузі</t>
        </is>
      </c>
      <c r="B23" s="5" t="n">
        <v>3</v>
      </c>
    </row>
    <row r="35">
      <c r="A35" s="2" t="inlineStr">
        <is>
          <t>Розподіл угод за сумою</t>
        </is>
      </c>
    </row>
    <row r="36">
      <c r="A36" s="6" t="inlineStr">
        <is>
          <t>Скільки угод потрапляє в кожен ціновий діапазон.</t>
        </is>
      </c>
    </row>
    <row r="37">
      <c r="A37" s="3" t="inlineStr">
        <is>
          <t>Категорія</t>
        </is>
      </c>
      <c r="B37" s="3" t="inlineStr">
        <is>
          <t>Угод, шт</t>
        </is>
      </c>
    </row>
    <row r="38">
      <c r="A38" t="inlineStr">
        <is>
          <t>до 20 тис.</t>
        </is>
      </c>
      <c r="B38" s="5" t="n">
        <v>930</v>
      </c>
    </row>
    <row r="39">
      <c r="A39" t="inlineStr">
        <is>
          <t>20–100 тис.</t>
        </is>
      </c>
      <c r="B39" s="5" t="n">
        <v>617</v>
      </c>
    </row>
    <row r="40">
      <c r="A40" t="inlineStr">
        <is>
          <t>100–500 тис.</t>
        </is>
      </c>
      <c r="B40" s="5" t="n">
        <v>178</v>
      </c>
    </row>
    <row r="41">
      <c r="A41" t="inlineStr">
        <is>
          <t>0,5–2 млн</t>
        </is>
      </c>
      <c r="B41" s="5" t="n">
        <v>25</v>
      </c>
    </row>
    <row r="42">
      <c r="A42" t="inlineStr">
        <is>
          <t>2–10 млн</t>
        </is>
      </c>
      <c r="B42" s="5" t="n">
        <v>3</v>
      </c>
    </row>
    <row r="43">
      <c r="A43" t="inlineStr">
        <is>
          <t>понад 10 млн</t>
        </is>
      </c>
      <c r="B43" s="5" t="n">
        <v>0</v>
      </c>
    </row>
    <row r="55">
      <c r="A55" s="2" t="inlineStr">
        <is>
          <t>Ціна за одиницю проти кількості</t>
        </is>
      </c>
    </row>
    <row r="56">
      <c r="A56" s="6" t="inlineStr">
        <is>
          <t>Обидві осі логарифмічні (порядок величини). Червоним — позиції, які алгоритм вважає викидами. Показано 2683 з 2683 позицій із ціною.</t>
        </is>
      </c>
    </row>
    <row r="57">
      <c r="A57" s="3" t="inlineStr">
        <is>
          <t>Кількість, порядок величини</t>
        </is>
      </c>
      <c r="B57" s="3" t="inlineStr">
        <is>
          <t>Ціна за одиницю, порядок величини</t>
        </is>
      </c>
      <c r="C57" s="3" t="inlineStr">
        <is>
          <t>Викиди</t>
        </is>
      </c>
    </row>
    <row r="58">
      <c r="A58" t="n">
        <v>2</v>
      </c>
      <c r="B58" s="5" t="n">
        <v>4.769067004889728</v>
      </c>
      <c r="C58" s="5" t="n"/>
    </row>
    <row r="59">
      <c r="A59" t="n">
        <v>0.6020599913279624</v>
      </c>
      <c r="B59" s="5" t="n">
        <v>4.412180559862628</v>
      </c>
      <c r="C59" s="5" t="n"/>
    </row>
    <row r="60">
      <c r="A60" t="n">
        <v>1</v>
      </c>
      <c r="B60" s="5" t="n">
        <v>4.497620649781288</v>
      </c>
      <c r="C60" s="5" t="n"/>
    </row>
    <row r="61">
      <c r="A61" t="n">
        <v>0</v>
      </c>
      <c r="B61" s="5" t="n">
        <v>4.619788793031951</v>
      </c>
      <c r="C61" s="5" t="n"/>
    </row>
    <row r="62">
      <c r="A62" t="n">
        <v>0.3010299956639812</v>
      </c>
      <c r="B62" s="5" t="n">
        <v>4.007178727018734</v>
      </c>
      <c r="C62" s="5" t="n"/>
    </row>
    <row r="63">
      <c r="A63" t="n">
        <v>0.6020599913279624</v>
      </c>
      <c r="B63" s="5" t="n">
        <v>3.706148304179782</v>
      </c>
      <c r="C63" s="5" t="n"/>
    </row>
    <row r="64">
      <c r="A64" t="n">
        <v>0</v>
      </c>
      <c r="B64" s="5" t="n">
        <v>3.218797998111738</v>
      </c>
      <c r="C64" s="5" t="n"/>
    </row>
    <row r="65">
      <c r="A65" t="n">
        <v>0</v>
      </c>
      <c r="B65" s="5" t="n">
        <v>3.228143607597742</v>
      </c>
      <c r="C65" s="5" t="n"/>
    </row>
    <row r="66">
      <c r="A66" t="n">
        <v>0.3010299956639812</v>
      </c>
      <c r="B66" s="5" t="n">
        <v>2.92711361193376</v>
      </c>
      <c r="C66" s="5" t="n"/>
    </row>
    <row r="67">
      <c r="A67" t="n">
        <v>0.9030899869919435</v>
      </c>
      <c r="B67" s="5" t="n">
        <v>3.175850882932166</v>
      </c>
      <c r="C67" s="5" t="n"/>
    </row>
    <row r="68">
      <c r="A68" t="n">
        <v>0</v>
      </c>
      <c r="B68" s="5" t="n">
        <v>4.221848836475244</v>
      </c>
      <c r="C68" s="5" t="n"/>
    </row>
    <row r="69">
      <c r="A69" t="n">
        <v>0.8450980400142568</v>
      </c>
      <c r="B69" s="5" t="n">
        <v>4.094421162685453</v>
      </c>
      <c r="C69" s="5" t="n"/>
    </row>
    <row r="70">
      <c r="A70" t="n">
        <v>0.3010299956639812</v>
      </c>
      <c r="B70" s="5" t="n">
        <v>4.638489256954637</v>
      </c>
      <c r="C70" s="5" t="n"/>
    </row>
    <row r="71">
      <c r="A71" t="n">
        <v>0</v>
      </c>
      <c r="B71" s="5" t="n">
        <v>4.640978057358332</v>
      </c>
      <c r="C71" s="5" t="n"/>
    </row>
    <row r="72">
      <c r="A72" t="n">
        <v>0</v>
      </c>
      <c r="B72" s="5" t="n">
        <v>5.468339944388775</v>
      </c>
      <c r="C72" s="5" t="n"/>
    </row>
    <row r="73">
      <c r="A73" t="n">
        <v>0</v>
      </c>
      <c r="B73" s="5" t="n">
        <v>3.883037647071569</v>
      </c>
      <c r="C73" s="5" t="n"/>
    </row>
    <row r="74">
      <c r="A74" t="n">
        <v>0</v>
      </c>
      <c r="B74" s="5" t="n">
        <v>3.982271233039568</v>
      </c>
      <c r="C74" s="5" t="n"/>
    </row>
    <row r="75">
      <c r="A75" t="n">
        <v>0</v>
      </c>
      <c r="B75" s="5" t="n">
        <v>3.562292864456475</v>
      </c>
      <c r="C75" s="5" t="n"/>
    </row>
    <row r="76">
      <c r="A76" t="n">
        <v>1.146128035678238</v>
      </c>
      <c r="B76" s="5" t="n">
        <v>3.113609151073028</v>
      </c>
      <c r="C76" s="5" t="n"/>
    </row>
    <row r="77">
      <c r="A77" t="n">
        <v>1.176091259055681</v>
      </c>
      <c r="B77" s="5" t="n">
        <v>2</v>
      </c>
      <c r="C77" s="5" t="n"/>
    </row>
    <row r="78">
      <c r="A78" t="n">
        <v>0</v>
      </c>
      <c r="B78" s="5" t="n">
        <v>4.892094602690481</v>
      </c>
      <c r="C78" s="5" t="n"/>
    </row>
    <row r="79">
      <c r="A79" t="n">
        <v>1.230448921378274</v>
      </c>
      <c r="B79" s="5" t="n">
        <v>4.504810553150691</v>
      </c>
      <c r="C79" s="5" t="n"/>
    </row>
    <row r="80">
      <c r="A80" t="n">
        <v>0.4771212547196624</v>
      </c>
      <c r="B80" s="5" t="n">
        <v>4.59044245234652</v>
      </c>
      <c r="C80" s="5" t="n"/>
    </row>
    <row r="81">
      <c r="A81" t="n">
        <v>0.7781512503836436</v>
      </c>
      <c r="B81" s="5" t="n">
        <v>4.017311783114492</v>
      </c>
      <c r="C81" s="5" t="n"/>
    </row>
    <row r="82">
      <c r="A82" t="n">
        <v>0</v>
      </c>
      <c r="B82" s="5" t="n">
        <v>5.694941098873008</v>
      </c>
      <c r="C82" s="5" t="n"/>
    </row>
    <row r="83">
      <c r="A83" t="n">
        <v>0.3010299956639812</v>
      </c>
      <c r="B83" s="5" t="n">
        <v>4.989979458436134</v>
      </c>
      <c r="C83" s="5" t="n"/>
    </row>
    <row r="84">
      <c r="A84" t="n">
        <v>0</v>
      </c>
      <c r="B84" s="5" t="n">
        <v>3.713210723640527</v>
      </c>
      <c r="C84" s="5" t="n"/>
    </row>
    <row r="85">
      <c r="A85" t="n">
        <v>0</v>
      </c>
      <c r="B85" s="5" t="n">
        <v>2.684162875655057</v>
      </c>
      <c r="C85" s="5" t="n"/>
    </row>
    <row r="86">
      <c r="A86" t="n">
        <v>0.3010299956639812</v>
      </c>
      <c r="B86" s="5" t="n">
        <v>4.221848836475244</v>
      </c>
      <c r="C86" s="5" t="n"/>
    </row>
    <row r="87">
      <c r="A87" t="n">
        <v>0</v>
      </c>
      <c r="B87" s="5" t="n">
        <v>3.278753600952829</v>
      </c>
      <c r="C87" s="5" t="n"/>
    </row>
    <row r="88">
      <c r="A88" t="n">
        <v>0.4771212547196624</v>
      </c>
      <c r="B88" s="5" t="n">
        <v>4.556124886264358</v>
      </c>
      <c r="C88" s="5" t="n"/>
    </row>
    <row r="89">
      <c r="A89" t="n">
        <v>1</v>
      </c>
      <c r="B89" s="5" t="n">
        <v>3.668106237932731</v>
      </c>
      <c r="C89" s="5" t="n"/>
    </row>
    <row r="90">
      <c r="A90" t="n">
        <v>0</v>
      </c>
      <c r="B90" s="5" t="n">
        <v>4.892094602690481</v>
      </c>
      <c r="C90" s="5" t="n"/>
    </row>
    <row r="91">
      <c r="A91" t="n">
        <v>0.6020599913279624</v>
      </c>
      <c r="B91" s="5" t="n">
        <v>4.156246190397344</v>
      </c>
      <c r="C91" s="5" t="n"/>
    </row>
    <row r="92">
      <c r="A92" t="n">
        <v>0.4771212547196624</v>
      </c>
      <c r="B92" s="5" t="n">
        <v>3.113609151073028</v>
      </c>
      <c r="C92" s="5" t="n"/>
    </row>
    <row r="93">
      <c r="A93" t="n">
        <v>0</v>
      </c>
      <c r="B93" s="5" t="n">
        <v>4.113943352306837</v>
      </c>
      <c r="C93" s="5" t="n"/>
    </row>
    <row r="94">
      <c r="A94" t="n">
        <v>0.4771212547196624</v>
      </c>
      <c r="B94" s="5" t="n">
        <v>4.44793286559218</v>
      </c>
      <c r="C94" s="5" t="n"/>
    </row>
    <row r="95">
      <c r="A95" t="n">
        <v>0.4771212547196624</v>
      </c>
      <c r="B95" s="5" t="n">
        <v>3.715752716822859</v>
      </c>
      <c r="C95" s="5" t="n"/>
    </row>
    <row r="96">
      <c r="A96" t="n">
        <v>0</v>
      </c>
      <c r="B96" s="5" t="n">
        <v>3.321805483857539</v>
      </c>
      <c r="C96" s="5" t="n"/>
    </row>
    <row r="97">
      <c r="A97" t="n">
        <v>0</v>
      </c>
      <c r="B97" s="5" t="n">
        <v>3.656098202012832</v>
      </c>
      <c r="C97" s="5" t="n"/>
    </row>
    <row r="98">
      <c r="A98" t="n">
        <v>0</v>
      </c>
      <c r="B98" s="5" t="n">
        <v>3.656098202012832</v>
      </c>
      <c r="C98" s="5" t="n"/>
    </row>
    <row r="99">
      <c r="A99" t="n">
        <v>0</v>
      </c>
      <c r="B99" s="5" t="n">
        <v>4.045322978786658</v>
      </c>
      <c r="C99" s="5" t="n"/>
    </row>
    <row r="100">
      <c r="A100" t="n">
        <v>0</v>
      </c>
      <c r="B100" s="5" t="n">
        <v>2.397940008672037</v>
      </c>
      <c r="C100" s="5" t="n"/>
    </row>
    <row r="101">
      <c r="A101" t="n">
        <v>0.4771212547196624</v>
      </c>
      <c r="B101" s="5" t="n">
        <v>4.418284714878135</v>
      </c>
      <c r="C101" s="5" t="n"/>
    </row>
    <row r="102">
      <c r="A102" t="n">
        <v>0.3010299956639812</v>
      </c>
      <c r="B102" s="5" t="n">
        <v>4.187990576256889</v>
      </c>
      <c r="C102" s="5" t="n"/>
    </row>
    <row r="103">
      <c r="A103" t="n">
        <v>0</v>
      </c>
      <c r="B103" s="5" t="n">
        <v>4.620656479819621</v>
      </c>
      <c r="C103" s="5" t="n"/>
    </row>
    <row r="104">
      <c r="A104" t="n">
        <v>0</v>
      </c>
      <c r="B104" s="5" t="n">
        <v>4.332438459915605</v>
      </c>
      <c r="C104" s="5" t="n"/>
    </row>
    <row r="105">
      <c r="A105" t="n">
        <v>0</v>
      </c>
      <c r="B105" s="5" t="n">
        <v>4.045322978786658</v>
      </c>
      <c r="C105" s="5" t="n"/>
    </row>
    <row r="106">
      <c r="A106" t="n">
        <v>1.301029995663981</v>
      </c>
      <c r="B106" s="5" t="n">
        <v>2.537504274847887</v>
      </c>
      <c r="C106" s="5" t="n"/>
    </row>
    <row r="107">
      <c r="A107" t="n">
        <v>1.643452676486187</v>
      </c>
      <c r="B107" s="5" t="n">
        <v>4.599088721997929</v>
      </c>
      <c r="C107" s="5" t="n"/>
    </row>
    <row r="108">
      <c r="A108" t="n">
        <v>0.3010299956639812</v>
      </c>
      <c r="B108" s="5" t="n">
        <v>4.547417772917427</v>
      </c>
      <c r="C108" s="5" t="n"/>
    </row>
    <row r="109">
      <c r="A109" t="n">
        <v>0.4771212547196624</v>
      </c>
      <c r="B109" s="5" t="n">
        <v>4.371326513861746</v>
      </c>
      <c r="C109" s="5" t="n"/>
    </row>
    <row r="110">
      <c r="A110" t="n">
        <v>0</v>
      </c>
      <c r="B110" s="5" t="n">
        <v>4.657738994287998</v>
      </c>
      <c r="C110" s="5" t="n"/>
    </row>
    <row r="111">
      <c r="A111" t="n">
        <v>0.6989700043360189</v>
      </c>
      <c r="B111" s="5" t="n">
        <v>2.871572935545879</v>
      </c>
      <c r="C111" s="5" t="n"/>
    </row>
    <row r="112">
      <c r="A112" t="n">
        <v>0.8450980400142568</v>
      </c>
      <c r="B112" s="5" t="n">
        <v>4.318758693137291</v>
      </c>
      <c r="C112" s="5" t="n"/>
    </row>
    <row r="113">
      <c r="A113" t="n">
        <v>0.4771212547196624</v>
      </c>
      <c r="B113" s="5" t="n">
        <v>3.133219456732494</v>
      </c>
      <c r="C113" s="5" t="n"/>
    </row>
    <row r="114">
      <c r="A114" t="n">
        <v>0.3010299956639812</v>
      </c>
      <c r="B114" s="5" t="n">
        <v>4.698970004336019</v>
      </c>
      <c r="C114" s="5" t="n"/>
    </row>
    <row r="115">
      <c r="A115" t="n">
        <v>0.8450980400142568</v>
      </c>
      <c r="B115" s="5" t="n">
        <v>3.409933123331295</v>
      </c>
      <c r="C115" s="5" t="n"/>
    </row>
    <row r="116">
      <c r="A116" t="n">
        <v>0.3010299956639812</v>
      </c>
      <c r="B116" s="5" t="n">
        <v>4.538448051710217</v>
      </c>
      <c r="C116" s="5" t="n"/>
    </row>
    <row r="117">
      <c r="A117" t="n">
        <v>0.3010299956639812</v>
      </c>
      <c r="B117" s="5" t="n">
        <v>2.287801729930226</v>
      </c>
      <c r="C117" s="5" t="n"/>
    </row>
    <row r="118">
      <c r="A118" t="n">
        <v>0.4771212547196624</v>
      </c>
      <c r="B118" s="5" t="n">
        <v>2.54282542695918</v>
      </c>
      <c r="C118" s="5" t="n"/>
    </row>
    <row r="119">
      <c r="A119" t="n">
        <v>0.3010299956639812</v>
      </c>
      <c r="B119" s="5" t="n">
        <v>3.185791384791356</v>
      </c>
      <c r="C119" s="5" t="n"/>
    </row>
    <row r="120">
      <c r="A120" t="n">
        <v>0.6989700043360189</v>
      </c>
      <c r="B120" s="5" t="n">
        <v>2.787849960444071</v>
      </c>
      <c r="C120" s="5" t="n"/>
    </row>
    <row r="121">
      <c r="A121" t="n">
        <v>0</v>
      </c>
      <c r="B121" s="5" t="n">
        <v>4.176091259055681</v>
      </c>
      <c r="C121" s="5" t="n"/>
    </row>
    <row r="122">
      <c r="A122" t="n">
        <v>0.9030899869919435</v>
      </c>
      <c r="B122" s="5" t="n">
        <v>3.76684618167906</v>
      </c>
      <c r="C122" s="5" t="n"/>
    </row>
    <row r="123">
      <c r="A123" t="n">
        <v>0</v>
      </c>
      <c r="B123" s="5" t="n">
        <v>4.32221929473392</v>
      </c>
      <c r="C123" s="5" t="n"/>
    </row>
    <row r="124">
      <c r="A124" t="n">
        <v>0.6020599913279624</v>
      </c>
      <c r="B124" s="5" t="n">
        <v>3.661181127595972</v>
      </c>
      <c r="C124" s="5" t="n"/>
    </row>
    <row r="125">
      <c r="A125" t="n">
        <v>0.7781512503836436</v>
      </c>
      <c r="B125" s="5" t="n">
        <v>3.485090816091543</v>
      </c>
      <c r="C125" s="5" t="n"/>
    </row>
    <row r="126">
      <c r="A126" t="n">
        <v>0</v>
      </c>
      <c r="B126" s="5" t="n">
        <v>4.322198613551892</v>
      </c>
      <c r="C126" s="5" t="n"/>
    </row>
    <row r="127">
      <c r="A127" t="n">
        <v>0</v>
      </c>
      <c r="B127" s="5" t="n">
        <v>4.514534471280389</v>
      </c>
      <c r="C127" s="5" t="n"/>
    </row>
    <row r="128">
      <c r="A128" t="n">
        <v>0</v>
      </c>
      <c r="B128" s="5" t="n">
        <v>4.428069969119063</v>
      </c>
      <c r="C128" s="5" t="n"/>
    </row>
    <row r="129">
      <c r="A129" t="n">
        <v>1.079181246047625</v>
      </c>
      <c r="B129" s="5" t="n">
        <v>4.608050402611063</v>
      </c>
      <c r="C129" s="5" t="n"/>
    </row>
    <row r="130">
      <c r="A130" t="n">
        <v>0.6020599913279624</v>
      </c>
      <c r="B130" s="5" t="n">
        <v>3.273001272063738</v>
      </c>
      <c r="C130" s="5" t="n"/>
    </row>
    <row r="131">
      <c r="A131" t="n">
        <v>1.041392685158225</v>
      </c>
      <c r="B131" s="5" t="n">
        <v>4.574031267727719</v>
      </c>
      <c r="C131" s="5" t="n"/>
    </row>
    <row r="132">
      <c r="A132" t="n">
        <v>0</v>
      </c>
      <c r="B132" s="5" t="n">
        <v>4.825101411598003</v>
      </c>
      <c r="C132" s="5" t="n"/>
    </row>
    <row r="133">
      <c r="A133" t="n">
        <v>0</v>
      </c>
      <c r="B133" s="5" t="n">
        <v>3.088136088700551</v>
      </c>
      <c r="C133" s="5" t="n"/>
    </row>
    <row r="134">
      <c r="A134" t="n">
        <v>0</v>
      </c>
      <c r="B134" s="5" t="n">
        <v>3.078819183098849</v>
      </c>
      <c r="C134" s="5" t="n"/>
    </row>
    <row r="135">
      <c r="A135" t="n">
        <v>0</v>
      </c>
      <c r="B135" s="5" t="n">
        <v>2.465010864717408</v>
      </c>
      <c r="C135" s="5" t="n"/>
    </row>
    <row r="136">
      <c r="A136" t="n">
        <v>0.3010299956639812</v>
      </c>
      <c r="B136" s="5" t="n">
        <v>4.035990556446887</v>
      </c>
      <c r="C136" s="5" t="n"/>
    </row>
    <row r="137">
      <c r="A137" t="n">
        <v>0</v>
      </c>
      <c r="B137" s="5" t="n">
        <v>4.342422680822207</v>
      </c>
      <c r="C137" s="5" t="n"/>
    </row>
    <row r="138">
      <c r="A138" t="n">
        <v>0</v>
      </c>
      <c r="B138" s="5" t="n">
        <v>2.465010864717408</v>
      </c>
      <c r="C138" s="5" t="n"/>
    </row>
    <row r="139">
      <c r="A139" t="n">
        <v>0.6020599913279624</v>
      </c>
      <c r="B139" s="5" t="n">
        <v>2.922984815708883</v>
      </c>
      <c r="C139" s="5" t="n"/>
    </row>
    <row r="140">
      <c r="A140" t="n">
        <v>0.6020599913279624</v>
      </c>
      <c r="B140" s="5" t="n">
        <v>3.994123503046414</v>
      </c>
      <c r="C140" s="5" t="n"/>
    </row>
    <row r="141">
      <c r="A141" t="n">
        <v>0.3010299956639812</v>
      </c>
      <c r="B141" s="5" t="n">
        <v>5.214498579131499</v>
      </c>
      <c r="C141" s="5" t="n"/>
    </row>
    <row r="142">
      <c r="A142" t="n">
        <v>0.4771212547196624</v>
      </c>
      <c r="B142" s="5" t="n">
        <v>3.066948030470217</v>
      </c>
      <c r="C142" s="5" t="n"/>
    </row>
    <row r="143">
      <c r="A143" t="n">
        <v>0.3010299956639812</v>
      </c>
      <c r="B143" s="5" t="n">
        <v>3.440121603187804</v>
      </c>
      <c r="C143" s="5" t="n"/>
    </row>
    <row r="144">
      <c r="A144" t="n">
        <v>0</v>
      </c>
      <c r="B144" s="5" t="n">
        <v>2.518513939877888</v>
      </c>
      <c r="C144" s="5" t="n"/>
    </row>
    <row r="145">
      <c r="A145" t="n">
        <v>0</v>
      </c>
      <c r="B145" s="5" t="n">
        <v>5.506617758456739</v>
      </c>
      <c r="C145" s="5" t="n"/>
    </row>
    <row r="146">
      <c r="A146" t="n">
        <v>0</v>
      </c>
      <c r="B146" s="5" t="n">
        <v>5.506617758456739</v>
      </c>
      <c r="C146" s="5" t="n"/>
    </row>
    <row r="147">
      <c r="A147" t="n">
        <v>0</v>
      </c>
      <c r="B147" s="5" t="n">
        <v>3.916234376933569</v>
      </c>
      <c r="C147" s="5" t="n"/>
    </row>
    <row r="148">
      <c r="A148" t="n">
        <v>0.3010299956639812</v>
      </c>
      <c r="B148" s="5" t="n">
        <v>4.619788793031951</v>
      </c>
      <c r="C148" s="5" t="n"/>
    </row>
    <row r="149">
      <c r="A149" t="n">
        <v>0</v>
      </c>
      <c r="B149" s="5" t="n">
        <v>4.945468585131819</v>
      </c>
      <c r="C149" s="5" t="n"/>
    </row>
    <row r="150">
      <c r="A150" t="n">
        <v>0.3010299956639812</v>
      </c>
      <c r="B150" s="5" t="n">
        <v>3.121231455149621</v>
      </c>
      <c r="C150" s="5" t="n"/>
    </row>
    <row r="151">
      <c r="A151" t="n">
        <v>0</v>
      </c>
      <c r="B151" s="5" t="n">
        <v>3.422261450813603</v>
      </c>
      <c r="C151" s="5" t="n"/>
    </row>
    <row r="152">
      <c r="A152" t="n">
        <v>0.3010299956639812</v>
      </c>
      <c r="B152" s="5" t="n">
        <v>3.37383114507383</v>
      </c>
      <c r="C152" s="5" t="n"/>
    </row>
    <row r="153">
      <c r="A153" t="n">
        <v>0.4771212547196624</v>
      </c>
      <c r="B153" s="5" t="n">
        <v>3.197740804187331</v>
      </c>
      <c r="C153" s="5" t="n"/>
    </row>
    <row r="154">
      <c r="A154" t="n">
        <v>0</v>
      </c>
      <c r="B154" s="5" t="n">
        <v>3.674861140737812</v>
      </c>
      <c r="C154" s="5" t="n"/>
    </row>
    <row r="155">
      <c r="A155" t="n">
        <v>0</v>
      </c>
      <c r="B155" s="5" t="n">
        <v>4.548126550505739</v>
      </c>
      <c r="C155" s="5" t="n"/>
    </row>
    <row r="156">
      <c r="A156" t="n">
        <v>0.3010299956639812</v>
      </c>
      <c r="B156" s="5" t="n">
        <v>4.615423952885944</v>
      </c>
      <c r="C156" s="5" t="n"/>
    </row>
    <row r="157">
      <c r="A157" t="n">
        <v>1.301029995663981</v>
      </c>
      <c r="B157" s="5" t="n">
        <v>3.522878310985639</v>
      </c>
      <c r="C157" s="5" t="n"/>
    </row>
    <row r="158">
      <c r="A158" t="n">
        <v>0.6989700043360189</v>
      </c>
      <c r="B158" s="5" t="n">
        <v>4.16345955176999</v>
      </c>
      <c r="C158" s="5" t="n"/>
    </row>
    <row r="159">
      <c r="A159" t="n">
        <v>0</v>
      </c>
      <c r="B159" s="5" t="n">
        <v>4.544005997849434</v>
      </c>
      <c r="C159" s="5" t="n"/>
    </row>
    <row r="160">
      <c r="A160" t="n">
        <v>0</v>
      </c>
      <c r="B160" s="5" t="n">
        <v>4.329499575762843</v>
      </c>
      <c r="C160" s="5" t="n"/>
    </row>
    <row r="161">
      <c r="A161" t="n">
        <v>0.3010299956639812</v>
      </c>
      <c r="B161" s="5" t="n">
        <v>2.295567099962479</v>
      </c>
      <c r="C161" s="5" t="n"/>
    </row>
    <row r="162">
      <c r="A162" t="n">
        <v>0.6020599913279624</v>
      </c>
      <c r="B162" s="5" t="n">
        <v>3.920818580234548</v>
      </c>
      <c r="C162" s="5" t="n"/>
    </row>
    <row r="163">
      <c r="A163" t="n">
        <v>0.3010299956639812</v>
      </c>
      <c r="B163" s="5" t="n">
        <v>4.655637778453245</v>
      </c>
      <c r="C163" s="5" t="n"/>
    </row>
    <row r="164">
      <c r="A164" t="n">
        <v>1.397940008672038</v>
      </c>
      <c r="B164" s="5" t="n">
        <v>4.043047742804119</v>
      </c>
      <c r="C164" s="5" t="n"/>
    </row>
    <row r="165">
      <c r="A165" t="n">
        <v>0.4771212547196624</v>
      </c>
      <c r="B165" s="5" t="n">
        <v>3.525217194210291</v>
      </c>
      <c r="C165" s="5" t="n"/>
    </row>
    <row r="166">
      <c r="A166" t="n">
        <v>0.4771212547196624</v>
      </c>
      <c r="B166" s="5" t="n">
        <v>3.525217194210291</v>
      </c>
      <c r="C166" s="5" t="n"/>
    </row>
    <row r="167">
      <c r="A167" t="n">
        <v>0</v>
      </c>
      <c r="B167" s="5" t="n">
        <v>4.002338880892056</v>
      </c>
      <c r="C167" s="5" t="n"/>
    </row>
    <row r="168">
      <c r="A168" t="n">
        <v>0</v>
      </c>
      <c r="B168" s="5" t="n">
        <v>4.002338880892056</v>
      </c>
      <c r="C168" s="5" t="n"/>
    </row>
    <row r="169">
      <c r="A169" t="n">
        <v>0</v>
      </c>
      <c r="B169" s="5" t="n">
        <v>4.002338880892056</v>
      </c>
      <c r="C169" s="5" t="n"/>
    </row>
    <row r="170">
      <c r="A170" t="n">
        <v>0</v>
      </c>
      <c r="B170" s="5" t="n">
        <v>4.002338880892056</v>
      </c>
      <c r="C170" s="5" t="n"/>
    </row>
    <row r="171">
      <c r="A171" t="n">
        <v>0.6989700043360189</v>
      </c>
      <c r="B171" s="5" t="n">
        <v>3.303368876556038</v>
      </c>
      <c r="C171" s="5" t="n"/>
    </row>
    <row r="172">
      <c r="A172" t="n">
        <v>0</v>
      </c>
      <c r="B172" s="5" t="n">
        <v>4.002338880892056</v>
      </c>
      <c r="C172" s="5" t="n"/>
    </row>
    <row r="173">
      <c r="A173" t="n">
        <v>0.7781512503836436</v>
      </c>
      <c r="B173" s="5" t="n">
        <v>3.980185236947335</v>
      </c>
      <c r="C173" s="5" t="n"/>
    </row>
    <row r="174">
      <c r="A174" t="n">
        <v>0.3010299956639812</v>
      </c>
      <c r="B174" s="5" t="n">
        <v>4.464886847936303</v>
      </c>
      <c r="C174" s="5" t="n"/>
    </row>
    <row r="175">
      <c r="A175" t="n">
        <v>0</v>
      </c>
      <c r="B175" s="5" t="n">
        <v>3.885191540606848</v>
      </c>
      <c r="C175" s="5" t="n"/>
    </row>
    <row r="176">
      <c r="A176" t="n">
        <v>0</v>
      </c>
      <c r="B176" s="5" t="n">
        <v>4.667452952889954</v>
      </c>
      <c r="C176" s="5" t="n"/>
    </row>
    <row r="177">
      <c r="A177" t="n">
        <v>0</v>
      </c>
      <c r="B177" s="5" t="n">
        <v>2.698970004336019</v>
      </c>
      <c r="C177" s="5" t="n"/>
    </row>
    <row r="178">
      <c r="A178" t="n">
        <v>0.3010299956639812</v>
      </c>
      <c r="B178" s="5" t="n">
        <v>3.337658891026142</v>
      </c>
      <c r="C178" s="5" t="n"/>
    </row>
    <row r="179">
      <c r="A179" t="n">
        <v>0.6020599913279624</v>
      </c>
      <c r="B179" s="5" t="n">
        <v>5.063364625527467</v>
      </c>
      <c r="C179" s="5" t="n"/>
    </row>
    <row r="180">
      <c r="A180" t="n">
        <v>0</v>
      </c>
      <c r="B180" s="5" t="n">
        <v>3.307282047033346</v>
      </c>
      <c r="C180" s="5" t="n"/>
    </row>
    <row r="181">
      <c r="A181" t="n">
        <v>0</v>
      </c>
      <c r="B181" s="5" t="n">
        <v>4.520168997523782</v>
      </c>
      <c r="C181" s="5" t="n"/>
    </row>
    <row r="182">
      <c r="A182" t="n">
        <v>1.176091259055681</v>
      </c>
      <c r="B182" s="5" t="n">
        <v>2.36157675079015</v>
      </c>
      <c r="C182" s="5" t="n"/>
    </row>
    <row r="183">
      <c r="A183" t="n">
        <v>0.6989700043360189</v>
      </c>
      <c r="B183" s="5" t="n">
        <v>4.197445972137104</v>
      </c>
      <c r="C183" s="5" t="n"/>
    </row>
    <row r="184">
      <c r="A184" t="n">
        <v>0.7781512503836436</v>
      </c>
      <c r="B184" s="5" t="n">
        <v>4.703506322187342</v>
      </c>
      <c r="C184" s="5" t="n"/>
    </row>
    <row r="185">
      <c r="A185" t="n">
        <v>0</v>
      </c>
      <c r="B185" s="5" t="n">
        <v>4.555541819633662</v>
      </c>
      <c r="C185" s="5" t="n"/>
    </row>
    <row r="186">
      <c r="A186" t="n">
        <v>0.3010299956639812</v>
      </c>
      <c r="B186" s="5" t="n">
        <v>4.470336975193799</v>
      </c>
      <c r="C186" s="5" t="n"/>
    </row>
    <row r="187">
      <c r="A187" t="n">
        <v>0</v>
      </c>
      <c r="B187" s="5" t="n">
        <v>4.77136697085778</v>
      </c>
      <c r="C187" s="5" t="n"/>
    </row>
    <row r="188">
      <c r="A188" t="n">
        <v>0</v>
      </c>
      <c r="B188" s="5" t="n">
        <v>4.072984744627931</v>
      </c>
      <c r="C188" s="5" t="n"/>
    </row>
    <row r="189">
      <c r="A189" t="n">
        <v>0.3010299956639812</v>
      </c>
      <c r="B189" s="5" t="n">
        <v>4.387532194634351</v>
      </c>
      <c r="C189" s="5" t="n"/>
    </row>
    <row r="190">
      <c r="A190" t="n">
        <v>0</v>
      </c>
      <c r="B190" s="5" t="n">
        <v>3.389166084364533</v>
      </c>
      <c r="C190" s="5" t="n"/>
    </row>
    <row r="191">
      <c r="A191" t="n">
        <v>0.4771212547196624</v>
      </c>
      <c r="B191" s="5" t="n">
        <v>4.589019729928576</v>
      </c>
      <c r="C191" s="5" t="n"/>
    </row>
    <row r="192">
      <c r="A192" t="n">
        <v>0</v>
      </c>
      <c r="B192" s="5" t="n">
        <v>2.69810054562339</v>
      </c>
      <c r="C192" s="5" t="n"/>
    </row>
    <row r="193">
      <c r="A193" t="n">
        <v>2.869231719730976</v>
      </c>
      <c r="B193" s="5" t="n">
        <v>2.130333768495006</v>
      </c>
      <c r="C193" s="5" t="n"/>
    </row>
    <row r="194">
      <c r="A194" t="n">
        <v>0.3010299956639812</v>
      </c>
      <c r="B194" s="5" t="n">
        <v>4.264050048516414</v>
      </c>
      <c r="C194" s="5" t="n"/>
    </row>
    <row r="195">
      <c r="A195" t="n">
        <v>0.3010299956639812</v>
      </c>
      <c r="B195" s="5" t="n">
        <v>3.088136088700551</v>
      </c>
      <c r="C195" s="5" t="n"/>
    </row>
    <row r="196">
      <c r="A196" t="n">
        <v>0</v>
      </c>
      <c r="B196" s="5" t="n">
        <v>3.698970004336019</v>
      </c>
      <c r="C196" s="5" t="n"/>
    </row>
    <row r="197">
      <c r="A197" t="n">
        <v>0.4771212547196624</v>
      </c>
      <c r="B197" s="5" t="n">
        <v>3.088136088700551</v>
      </c>
      <c r="C197" s="5" t="n"/>
    </row>
    <row r="198">
      <c r="A198" t="n">
        <v>0</v>
      </c>
      <c r="B198" s="5" t="n">
        <v>2.110589710299249</v>
      </c>
      <c r="C198" s="5" t="n"/>
    </row>
    <row r="199">
      <c r="A199" t="n">
        <v>0</v>
      </c>
      <c r="B199" s="5" t="n">
        <v>4.696644482935847</v>
      </c>
      <c r="C199" s="5" t="n"/>
    </row>
    <row r="200">
      <c r="A200" t="n">
        <v>0</v>
      </c>
      <c r="B200" s="5" t="n">
        <v>4.790977863556787</v>
      </c>
      <c r="C200" s="5" t="n"/>
    </row>
    <row r="201">
      <c r="A201" t="n">
        <v>0</v>
      </c>
      <c r="B201" s="5" t="n">
        <v>4.790977863556787</v>
      </c>
      <c r="C201" s="5" t="n"/>
    </row>
    <row r="202">
      <c r="A202" t="n">
        <v>0</v>
      </c>
      <c r="B202" s="5" t="n">
        <v>4.790977863556787</v>
      </c>
      <c r="C202" s="5" t="n"/>
    </row>
    <row r="203">
      <c r="A203" t="n">
        <v>0.3010299956639812</v>
      </c>
      <c r="B203" s="5" t="n">
        <v>4.619788793031951</v>
      </c>
      <c r="C203" s="5" t="n"/>
    </row>
    <row r="204">
      <c r="A204" t="n">
        <v>0</v>
      </c>
      <c r="B204" s="5" t="n">
        <v>2.589949601325708</v>
      </c>
      <c r="C204" s="5" t="n"/>
    </row>
    <row r="205">
      <c r="A205" t="n">
        <v>0.6020599913279624</v>
      </c>
      <c r="B205" s="5" t="n">
        <v>2.746634198937579</v>
      </c>
      <c r="C205" s="5" t="n"/>
    </row>
    <row r="206">
      <c r="A206" t="n">
        <v>0.4771212547196624</v>
      </c>
      <c r="B206" s="5" t="n">
        <v>3.730565881762409</v>
      </c>
      <c r="C206" s="5" t="n"/>
    </row>
    <row r="207">
      <c r="A207" t="n">
        <v>0.4771212547196624</v>
      </c>
      <c r="B207" s="5" t="n">
        <v>4.385413210922582</v>
      </c>
      <c r="C207" s="5" t="n"/>
    </row>
    <row r="208">
      <c r="A208" t="n">
        <v>0</v>
      </c>
      <c r="B208" s="5" t="n">
        <v>2.936513742478893</v>
      </c>
      <c r="C208" s="5" t="n"/>
    </row>
    <row r="209">
      <c r="A209" t="n">
        <v>0</v>
      </c>
      <c r="B209" s="5" t="n">
        <v>2.936513742478893</v>
      </c>
      <c r="C209" s="5" t="n"/>
    </row>
    <row r="210">
      <c r="A210" t="n">
        <v>0</v>
      </c>
      <c r="B210" s="5" t="n">
        <v>2.469822015978163</v>
      </c>
      <c r="C210" s="5" t="n"/>
    </row>
    <row r="211">
      <c r="A211" t="n">
        <v>0.6989700043360189</v>
      </c>
      <c r="B211" s="5" t="n">
        <v>3.096910013008056</v>
      </c>
      <c r="C211" s="5" t="n"/>
    </row>
    <row r="212">
      <c r="A212" t="n">
        <v>0</v>
      </c>
      <c r="B212" s="5" t="n">
        <v>3.658964842664435</v>
      </c>
      <c r="C212" s="5" t="n"/>
    </row>
    <row r="213">
      <c r="A213" t="n">
        <v>0</v>
      </c>
      <c r="B213" s="5" t="n">
        <v>4.125448733060263</v>
      </c>
      <c r="C213" s="5" t="n"/>
    </row>
    <row r="214">
      <c r="A214" t="n">
        <v>0</v>
      </c>
      <c r="B214" s="5" t="n">
        <v>4.518500779239638</v>
      </c>
      <c r="C214" s="5" t="n"/>
    </row>
    <row r="215">
      <c r="A215" t="n">
        <v>0</v>
      </c>
      <c r="B215" s="5" t="n">
        <v>3.401024678988291</v>
      </c>
      <c r="C215" s="5" t="n"/>
    </row>
    <row r="216">
      <c r="A216" t="n">
        <v>0</v>
      </c>
      <c r="B216" s="5" t="n">
        <v>4.397070549959409</v>
      </c>
      <c r="C216" s="5" t="n"/>
    </row>
    <row r="217">
      <c r="A217" t="n">
        <v>0</v>
      </c>
      <c r="B217" s="5" t="n">
        <v>4.64295887940979</v>
      </c>
      <c r="C217" s="5" t="n"/>
    </row>
    <row r="218">
      <c r="A218" t="n">
        <v>0</v>
      </c>
      <c r="B218" s="5" t="n">
        <v>4.64295887940979</v>
      </c>
      <c r="C218" s="5" t="n"/>
    </row>
    <row r="219">
      <c r="A219" t="n">
        <v>0</v>
      </c>
      <c r="B219" s="5" t="n">
        <v>4.615387312678625</v>
      </c>
      <c r="C219" s="5" t="n"/>
    </row>
    <row r="220">
      <c r="A220" t="n">
        <v>0.6989700043360189</v>
      </c>
      <c r="B220" s="5" t="n">
        <v>4.544068044350276</v>
      </c>
      <c r="C220" s="5" t="n"/>
    </row>
    <row r="221">
      <c r="A221" t="n">
        <v>0</v>
      </c>
      <c r="B221" s="5" t="n">
        <v>5.795880017344075</v>
      </c>
      <c r="C221" s="5" t="n"/>
    </row>
    <row r="222">
      <c r="A222" t="n">
        <v>1</v>
      </c>
      <c r="B222" s="5" t="n">
        <v>3.414371600459086</v>
      </c>
      <c r="C222" s="5" t="n"/>
    </row>
    <row r="223">
      <c r="A223" t="n">
        <v>0</v>
      </c>
      <c r="B223" s="5" t="n">
        <v>3.814913181275074</v>
      </c>
      <c r="C223" s="5" t="n"/>
    </row>
    <row r="224">
      <c r="A224" t="n">
        <v>1.079181246047625</v>
      </c>
      <c r="B224" s="5" t="n">
        <v>4.527200162062432</v>
      </c>
      <c r="C224" s="5" t="n"/>
    </row>
    <row r="225">
      <c r="A225" t="n">
        <v>0</v>
      </c>
      <c r="B225" s="5" t="n">
        <v>4.565257343420214</v>
      </c>
      <c r="C225" s="5" t="n"/>
    </row>
    <row r="226">
      <c r="A226" t="n">
        <v>0</v>
      </c>
      <c r="B226" s="5" t="n">
        <v>4.522878701850887</v>
      </c>
      <c r="C226" s="5" t="n"/>
    </row>
    <row r="227">
      <c r="A227" t="n">
        <v>0</v>
      </c>
      <c r="B227" s="5" t="n">
        <v>4.273001272063738</v>
      </c>
      <c r="C227" s="5" t="n"/>
    </row>
    <row r="228">
      <c r="A228" t="n">
        <v>0.6989700043360189</v>
      </c>
      <c r="B228" s="5" t="n">
        <v>5.066946802039027</v>
      </c>
      <c r="C228" s="5" t="n"/>
    </row>
    <row r="229">
      <c r="A229" t="n">
        <v>0</v>
      </c>
      <c r="B229" s="5" t="n">
        <v>4.397940008672037</v>
      </c>
      <c r="C229" s="5" t="n"/>
    </row>
    <row r="230">
      <c r="A230" t="n">
        <v>0.3010299956639812</v>
      </c>
      <c r="B230" s="5" t="n">
        <v>4.339252634032699</v>
      </c>
      <c r="C230" s="5" t="n"/>
    </row>
    <row r="231">
      <c r="A231" t="n">
        <v>0.6020599913279624</v>
      </c>
      <c r="B231" s="5" t="n">
        <v>3.920818580234548</v>
      </c>
      <c r="C231" s="5" t="n"/>
    </row>
    <row r="232">
      <c r="A232" t="n">
        <v>0.6989700043360189</v>
      </c>
      <c r="B232" s="5" t="n">
        <v>4.544068044350276</v>
      </c>
      <c r="C232" s="5" t="n"/>
    </row>
    <row r="233">
      <c r="A233" t="n">
        <v>0</v>
      </c>
      <c r="B233" s="5" t="n">
        <v>4.376576957056512</v>
      </c>
      <c r="C233" s="5" t="n"/>
    </row>
    <row r="234">
      <c r="A234" t="n">
        <v>0</v>
      </c>
      <c r="B234" s="5" t="n">
        <v>3.982271233039568</v>
      </c>
      <c r="C234" s="5" t="n"/>
    </row>
    <row r="235">
      <c r="A235" t="n">
        <v>0.3010299956639812</v>
      </c>
      <c r="B235" s="5" t="n">
        <v>4.697229342759718</v>
      </c>
      <c r="C235" s="5" t="n"/>
    </row>
    <row r="236">
      <c r="A236" t="n">
        <v>0.9542425094393249</v>
      </c>
      <c r="B236" s="5" t="n">
        <v>3.553640336231354</v>
      </c>
      <c r="C236" s="5" t="n"/>
    </row>
    <row r="237">
      <c r="A237" t="n">
        <v>0</v>
      </c>
      <c r="B237" s="5" t="n">
        <v>3.088136088700551</v>
      </c>
      <c r="C237" s="5" t="n"/>
    </row>
    <row r="238">
      <c r="A238" t="n">
        <v>0</v>
      </c>
      <c r="B238" s="5" t="n">
        <v>4.049218022670182</v>
      </c>
      <c r="C238" s="5" t="n"/>
    </row>
    <row r="239">
      <c r="A239" t="n">
        <v>0</v>
      </c>
      <c r="B239" s="5" t="n">
        <v>4.425968786559088</v>
      </c>
      <c r="C239" s="5" t="n"/>
    </row>
    <row r="240">
      <c r="A240" t="n">
        <v>0.3010299956639812</v>
      </c>
      <c r="B240" s="5" t="n">
        <v>2.577491799837226</v>
      </c>
      <c r="C240" s="5" t="n"/>
    </row>
    <row r="241">
      <c r="A241" t="n">
        <v>0</v>
      </c>
      <c r="B241" s="5" t="n">
        <v>3.133538908370217</v>
      </c>
      <c r="C241" s="5" t="n"/>
    </row>
    <row r="242">
      <c r="A242" t="n">
        <v>0</v>
      </c>
      <c r="B242" s="5" t="n">
        <v>3.653212513775344</v>
      </c>
      <c r="C242" s="5" t="n"/>
    </row>
    <row r="243">
      <c r="A243" t="n">
        <v>2.477121254719663</v>
      </c>
      <c r="B243" s="5" t="n">
        <v>0.9740509027928773</v>
      </c>
      <c r="C243" s="5" t="n"/>
    </row>
    <row r="244">
      <c r="A244" t="n">
        <v>0.3010299956639812</v>
      </c>
      <c r="B244" s="5" t="n">
        <v>4.131490345694949</v>
      </c>
      <c r="C244" s="5" t="n"/>
    </row>
    <row r="245">
      <c r="A245" t="n">
        <v>0.4771212547196624</v>
      </c>
      <c r="B245" s="5" t="n">
        <v>4.520701869673747</v>
      </c>
      <c r="C245" s="5" t="n"/>
    </row>
    <row r="246">
      <c r="A246" t="n">
        <v>0.6989700043360189</v>
      </c>
      <c r="B246" s="5" t="n">
        <v>4.480840218542777</v>
      </c>
      <c r="C246" s="5" t="n"/>
    </row>
    <row r="247">
      <c r="A247" t="n">
        <v>0.3010299956639812</v>
      </c>
      <c r="B247" s="5" t="n">
        <v>2.653212513775344</v>
      </c>
      <c r="C247" s="5" t="n"/>
    </row>
    <row r="248">
      <c r="A248" t="n">
        <v>1.477121254719662</v>
      </c>
      <c r="B248" s="5" t="n">
        <v>4.204119982655925</v>
      </c>
      <c r="C248" s="5" t="n"/>
    </row>
    <row r="249">
      <c r="A249" t="n">
        <v>0</v>
      </c>
      <c r="B249" s="5" t="n">
        <v>4.477121254719663</v>
      </c>
      <c r="C249" s="5" t="n"/>
    </row>
    <row r="250">
      <c r="A250" t="n">
        <v>1.301029995663981</v>
      </c>
      <c r="B250" s="5" t="n">
        <v>4.266088162879393</v>
      </c>
      <c r="C250" s="5" t="n"/>
    </row>
    <row r="251">
      <c r="A251" t="n">
        <v>0</v>
      </c>
      <c r="B251" s="5" t="n">
        <v>4.414956978101066</v>
      </c>
      <c r="C251" s="5" t="n"/>
    </row>
    <row r="252">
      <c r="A252" t="n">
        <v>0.4771212547196624</v>
      </c>
      <c r="B252" s="5" t="n">
        <v>4.740362689494244</v>
      </c>
      <c r="C252" s="5" t="n"/>
    </row>
    <row r="253">
      <c r="A253" t="n">
        <v>0.6020599913279624</v>
      </c>
      <c r="B253" s="5" t="n">
        <v>3.977723605288848</v>
      </c>
      <c r="C253" s="5" t="n"/>
    </row>
    <row r="254">
      <c r="A254" t="n">
        <v>0</v>
      </c>
      <c r="B254" s="5" t="n">
        <v>4.380211241711606</v>
      </c>
      <c r="C254" s="5" t="n"/>
    </row>
    <row r="255">
      <c r="A255" t="n">
        <v>0.3010299956639812</v>
      </c>
      <c r="B255" s="5" t="n">
        <v>4.519827993775719</v>
      </c>
      <c r="C255" s="5" t="n"/>
    </row>
    <row r="256">
      <c r="A256" t="n">
        <v>0.3010299956639812</v>
      </c>
      <c r="B256" s="5" t="n">
        <v>3.895560658453325</v>
      </c>
      <c r="C256" s="5" t="n"/>
    </row>
    <row r="257">
      <c r="A257" t="n">
        <v>1.176091259055681</v>
      </c>
      <c r="B257" s="5" t="n">
        <v>4.552655807521158</v>
      </c>
      <c r="C257" s="5" t="n"/>
    </row>
    <row r="258">
      <c r="A258" t="n">
        <v>0.3010299956639812</v>
      </c>
      <c r="B258" s="5" t="n">
        <v>5.161236136403201</v>
      </c>
      <c r="C258" s="5" t="n"/>
    </row>
    <row r="259">
      <c r="A259" t="n">
        <v>0.9542425094393249</v>
      </c>
      <c r="B259" s="5" t="n">
        <v>4.539912126338201</v>
      </c>
      <c r="C259" s="5" t="n"/>
    </row>
    <row r="260">
      <c r="A260" t="n">
        <v>0.4771212547196624</v>
      </c>
      <c r="B260" s="5" t="n">
        <v>4.834632585150994</v>
      </c>
      <c r="C260" s="5" t="n"/>
    </row>
    <row r="261">
      <c r="A261" t="n">
        <v>0.4771212547196624</v>
      </c>
      <c r="B261" s="5" t="n">
        <v>3.332034277027518</v>
      </c>
      <c r="C261" s="5" t="n"/>
    </row>
    <row r="262">
      <c r="A262" t="n">
        <v>0.3010299956639812</v>
      </c>
      <c r="B262" s="5" t="n">
        <v>4.301029995663981</v>
      </c>
      <c r="C262" s="5" t="n"/>
    </row>
    <row r="263">
      <c r="A263" t="n">
        <v>0</v>
      </c>
      <c r="B263" s="5" t="n">
        <v>5.650734951913257</v>
      </c>
      <c r="C263" s="5" t="n"/>
    </row>
    <row r="264">
      <c r="A264" t="n">
        <v>0.4771212547196624</v>
      </c>
      <c r="B264" s="5" t="n">
        <v>5.173613706899798</v>
      </c>
      <c r="C264" s="5" t="n"/>
    </row>
    <row r="265">
      <c r="A265" t="n">
        <v>0.6989700043360189</v>
      </c>
      <c r="B265" s="5" t="n">
        <v>4.140319451670128</v>
      </c>
      <c r="C265" s="5" t="n"/>
    </row>
    <row r="266">
      <c r="A266" t="n">
        <v>0</v>
      </c>
      <c r="B266" s="5" t="n">
        <v>3.357934847000454</v>
      </c>
      <c r="C266" s="5" t="n"/>
    </row>
    <row r="267">
      <c r="A267" t="n">
        <v>0</v>
      </c>
      <c r="B267" s="5" t="n">
        <v>3.357934847000454</v>
      </c>
      <c r="C267" s="5" t="n"/>
    </row>
    <row r="268">
      <c r="A268" t="n">
        <v>0</v>
      </c>
      <c r="B268" s="5" t="n">
        <v>4.5910646070265</v>
      </c>
      <c r="C268" s="5" t="n"/>
    </row>
    <row r="269">
      <c r="A269" t="n">
        <v>0.3010299956639812</v>
      </c>
      <c r="B269" s="5" t="n">
        <v>2.601951404133521</v>
      </c>
      <c r="C269" s="5" t="n"/>
    </row>
    <row r="270">
      <c r="A270" t="n">
        <v>0</v>
      </c>
      <c r="B270" s="5" t="n">
        <v>3.491361693834273</v>
      </c>
      <c r="C270" s="5" t="n"/>
    </row>
    <row r="271">
      <c r="A271" t="n">
        <v>0</v>
      </c>
      <c r="B271" s="5" t="n">
        <v>4.518513939877887</v>
      </c>
      <c r="C271" s="5" t="n"/>
    </row>
    <row r="272">
      <c r="A272" t="n">
        <v>0</v>
      </c>
      <c r="B272" s="5" t="n">
        <v>4.045283851395135</v>
      </c>
      <c r="C272" s="5" t="n"/>
    </row>
    <row r="273">
      <c r="A273" t="n">
        <v>0.7781512503836436</v>
      </c>
      <c r="B273" s="5" t="n">
        <v>3.980185236947335</v>
      </c>
      <c r="C273" s="5" t="n"/>
    </row>
    <row r="274">
      <c r="A274" t="n">
        <v>1</v>
      </c>
      <c r="B274" s="5" t="n">
        <v>2.397940008672037</v>
      </c>
      <c r="C274" s="5" t="n"/>
    </row>
    <row r="275">
      <c r="A275" t="n">
        <v>0.6989700043360189</v>
      </c>
      <c r="B275" s="5" t="n">
        <v>3.146128035678238</v>
      </c>
      <c r="C275" s="5" t="n"/>
    </row>
    <row r="276">
      <c r="A276" t="n">
        <v>0</v>
      </c>
      <c r="B276" s="5" t="n">
        <v>3.351022852584124</v>
      </c>
      <c r="C276" s="5" t="n"/>
    </row>
    <row r="277">
      <c r="A277" t="n">
        <v>0</v>
      </c>
      <c r="B277" s="5" t="n">
        <v>3.982271233039568</v>
      </c>
      <c r="C277" s="5" t="n"/>
    </row>
    <row r="278">
      <c r="A278" t="n">
        <v>0.4771212547196624</v>
      </c>
      <c r="B278" s="5" t="n">
        <v>4.468051791454237</v>
      </c>
      <c r="C278" s="5" t="n"/>
    </row>
    <row r="279">
      <c r="A279" t="n">
        <v>1.113943352306837</v>
      </c>
      <c r="B279" s="5" t="n">
        <v>3.877282634754122</v>
      </c>
      <c r="C279" s="5" t="n"/>
    </row>
    <row r="280">
      <c r="A280" t="n">
        <v>0.6989700043360189</v>
      </c>
      <c r="B280" s="5" t="n">
        <v>2.397940008672037</v>
      </c>
      <c r="C280" s="5" t="n"/>
    </row>
    <row r="281">
      <c r="A281" t="n">
        <v>0</v>
      </c>
      <c r="B281" s="5" t="n">
        <v>4.195207549502754</v>
      </c>
      <c r="C281" s="5" t="n"/>
    </row>
    <row r="282">
      <c r="A282" t="n">
        <v>0.3010299956639812</v>
      </c>
      <c r="B282" s="5" t="n">
        <v>4.093386660001371</v>
      </c>
      <c r="C282" s="5" t="n"/>
    </row>
    <row r="283">
      <c r="A283" t="n">
        <v>0.4771212547196624</v>
      </c>
      <c r="B283" s="5" t="n">
        <v>4.243474605362087</v>
      </c>
      <c r="C283" s="5" t="n"/>
    </row>
    <row r="284">
      <c r="A284" t="n">
        <v>0.3010299956639812</v>
      </c>
      <c r="B284" s="5" t="n">
        <v>2.66168020078373</v>
      </c>
      <c r="C284" s="5" t="n"/>
    </row>
    <row r="285">
      <c r="A285" t="n">
        <v>0.4771212547196624</v>
      </c>
      <c r="B285" s="5" t="n">
        <v>4.490211392844718</v>
      </c>
      <c r="C285" s="5" t="n"/>
    </row>
    <row r="286">
      <c r="A286" t="n">
        <v>0.3010299956639812</v>
      </c>
      <c r="B286" s="5" t="n">
        <v>4.167391188074075</v>
      </c>
      <c r="C286" s="5" t="n"/>
    </row>
    <row r="287">
      <c r="A287" t="n">
        <v>0.6989700043360189</v>
      </c>
      <c r="B287" s="5" t="n">
        <v>4.133538908370218</v>
      </c>
      <c r="C287" s="5" t="n"/>
    </row>
    <row r="288">
      <c r="A288" t="n">
        <v>0</v>
      </c>
      <c r="B288" s="5" t="n">
        <v>3.397940008672037</v>
      </c>
      <c r="C288" s="5" t="n"/>
    </row>
    <row r="289">
      <c r="A289" t="n">
        <v>0</v>
      </c>
      <c r="B289" s="5" t="n">
        <v>3.397940008672037</v>
      </c>
      <c r="C289" s="5" t="n"/>
    </row>
    <row r="290">
      <c r="A290" t="n">
        <v>0.9030899869919435</v>
      </c>
      <c r="B290" s="5" t="n">
        <v>4.298831252018039</v>
      </c>
      <c r="C290" s="5" t="n"/>
    </row>
    <row r="291">
      <c r="A291" t="n">
        <v>0</v>
      </c>
      <c r="B291" s="5" t="n">
        <v>3.593728998707911</v>
      </c>
      <c r="C291" s="5" t="n"/>
    </row>
    <row r="292">
      <c r="A292" t="n">
        <v>0.6989700043360189</v>
      </c>
      <c r="B292" s="5" t="n">
        <v>3.845098040014257</v>
      </c>
      <c r="C292" s="5" t="n"/>
    </row>
    <row r="293">
      <c r="A293" t="n">
        <v>0</v>
      </c>
      <c r="B293" s="5" t="n">
        <v>4.136213065513025</v>
      </c>
      <c r="C293" s="5" t="n"/>
    </row>
    <row r="294">
      <c r="A294" t="n">
        <v>0</v>
      </c>
      <c r="B294" s="5" t="n">
        <v>4.136213065513025</v>
      </c>
      <c r="C294" s="5" t="n"/>
    </row>
    <row r="295">
      <c r="A295" t="n">
        <v>0</v>
      </c>
      <c r="B295" s="5" t="n">
        <v>4.136213065513025</v>
      </c>
      <c r="C295" s="5" t="n"/>
    </row>
    <row r="296">
      <c r="A296" t="n">
        <v>0</v>
      </c>
      <c r="B296" s="5" t="n">
        <v>4.295119821269546</v>
      </c>
      <c r="C296" s="5" t="n"/>
    </row>
    <row r="297">
      <c r="A297" t="n">
        <v>0</v>
      </c>
      <c r="B297" s="5" t="n">
        <v>2.690196080028514</v>
      </c>
      <c r="C297" s="5" t="n"/>
    </row>
    <row r="298">
      <c r="A298" t="n">
        <v>0</v>
      </c>
      <c r="B298" s="5" t="n">
        <v>3.182414652434554</v>
      </c>
      <c r="C298" s="5" t="n"/>
    </row>
    <row r="299">
      <c r="A299" t="n">
        <v>0</v>
      </c>
      <c r="B299" s="5" t="n">
        <v>3.847696020734166</v>
      </c>
      <c r="C299" s="5" t="n"/>
    </row>
    <row r="300">
      <c r="A300" t="n">
        <v>0</v>
      </c>
      <c r="B300" s="5" t="n">
        <v>3.342422680822206</v>
      </c>
      <c r="C300" s="5" t="n"/>
    </row>
    <row r="301">
      <c r="A301" t="n">
        <v>0</v>
      </c>
      <c r="B301" s="5" t="n">
        <v>3.732313327471243</v>
      </c>
      <c r="C301" s="5" t="n"/>
    </row>
    <row r="302">
      <c r="A302" t="n">
        <v>1.204119982655925</v>
      </c>
      <c r="B302" s="5" t="n">
        <v>3.079181246047625</v>
      </c>
      <c r="C302" s="5" t="n"/>
    </row>
    <row r="303">
      <c r="A303" t="n">
        <v>0</v>
      </c>
      <c r="B303" s="5" t="n">
        <v>4.283301228703549</v>
      </c>
      <c r="C303" s="5" t="n"/>
    </row>
    <row r="304">
      <c r="A304" t="n">
        <v>0.6020599913279624</v>
      </c>
      <c r="B304" s="5" t="n">
        <v>3.946598642780658</v>
      </c>
      <c r="C304" s="5" t="n"/>
    </row>
    <row r="305">
      <c r="A305" t="n">
        <v>0</v>
      </c>
      <c r="B305" s="5" t="n">
        <v>3.602059991327963</v>
      </c>
      <c r="C305" s="5" t="n"/>
    </row>
    <row r="306">
      <c r="A306" t="n">
        <v>1.113943352306837</v>
      </c>
      <c r="B306" s="5" t="n">
        <v>4.880813592280791</v>
      </c>
      <c r="C306" s="5" t="n"/>
    </row>
    <row r="307">
      <c r="A307" t="n">
        <v>0</v>
      </c>
      <c r="B307" s="5" t="n">
        <v>2.968482948553935</v>
      </c>
      <c r="C307" s="5" t="n"/>
    </row>
    <row r="308">
      <c r="A308" t="n">
        <v>0</v>
      </c>
      <c r="B308" s="5" t="n">
        <v>4.380211241711606</v>
      </c>
      <c r="C308" s="5" t="n"/>
    </row>
    <row r="309">
      <c r="A309" t="n">
        <v>0.3010299956639812</v>
      </c>
      <c r="B309" s="5" t="n">
        <v>4.380211241711606</v>
      </c>
      <c r="C309" s="5" t="n"/>
    </row>
    <row r="310">
      <c r="A310" t="n">
        <v>0</v>
      </c>
      <c r="B310" s="5" t="n">
        <v>4.790977863556787</v>
      </c>
      <c r="C310" s="5" t="n"/>
    </row>
    <row r="311">
      <c r="A311" t="n">
        <v>0</v>
      </c>
      <c r="B311" s="5" t="n">
        <v>4.790977863556787</v>
      </c>
      <c r="C311" s="5" t="n"/>
    </row>
    <row r="312">
      <c r="A312" t="n">
        <v>0</v>
      </c>
      <c r="B312" s="5" t="n">
        <v>4.790977863556787</v>
      </c>
      <c r="C312" s="5" t="n"/>
    </row>
    <row r="313">
      <c r="A313" t="n">
        <v>3.342422680822206</v>
      </c>
      <c r="B313" s="5" t="n">
        <v>1.118264726089479</v>
      </c>
      <c r="C313" s="5" t="n"/>
    </row>
    <row r="314">
      <c r="A314" t="n">
        <v>0.6020599913279624</v>
      </c>
      <c r="B314" s="5" t="n">
        <v>5.048674970291498</v>
      </c>
      <c r="C314" s="5" t="n"/>
    </row>
    <row r="315">
      <c r="A315" t="n">
        <v>3.505149978319906</v>
      </c>
      <c r="B315" s="5" t="n">
        <v>1.346939462698991</v>
      </c>
      <c r="C315" s="5" t="n"/>
    </row>
    <row r="316">
      <c r="A316" t="n">
        <v>0.3010299956639812</v>
      </c>
      <c r="B316" s="5" t="n">
        <v>4.187520720836463</v>
      </c>
      <c r="C316" s="5" t="n"/>
    </row>
    <row r="317">
      <c r="A317" t="n">
        <v>0</v>
      </c>
      <c r="B317" s="5" t="n">
        <v>3.677333151419902</v>
      </c>
      <c r="C317" s="5" t="n"/>
    </row>
    <row r="318">
      <c r="A318" t="n">
        <v>0</v>
      </c>
      <c r="B318" s="5" t="n">
        <v>3.677333151419902</v>
      </c>
      <c r="C318" s="5" t="n"/>
    </row>
    <row r="319">
      <c r="A319" t="n">
        <v>0</v>
      </c>
      <c r="B319" s="5" t="n">
        <v>3.677333151419902</v>
      </c>
      <c r="C319" s="5" t="n"/>
    </row>
    <row r="320">
      <c r="A320" t="n">
        <v>0</v>
      </c>
      <c r="B320" s="5" t="n">
        <v>4.145507171409663</v>
      </c>
      <c r="C320" s="5" t="n"/>
    </row>
    <row r="321">
      <c r="A321" t="n">
        <v>0.3010299956639812</v>
      </c>
      <c r="B321" s="5" t="n">
        <v>4.258421757901637</v>
      </c>
      <c r="C321" s="5" t="n"/>
    </row>
    <row r="322">
      <c r="A322" t="n">
        <v>0.4771212547196624</v>
      </c>
      <c r="B322" s="5" t="n">
        <v>4.489395921727129</v>
      </c>
      <c r="C322" s="5" t="n"/>
    </row>
    <row r="323">
      <c r="A323" t="n">
        <v>0.4771212547196624</v>
      </c>
      <c r="B323" s="5" t="n">
        <v>4.443002019372202</v>
      </c>
      <c r="C323" s="5" t="n"/>
    </row>
    <row r="324">
      <c r="A324" t="n">
        <v>0</v>
      </c>
      <c r="B324" s="5" t="n">
        <v>3.6232492903979</v>
      </c>
      <c r="C324" s="5" t="n"/>
    </row>
    <row r="325">
      <c r="A325" t="n">
        <v>0.6020599913279624</v>
      </c>
      <c r="B325" s="5" t="n">
        <v>4.447158031342219</v>
      </c>
      <c r="C325" s="5" t="n"/>
    </row>
    <row r="326">
      <c r="A326" t="n">
        <v>0.3010299956639812</v>
      </c>
      <c r="B326" s="5" t="n">
        <v>4.913813852383717</v>
      </c>
      <c r="C326" s="5" t="n"/>
    </row>
    <row r="327">
      <c r="A327" t="n">
        <v>0.3010299956639812</v>
      </c>
      <c r="B327" s="5" t="n">
        <v>3.812913356642856</v>
      </c>
      <c r="C327" s="5" t="n"/>
    </row>
    <row r="328">
      <c r="A328" t="n">
        <v>0.6989700043360189</v>
      </c>
      <c r="B328" s="5" t="n">
        <v>3.845098040014257</v>
      </c>
      <c r="C328" s="5" t="n"/>
    </row>
    <row r="329">
      <c r="A329" t="n">
        <v>0</v>
      </c>
      <c r="B329" s="5" t="n">
        <v>3.554489160003819</v>
      </c>
      <c r="C329" s="5" t="n"/>
    </row>
    <row r="330">
      <c r="A330" t="n">
        <v>0</v>
      </c>
      <c r="B330" s="5" t="n">
        <v>2.7481880270062</v>
      </c>
      <c r="C330" s="5" t="n"/>
    </row>
    <row r="331">
      <c r="A331" t="n">
        <v>0</v>
      </c>
      <c r="B331" s="5" t="n">
        <v>4.545121480864834</v>
      </c>
      <c r="C331" s="5" t="n"/>
    </row>
    <row r="332">
      <c r="A332" t="n">
        <v>0.4771212547196624</v>
      </c>
      <c r="B332" s="5" t="n">
        <v>4.995630807762446</v>
      </c>
      <c r="C332" s="5" t="n"/>
    </row>
    <row r="333">
      <c r="A333" t="n">
        <v>0</v>
      </c>
      <c r="B333" s="5" t="n">
        <v>2.255272505103306</v>
      </c>
      <c r="C333" s="5" t="n"/>
    </row>
    <row r="334">
      <c r="A334" t="n">
        <v>0.3010299956639812</v>
      </c>
      <c r="B334" s="5" t="n">
        <v>4.380211241711606</v>
      </c>
      <c r="C334" s="5" t="n"/>
    </row>
    <row r="335">
      <c r="A335" t="n">
        <v>0.6020599913279624</v>
      </c>
      <c r="B335" s="5" t="n">
        <v>2.340939602038078</v>
      </c>
      <c r="C335" s="5" t="n"/>
    </row>
    <row r="336">
      <c r="A336" t="n">
        <v>0.4771212547196624</v>
      </c>
      <c r="B336" s="5" t="n">
        <v>4.342422680822207</v>
      </c>
      <c r="C336" s="5" t="n"/>
    </row>
    <row r="337">
      <c r="A337" t="n">
        <v>0.3010299956639812</v>
      </c>
      <c r="B337" s="5" t="n">
        <v>4.130333768495007</v>
      </c>
      <c r="C337" s="5" t="n"/>
    </row>
    <row r="338">
      <c r="A338" t="n">
        <v>0.6989700043360189</v>
      </c>
      <c r="B338" s="5" t="n">
        <v>2.977723605288848</v>
      </c>
      <c r="C338" s="5" t="n"/>
    </row>
    <row r="339">
      <c r="A339" t="n">
        <v>0.4771212547196624</v>
      </c>
      <c r="B339" s="5" t="n">
        <v>4.340113409552825</v>
      </c>
      <c r="C339" s="5" t="n"/>
    </row>
    <row r="340">
      <c r="A340" t="n">
        <v>1</v>
      </c>
      <c r="B340" s="5" t="n">
        <v>4.671441300023084</v>
      </c>
      <c r="C340" s="5" t="n"/>
    </row>
    <row r="341">
      <c r="A341" t="n">
        <v>0.3010299956639812</v>
      </c>
      <c r="B341" s="5" t="n">
        <v>4.301029995663981</v>
      </c>
      <c r="C341" s="5" t="n"/>
    </row>
    <row r="342">
      <c r="A342" t="n">
        <v>1</v>
      </c>
      <c r="B342" s="5" t="n">
        <v>4.566064911645748</v>
      </c>
      <c r="C342" s="5" t="n"/>
    </row>
    <row r="343">
      <c r="A343" t="n">
        <v>0.6989700043360189</v>
      </c>
      <c r="B343" s="5" t="n">
        <v>3.484299839346786</v>
      </c>
      <c r="C343" s="5" t="n"/>
    </row>
    <row r="344">
      <c r="A344" t="n">
        <v>1</v>
      </c>
      <c r="B344" s="5" t="n">
        <v>2.698970004336019</v>
      </c>
      <c r="C344" s="5" t="n"/>
    </row>
    <row r="345">
      <c r="A345" t="n">
        <v>1.812913356642855</v>
      </c>
      <c r="B345" s="5" t="n">
        <v>4.801656940319011</v>
      </c>
      <c r="C345" s="5" t="n"/>
    </row>
    <row r="346">
      <c r="A346" t="n">
        <v>0.8450980400142568</v>
      </c>
      <c r="B346" s="5" t="n">
        <v>3.85387213803952</v>
      </c>
      <c r="C346" s="5" t="n"/>
    </row>
    <row r="347">
      <c r="A347" t="n">
        <v>0.6989700043360189</v>
      </c>
      <c r="B347" s="5" t="n">
        <v>3.963787827345555</v>
      </c>
      <c r="C347" s="5" t="n"/>
    </row>
    <row r="348">
      <c r="A348" t="n">
        <v>0</v>
      </c>
      <c r="B348" s="5" t="n">
        <v>4.698970004336019</v>
      </c>
      <c r="C348" s="5" t="n"/>
    </row>
    <row r="349">
      <c r="A349" t="n">
        <v>0.6989700043360189</v>
      </c>
      <c r="B349" s="5" t="n">
        <v>3.474507639116976</v>
      </c>
      <c r="C349" s="5" t="n"/>
    </row>
    <row r="350">
      <c r="A350" t="n">
        <v>0.3010299956639812</v>
      </c>
      <c r="B350" s="5" t="n">
        <v>4.440909082065217</v>
      </c>
      <c r="C350" s="5" t="n"/>
    </row>
    <row r="351">
      <c r="A351" t="n">
        <v>0.3010299956639812</v>
      </c>
      <c r="B351" s="5" t="n">
        <v>3.629273988340564</v>
      </c>
      <c r="C351" s="5" t="n"/>
    </row>
    <row r="352">
      <c r="A352" t="n">
        <v>0.4771212547196624</v>
      </c>
      <c r="B352" s="5" t="n">
        <v>3.397940008672037</v>
      </c>
      <c r="C352" s="5" t="n"/>
    </row>
    <row r="353">
      <c r="A353" t="n">
        <v>0</v>
      </c>
      <c r="B353" s="5" t="n">
        <v>4.216165902285993</v>
      </c>
      <c r="C353" s="5" t="n"/>
    </row>
    <row r="354">
      <c r="A354" t="n">
        <v>0.3010299956639812</v>
      </c>
      <c r="B354" s="5" t="n">
        <v>3.604765884703887</v>
      </c>
      <c r="C354" s="5" t="n"/>
    </row>
    <row r="355">
      <c r="A355" t="n">
        <v>0</v>
      </c>
      <c r="B355" s="5" t="n">
        <v>3.982271233039568</v>
      </c>
      <c r="C355" s="5" t="n"/>
    </row>
    <row r="356">
      <c r="A356" t="n">
        <v>0.6020599913279624</v>
      </c>
      <c r="B356" s="5" t="n">
        <v>3.982225991674675</v>
      </c>
      <c r="C356" s="5" t="n"/>
    </row>
    <row r="357">
      <c r="A357" t="n">
        <v>0</v>
      </c>
      <c r="B357" s="5" t="n">
        <v>3.968716377466786</v>
      </c>
      <c r="C357" s="5" t="n"/>
    </row>
    <row r="358">
      <c r="A358" t="n">
        <v>0</v>
      </c>
      <c r="B358" s="5" t="n">
        <v>4.196701112433386</v>
      </c>
      <c r="C358" s="5" t="n"/>
    </row>
    <row r="359">
      <c r="A359" t="n">
        <v>0</v>
      </c>
      <c r="B359" s="5" t="n">
        <v>4.196701112433386</v>
      </c>
      <c r="C359" s="5" t="n"/>
    </row>
    <row r="360">
      <c r="A360" t="n">
        <v>0</v>
      </c>
      <c r="B360" s="5" t="n">
        <v>2.90200289135073</v>
      </c>
      <c r="C360" s="5" t="n"/>
    </row>
    <row r="361">
      <c r="A361" t="n">
        <v>0</v>
      </c>
      <c r="B361" s="5" t="n">
        <v>2.90200289135073</v>
      </c>
      <c r="C361" s="5" t="n"/>
    </row>
    <row r="362">
      <c r="A362" t="n">
        <v>1.301029995663981</v>
      </c>
      <c r="B362" s="5" t="n">
        <v>4.176091259055681</v>
      </c>
      <c r="C362" s="5" t="n"/>
    </row>
    <row r="363">
      <c r="A363" t="n">
        <v>0</v>
      </c>
      <c r="B363" s="5" t="n">
        <v>2.82865989653532</v>
      </c>
      <c r="C363" s="5" t="n"/>
    </row>
    <row r="364">
      <c r="A364" t="n">
        <v>0.3010299956639812</v>
      </c>
      <c r="B364" s="5" t="n">
        <v>4.361727836017593</v>
      </c>
      <c r="C364" s="5" t="n"/>
    </row>
    <row r="365">
      <c r="A365" t="n">
        <v>1.301029995663981</v>
      </c>
      <c r="B365" s="5" t="n">
        <v>4.493754775593778</v>
      </c>
      <c r="C365" s="5" t="n"/>
    </row>
    <row r="366">
      <c r="A366" t="n">
        <v>0</v>
      </c>
      <c r="B366" s="5" t="n">
        <v>3.399673721481038</v>
      </c>
      <c r="C366" s="5" t="n"/>
    </row>
    <row r="367">
      <c r="A367" t="n">
        <v>0.3010299956639812</v>
      </c>
      <c r="B367" s="5" t="n">
        <v>2.511883360978874</v>
      </c>
      <c r="C367" s="5" t="n"/>
    </row>
    <row r="368">
      <c r="A368" t="n">
        <v>0.6020599913279624</v>
      </c>
      <c r="B368" s="5" t="n">
        <v>4.1397846642937</v>
      </c>
      <c r="C368" s="5" t="n"/>
    </row>
    <row r="369">
      <c r="A369" t="n">
        <v>0.3010299956639812</v>
      </c>
      <c r="B369" s="5" t="n">
        <v>4.217483944213907</v>
      </c>
      <c r="C369" s="5" t="n"/>
    </row>
    <row r="370">
      <c r="A370" t="n">
        <v>0</v>
      </c>
      <c r="B370" s="5" t="n">
        <v>4.477048866273474</v>
      </c>
      <c r="C370" s="5" t="n"/>
    </row>
    <row r="371">
      <c r="A371" t="n">
        <v>0</v>
      </c>
      <c r="B371" s="5" t="n">
        <v>4.477048866273474</v>
      </c>
      <c r="C371" s="5" t="n"/>
    </row>
    <row r="372">
      <c r="A372" t="n">
        <v>0</v>
      </c>
      <c r="B372" s="5" t="n">
        <v>4.477048866273474</v>
      </c>
      <c r="C372" s="5" t="n"/>
    </row>
    <row r="373">
      <c r="A373" t="n">
        <v>0</v>
      </c>
      <c r="B373" s="5" t="n">
        <v>4.477048866273474</v>
      </c>
      <c r="C373" s="5" t="n"/>
    </row>
    <row r="374">
      <c r="A374" t="n">
        <v>1.505149978319906</v>
      </c>
      <c r="B374" s="5" t="n">
        <v>2.297410308897391</v>
      </c>
      <c r="C374" s="5" t="n"/>
    </row>
    <row r="375">
      <c r="A375" t="n">
        <v>0</v>
      </c>
      <c r="B375" s="5" t="n">
        <v>3.350248018334163</v>
      </c>
      <c r="C375" s="5" t="n"/>
    </row>
    <row r="376">
      <c r="A376" t="n">
        <v>0.6020599913279624</v>
      </c>
      <c r="B376" s="5" t="n">
        <v>4.19728055812562</v>
      </c>
      <c r="C376" s="5" t="n"/>
    </row>
    <row r="377">
      <c r="A377" t="n">
        <v>0.3010299956639812</v>
      </c>
      <c r="B377" s="5" t="n">
        <v>4.913813852383717</v>
      </c>
      <c r="C377" s="5" t="n"/>
    </row>
    <row r="378">
      <c r="A378" t="n">
        <v>0</v>
      </c>
      <c r="B378" s="5" t="n">
        <v>3.929418925714293</v>
      </c>
      <c r="C378" s="5" t="n"/>
    </row>
    <row r="379">
      <c r="A379" t="n">
        <v>0.3010299956639812</v>
      </c>
      <c r="B379" s="5" t="n">
        <v>3.322219294733919</v>
      </c>
      <c r="C379" s="5" t="n"/>
    </row>
    <row r="380">
      <c r="A380" t="n">
        <v>0</v>
      </c>
      <c r="B380" s="5" t="n">
        <v>3.47567118832443</v>
      </c>
      <c r="C380" s="5" t="n"/>
    </row>
    <row r="381">
      <c r="A381" t="n">
        <v>0.9030899869919435</v>
      </c>
      <c r="B381" s="5" t="n">
        <v>2.850493071900963</v>
      </c>
      <c r="C381" s="5" t="n"/>
    </row>
    <row r="382">
      <c r="A382" t="n">
        <v>0.3010299956639812</v>
      </c>
      <c r="B382" s="5" t="n">
        <v>4.384693833518213</v>
      </c>
      <c r="C382" s="5" t="n"/>
    </row>
    <row r="383">
      <c r="A383" t="n">
        <v>0.3010299956639812</v>
      </c>
      <c r="B383" s="5" t="n">
        <v>4.352182518111363</v>
      </c>
      <c r="C383" s="5" t="n"/>
    </row>
    <row r="384">
      <c r="A384" t="n">
        <v>0</v>
      </c>
      <c r="B384" s="5" t="n">
        <v>3.843108141999607</v>
      </c>
      <c r="C384" s="5" t="n"/>
    </row>
    <row r="385">
      <c r="A385" t="n">
        <v>0</v>
      </c>
      <c r="B385" s="5" t="n">
        <v>3.843108141999607</v>
      </c>
      <c r="C385" s="5" t="n"/>
    </row>
    <row r="386">
      <c r="A386" t="n">
        <v>0</v>
      </c>
      <c r="B386" s="5" t="n">
        <v>3.642365580844973</v>
      </c>
      <c r="C386" s="5" t="n"/>
    </row>
    <row r="387">
      <c r="A387" t="n">
        <v>0</v>
      </c>
      <c r="B387" s="5" t="n">
        <v>3.85727096702123</v>
      </c>
      <c r="C387" s="5" t="n"/>
    </row>
    <row r="388">
      <c r="A388" t="n">
        <v>0.4771212547196624</v>
      </c>
      <c r="B388" s="5" t="n">
        <v>2.496001978701398</v>
      </c>
      <c r="C388" s="5" t="n"/>
    </row>
    <row r="389">
      <c r="A389" t="n">
        <v>0.3010299956639812</v>
      </c>
      <c r="B389" s="5" t="n">
        <v>3.957535457336101</v>
      </c>
      <c r="C389" s="5" t="n"/>
    </row>
    <row r="390">
      <c r="A390" t="n">
        <v>0.4771212547196624</v>
      </c>
      <c r="B390" s="5" t="n">
        <v>3.781444437732568</v>
      </c>
      <c r="C390" s="5" t="n"/>
    </row>
    <row r="391">
      <c r="A391" t="n">
        <v>0.4771212547196624</v>
      </c>
      <c r="B391" s="5" t="n">
        <v>3.781444437732568</v>
      </c>
      <c r="C391" s="5" t="n"/>
    </row>
    <row r="392">
      <c r="A392" t="n">
        <v>0</v>
      </c>
      <c r="B392" s="5" t="n">
        <v>4.258565453000082</v>
      </c>
      <c r="C392" s="5" t="n"/>
    </row>
    <row r="393">
      <c r="A393" t="n">
        <v>0.6989700043360189</v>
      </c>
      <c r="B393" s="5" t="n">
        <v>3.559595448664063</v>
      </c>
      <c r="C393" s="5" t="n"/>
    </row>
    <row r="394">
      <c r="A394" t="n">
        <v>0</v>
      </c>
      <c r="B394" s="5" t="n">
        <v>3.938269483462912</v>
      </c>
      <c r="C394" s="5" t="n"/>
    </row>
    <row r="395">
      <c r="A395" t="n">
        <v>0</v>
      </c>
      <c r="B395" s="5" t="n">
        <v>4.685723829182194</v>
      </c>
      <c r="C395" s="5" t="n"/>
    </row>
    <row r="396">
      <c r="A396" t="n">
        <v>0</v>
      </c>
      <c r="B396" s="5" t="n">
        <v>2.740362689494244</v>
      </c>
      <c r="C396" s="5" t="n"/>
    </row>
    <row r="397">
      <c r="A397" t="n">
        <v>0.3010299956639812</v>
      </c>
      <c r="B397" s="5" t="n">
        <v>3.243038048686294</v>
      </c>
      <c r="C397" s="5" t="n"/>
    </row>
    <row r="398">
      <c r="A398" t="n">
        <v>0</v>
      </c>
      <c r="B398" s="5" t="n">
        <v>2.976808337338066</v>
      </c>
      <c r="C398" s="5" t="n"/>
    </row>
    <row r="399">
      <c r="A399" t="n">
        <v>0</v>
      </c>
      <c r="B399" s="5" t="n">
        <v>3.296665190261531</v>
      </c>
      <c r="C399" s="5" t="n"/>
    </row>
    <row r="400">
      <c r="A400" t="n">
        <v>0.4771212547196624</v>
      </c>
      <c r="B400" s="5" t="n">
        <v>2.687234575674327</v>
      </c>
      <c r="C400" s="5" t="n"/>
    </row>
    <row r="401">
      <c r="A401" t="n">
        <v>0.4771212547196624</v>
      </c>
      <c r="B401" s="5" t="n">
        <v>4.419939235077641</v>
      </c>
      <c r="C401" s="5" t="n"/>
    </row>
    <row r="402">
      <c r="A402" t="n">
        <v>0</v>
      </c>
      <c r="B402" s="5" t="n">
        <v>4.477121254719663</v>
      </c>
      <c r="C402" s="5" t="n"/>
    </row>
    <row r="403">
      <c r="A403" t="n">
        <v>1</v>
      </c>
      <c r="B403" s="5" t="n">
        <v>2.414973347970818</v>
      </c>
      <c r="C403" s="5" t="n"/>
    </row>
    <row r="404">
      <c r="A404" t="n">
        <v>1.301029995663981</v>
      </c>
      <c r="B404" s="5" t="n">
        <v>3.311753861055754</v>
      </c>
      <c r="C404" s="5" t="n"/>
    </row>
    <row r="405">
      <c r="A405" t="n">
        <v>0.3010299956639812</v>
      </c>
      <c r="B405" s="5" t="n">
        <v>4.311753861055754</v>
      </c>
      <c r="C405" s="5" t="n"/>
    </row>
    <row r="406">
      <c r="A406" t="n">
        <v>0</v>
      </c>
      <c r="B406" s="5" t="n">
        <v>4.544068044350276</v>
      </c>
      <c r="C406" s="5" t="n"/>
    </row>
    <row r="407">
      <c r="A407" t="n">
        <v>0.4771212547196624</v>
      </c>
      <c r="B407" s="5" t="n">
        <v>4.221848836475244</v>
      </c>
      <c r="C407" s="5" t="n"/>
    </row>
    <row r="408">
      <c r="A408" t="n">
        <v>0</v>
      </c>
      <c r="B408" s="5" t="n">
        <v>4.394451680826216</v>
      </c>
      <c r="C408" s="5" t="n"/>
    </row>
    <row r="409">
      <c r="A409" t="n">
        <v>1</v>
      </c>
      <c r="B409" s="5" t="n">
        <v>4.491361693834273</v>
      </c>
      <c r="C409" s="5" t="n"/>
    </row>
    <row r="410">
      <c r="A410" t="n">
        <v>1.079181246047625</v>
      </c>
      <c r="B410" s="5" t="n">
        <v>2.812913356642856</v>
      </c>
      <c r="C410" s="5" t="n"/>
    </row>
    <row r="411">
      <c r="A411" t="n">
        <v>0</v>
      </c>
      <c r="B411" s="5" t="n">
        <v>4.601408060534684</v>
      </c>
      <c r="C411" s="5" t="n"/>
    </row>
    <row r="412">
      <c r="A412" t="n">
        <v>0</v>
      </c>
      <c r="B412" s="5" t="n">
        <v>3.305351369446624</v>
      </c>
      <c r="C412" s="5" t="n"/>
    </row>
    <row r="413">
      <c r="A413" t="n">
        <v>1.342422680822206</v>
      </c>
      <c r="B413" s="5" t="n">
        <v>3.821500427317821</v>
      </c>
      <c r="C413" s="5" t="n"/>
    </row>
    <row r="414">
      <c r="A414" t="n">
        <v>0</v>
      </c>
      <c r="B414" s="5" t="n">
        <v>3.078811938760165</v>
      </c>
      <c r="C414" s="5" t="n"/>
    </row>
    <row r="415">
      <c r="A415" t="n">
        <v>1.176091259055681</v>
      </c>
      <c r="B415" s="5" t="n">
        <v>4.389973652590067</v>
      </c>
      <c r="C415" s="5" t="n"/>
    </row>
    <row r="416">
      <c r="A416" t="n">
        <v>0</v>
      </c>
      <c r="B416" s="5" t="n">
        <v>3.204119982655925</v>
      </c>
      <c r="C416" s="5" t="n"/>
    </row>
    <row r="417">
      <c r="A417" t="n">
        <v>0.3010299956639812</v>
      </c>
      <c r="B417" s="5" t="n">
        <v>3.113943352306837</v>
      </c>
      <c r="C417" s="5" t="n"/>
    </row>
    <row r="418">
      <c r="A418" t="n">
        <v>0</v>
      </c>
      <c r="B418" s="5" t="n">
        <v>4.298197867109815</v>
      </c>
      <c r="C418" s="5" t="n"/>
    </row>
    <row r="419">
      <c r="A419" t="n">
        <v>0</v>
      </c>
      <c r="B419" s="5" t="n">
        <v>3.792391689498254</v>
      </c>
      <c r="C419" s="5" t="n"/>
    </row>
    <row r="420">
      <c r="A420" t="n">
        <v>0</v>
      </c>
      <c r="B420" s="5" t="n">
        <v>3.437592032253961</v>
      </c>
      <c r="C420" s="5" t="n"/>
    </row>
    <row r="421">
      <c r="A421" t="n">
        <v>0</v>
      </c>
      <c r="B421" s="5" t="n">
        <v>2.40849436021236</v>
      </c>
      <c r="C421" s="5" t="n"/>
    </row>
    <row r="422">
      <c r="A422" t="n">
        <v>0</v>
      </c>
      <c r="B422" s="5" t="n">
        <v>3.623352681537992</v>
      </c>
      <c r="C422" s="5" t="n"/>
    </row>
    <row r="423">
      <c r="A423" t="n">
        <v>0</v>
      </c>
      <c r="B423" s="5" t="n">
        <v>3.078456818053293</v>
      </c>
      <c r="C423" s="5" t="n"/>
    </row>
    <row r="424">
      <c r="A424" t="n">
        <v>0</v>
      </c>
      <c r="B424" s="5" t="n">
        <v>5.255224247479844</v>
      </c>
      <c r="C424" s="5" t="n"/>
    </row>
    <row r="425">
      <c r="A425" t="n">
        <v>0</v>
      </c>
      <c r="B425" s="5" t="n">
        <v>5.255224247479844</v>
      </c>
      <c r="C425" s="5" t="n"/>
    </row>
    <row r="426">
      <c r="A426" t="n">
        <v>0</v>
      </c>
      <c r="B426" s="5" t="n">
        <v>5.255224247479844</v>
      </c>
      <c r="C426" s="5" t="n"/>
    </row>
    <row r="427">
      <c r="A427" t="n">
        <v>1.698970004336019</v>
      </c>
      <c r="B427" s="5" t="n">
        <v>3.22177925693969</v>
      </c>
      <c r="C427" s="5" t="n"/>
    </row>
    <row r="428">
      <c r="A428" t="n">
        <v>0</v>
      </c>
      <c r="B428" s="5" t="n">
        <v>3.227629649571009</v>
      </c>
      <c r="C428" s="5" t="n"/>
    </row>
    <row r="429">
      <c r="A429" t="n">
        <v>0.6989700043360189</v>
      </c>
      <c r="B429" s="5" t="n">
        <v>4.137227476442907</v>
      </c>
      <c r="C429" s="5" t="n"/>
    </row>
    <row r="430">
      <c r="A430" t="n">
        <v>0.3010299956639812</v>
      </c>
      <c r="B430" s="5" t="n">
        <v>4.755874855672491</v>
      </c>
      <c r="C430" s="5" t="n"/>
    </row>
    <row r="431">
      <c r="A431" t="n">
        <v>1.041392685158225</v>
      </c>
      <c r="B431" s="5" t="n">
        <v>4.596597095626461</v>
      </c>
      <c r="C431" s="5" t="n"/>
    </row>
    <row r="432">
      <c r="A432" t="n">
        <v>0.9542425094393249</v>
      </c>
      <c r="B432" s="5" t="n">
        <v>4.864972303613476</v>
      </c>
      <c r="C432" s="5" t="n"/>
    </row>
    <row r="433">
      <c r="A433" t="n">
        <v>0.6020599913279624</v>
      </c>
      <c r="B433" s="5" t="n">
        <v>4.160042131009901</v>
      </c>
      <c r="C433" s="5" t="n"/>
    </row>
    <row r="434">
      <c r="A434" t="n">
        <v>0</v>
      </c>
      <c r="B434" s="5" t="n">
        <v>3.361916618668643</v>
      </c>
      <c r="C434" s="5" t="n"/>
    </row>
    <row r="435">
      <c r="A435" t="n">
        <v>0.9030899869919435</v>
      </c>
      <c r="B435" s="5" t="n">
        <v>4.909823369650912</v>
      </c>
      <c r="C435" s="5" t="n"/>
    </row>
    <row r="436">
      <c r="A436" t="n">
        <v>0</v>
      </c>
      <c r="B436" s="5" t="n">
        <v>4.127428777851599</v>
      </c>
      <c r="C436" s="5" t="n"/>
    </row>
    <row r="437">
      <c r="A437" t="n">
        <v>0</v>
      </c>
      <c r="B437" s="5" t="n">
        <v>4.127428777851599</v>
      </c>
      <c r="C437" s="5" t="n"/>
    </row>
    <row r="438">
      <c r="A438" t="n">
        <v>0</v>
      </c>
      <c r="B438" s="5" t="n">
        <v>5.311753861055754</v>
      </c>
      <c r="C438" s="5" t="n"/>
    </row>
    <row r="439">
      <c r="A439" t="n">
        <v>0</v>
      </c>
      <c r="B439" s="5" t="n">
        <v>4.027431157766904</v>
      </c>
      <c r="C439" s="5" t="n"/>
    </row>
    <row r="440">
      <c r="A440" t="n">
        <v>0</v>
      </c>
      <c r="B440" s="5" t="n">
        <v>3.318063334962762</v>
      </c>
      <c r="C440" s="5" t="n"/>
    </row>
    <row r="441">
      <c r="A441" t="n">
        <v>0.3010299956639812</v>
      </c>
      <c r="B441" s="5" t="n">
        <v>4.262688818680991</v>
      </c>
      <c r="C441" s="5" t="n"/>
    </row>
    <row r="442">
      <c r="A442" t="n">
        <v>0</v>
      </c>
      <c r="B442" s="5" t="n">
        <v>4.612783856719735</v>
      </c>
      <c r="C442" s="5" t="n"/>
    </row>
    <row r="443">
      <c r="A443" t="n">
        <v>0</v>
      </c>
      <c r="B443" s="5" t="n">
        <v>4.299942900022767</v>
      </c>
      <c r="C443" s="5" t="n"/>
    </row>
    <row r="444">
      <c r="A444" t="n">
        <v>0</v>
      </c>
      <c r="B444" s="5" t="n">
        <v>3.476976465759527</v>
      </c>
      <c r="C444" s="5" t="n"/>
    </row>
    <row r="445">
      <c r="A445" t="n">
        <v>0.4771212547196624</v>
      </c>
      <c r="B445" s="5" t="n">
        <v>2.662757831681574</v>
      </c>
      <c r="C445" s="5" t="n"/>
    </row>
    <row r="446">
      <c r="A446" t="n">
        <v>0.4771212547196624</v>
      </c>
      <c r="B446" s="5" t="n">
        <v>2.32880757016209</v>
      </c>
      <c r="C446" s="5" t="n"/>
    </row>
    <row r="447">
      <c r="A447" t="n">
        <v>0</v>
      </c>
      <c r="B447" s="5" t="n">
        <v>4.477121254719663</v>
      </c>
      <c r="C447" s="5" t="n"/>
    </row>
    <row r="448">
      <c r="A448" t="n">
        <v>0</v>
      </c>
      <c r="B448" s="5" t="n">
        <v>2.633468455579587</v>
      </c>
      <c r="C448" s="5" t="n"/>
    </row>
    <row r="449">
      <c r="A449" t="n">
        <v>0</v>
      </c>
      <c r="B449" s="5" t="n">
        <v>4.186956335465412</v>
      </c>
      <c r="C449" s="5" t="n"/>
    </row>
    <row r="450">
      <c r="A450" t="n">
        <v>0</v>
      </c>
      <c r="B450" s="5" t="n">
        <v>4.186956335465412</v>
      </c>
      <c r="C450" s="5" t="n"/>
    </row>
    <row r="451">
      <c r="A451" t="n">
        <v>0</v>
      </c>
      <c r="B451" s="5" t="n">
        <v>4.690196080028514</v>
      </c>
      <c r="C451" s="5" t="n"/>
    </row>
    <row r="452">
      <c r="A452" t="n">
        <v>0</v>
      </c>
      <c r="B452" s="5" t="n">
        <v>4.352182518111363</v>
      </c>
      <c r="C452" s="5" t="n"/>
    </row>
    <row r="453">
      <c r="A453" t="n">
        <v>0.3010299956639812</v>
      </c>
      <c r="B453" s="5" t="n">
        <v>4.051152522447381</v>
      </c>
      <c r="C453" s="5" t="n"/>
    </row>
    <row r="454">
      <c r="A454" t="n">
        <v>1</v>
      </c>
      <c r="B454" s="5" t="n">
        <v>2.438700532900736</v>
      </c>
      <c r="C454" s="5" t="n"/>
    </row>
    <row r="455">
      <c r="A455" t="n">
        <v>0</v>
      </c>
      <c r="B455" s="5" t="n">
        <v>2.954242509439325</v>
      </c>
      <c r="C455" s="5" t="n"/>
    </row>
    <row r="456">
      <c r="A456" t="n">
        <v>0</v>
      </c>
      <c r="B456" s="5" t="n">
        <v>2.7481880270062</v>
      </c>
      <c r="C456" s="5" t="n"/>
    </row>
    <row r="457">
      <c r="A457" t="n">
        <v>0</v>
      </c>
      <c r="B457" s="5" t="n">
        <v>3.301029995663981</v>
      </c>
      <c r="C457" s="5" t="n"/>
    </row>
    <row r="458">
      <c r="A458" t="n">
        <v>0.6020599913279624</v>
      </c>
      <c r="B458" s="5" t="n">
        <v>4.327113616464969</v>
      </c>
      <c r="C458" s="5" t="n"/>
    </row>
    <row r="459">
      <c r="A459" t="n">
        <v>0</v>
      </c>
      <c r="B459" s="5" t="n">
        <v>3.165837624690128</v>
      </c>
      <c r="C459" s="5" t="n"/>
    </row>
    <row r="460">
      <c r="A460" t="n">
        <v>0</v>
      </c>
      <c r="B460" s="5" t="n">
        <v>3.165837624690128</v>
      </c>
      <c r="C460" s="5" t="n"/>
    </row>
    <row r="461">
      <c r="A461" t="n">
        <v>0</v>
      </c>
      <c r="B461" s="5" t="n">
        <v>4.462397997898957</v>
      </c>
      <c r="C461" s="5" t="n"/>
    </row>
    <row r="462">
      <c r="A462" t="n">
        <v>0</v>
      </c>
      <c r="B462" s="5" t="n">
        <v>3.850278552518037</v>
      </c>
      <c r="C462" s="5" t="n"/>
    </row>
    <row r="463">
      <c r="A463" t="n">
        <v>0</v>
      </c>
      <c r="B463" s="5" t="n">
        <v>3.850278552518037</v>
      </c>
      <c r="C463" s="5" t="n"/>
    </row>
    <row r="464">
      <c r="A464" t="n">
        <v>0</v>
      </c>
      <c r="B464" s="5" t="n">
        <v>3.850278552518037</v>
      </c>
      <c r="C464" s="5" t="n"/>
    </row>
    <row r="465">
      <c r="A465" t="n">
        <v>0</v>
      </c>
      <c r="B465" s="5" t="n">
        <v>3.133538908370217</v>
      </c>
      <c r="C465" s="5" t="n"/>
    </row>
    <row r="466">
      <c r="A466" t="n">
        <v>0.9542425094393249</v>
      </c>
      <c r="B466" s="5" t="n">
        <v>3.491704791009099</v>
      </c>
      <c r="C466" s="5" t="n"/>
    </row>
    <row r="467">
      <c r="A467" t="n">
        <v>1</v>
      </c>
      <c r="B467" s="5" t="n">
        <v>2.47567118832443</v>
      </c>
      <c r="C467" s="5" t="n"/>
    </row>
    <row r="468">
      <c r="A468" t="n">
        <v>0</v>
      </c>
      <c r="B468" s="5" t="n">
        <v>3.40823996531185</v>
      </c>
      <c r="C468" s="5" t="n"/>
    </row>
    <row r="469">
      <c r="A469" t="n">
        <v>0.3010299956639812</v>
      </c>
      <c r="B469" s="5" t="n">
        <v>4.447158031342219</v>
      </c>
      <c r="C469" s="5" t="n"/>
    </row>
    <row r="470">
      <c r="A470" t="n">
        <v>0</v>
      </c>
      <c r="B470" s="5" t="n">
        <v>4.269769242415367</v>
      </c>
      <c r="C470" s="5" t="n"/>
    </row>
    <row r="471">
      <c r="A471" t="n">
        <v>0</v>
      </c>
      <c r="B471" s="5" t="n">
        <v>2.653212513775344</v>
      </c>
      <c r="C471" s="5" t="n"/>
    </row>
    <row r="472">
      <c r="A472" t="n">
        <v>1.778151250383644</v>
      </c>
      <c r="B472" s="5" t="n">
        <v>3.188928483760853</v>
      </c>
      <c r="C472" s="5" t="n"/>
    </row>
    <row r="473">
      <c r="A473" t="n">
        <v>0</v>
      </c>
      <c r="B473" s="5" t="n">
        <v>4.39776625612645</v>
      </c>
      <c r="C473" s="5" t="n"/>
    </row>
    <row r="474">
      <c r="A474" t="n">
        <v>0</v>
      </c>
      <c r="B474" s="5" t="n">
        <v>4.02428037604708</v>
      </c>
      <c r="C474" s="5" t="n"/>
    </row>
    <row r="475">
      <c r="A475" t="n">
        <v>0.4771212547196624</v>
      </c>
      <c r="B475" s="5" t="n">
        <v>4.778151250383644</v>
      </c>
      <c r="C475" s="5" t="n"/>
    </row>
    <row r="476">
      <c r="A476" t="n">
        <v>1.230448921378274</v>
      </c>
      <c r="B476" s="5" t="n">
        <v>4.431363764158987</v>
      </c>
      <c r="C476" s="5" t="n"/>
    </row>
    <row r="477">
      <c r="A477" t="n">
        <v>0</v>
      </c>
      <c r="B477" s="5" t="n">
        <v>4.200576926754848</v>
      </c>
      <c r="C477" s="5" t="n"/>
    </row>
    <row r="478">
      <c r="A478" t="n">
        <v>0</v>
      </c>
      <c r="B478" s="5" t="n">
        <v>4.041353202046975</v>
      </c>
      <c r="C478" s="5" t="n"/>
    </row>
    <row r="479">
      <c r="A479" t="n">
        <v>0.3010299956639812</v>
      </c>
      <c r="B479" s="5" t="n">
        <v>4.290034611362518</v>
      </c>
      <c r="C479" s="5" t="n"/>
    </row>
    <row r="480">
      <c r="A480" t="n">
        <v>0.4771212547196624</v>
      </c>
      <c r="B480" s="5" t="n">
        <v>2.441648012525648</v>
      </c>
      <c r="C480" s="5" t="n"/>
    </row>
    <row r="481">
      <c r="A481" t="n">
        <v>0</v>
      </c>
      <c r="B481" s="5" t="n">
        <v>3.53135116458306</v>
      </c>
      <c r="C481" s="5" t="n"/>
    </row>
    <row r="482">
      <c r="A482" t="n">
        <v>0.3010299956639812</v>
      </c>
      <c r="B482" s="5" t="n">
        <v>4.217483944213907</v>
      </c>
      <c r="C482" s="5" t="n"/>
    </row>
    <row r="483">
      <c r="A483" t="n">
        <v>0.6020599913279624</v>
      </c>
      <c r="B483" s="5" t="n">
        <v>4.380211241711606</v>
      </c>
      <c r="C483" s="5" t="n"/>
    </row>
    <row r="484">
      <c r="A484" t="n">
        <v>0</v>
      </c>
      <c r="B484" s="5" t="n">
        <v>3.906173363644049</v>
      </c>
      <c r="C484" s="5" t="n"/>
    </row>
    <row r="485">
      <c r="A485" t="n">
        <v>1.397940008672038</v>
      </c>
      <c r="B485" s="5" t="n">
        <v>3.812217928981204</v>
      </c>
      <c r="C485" s="5" t="n"/>
    </row>
    <row r="486">
      <c r="A486" t="n">
        <v>0.6020599913279624</v>
      </c>
      <c r="B486" s="5" t="n">
        <v>3.906173363644049</v>
      </c>
      <c r="C486" s="5" t="n"/>
    </row>
    <row r="487">
      <c r="A487" t="n">
        <v>0</v>
      </c>
      <c r="B487" s="5" t="n">
        <v>3.133538908370217</v>
      </c>
      <c r="C487" s="5" t="n"/>
    </row>
    <row r="488">
      <c r="A488" t="n">
        <v>0.3010299956639812</v>
      </c>
      <c r="B488" s="5" t="n">
        <v>3.601951404133521</v>
      </c>
      <c r="C488" s="5" t="n"/>
    </row>
    <row r="489">
      <c r="A489" t="n">
        <v>0</v>
      </c>
      <c r="B489" s="5" t="n">
        <v>4.305329869187608</v>
      </c>
      <c r="C489" s="5" t="n"/>
    </row>
    <row r="490">
      <c r="A490" t="n">
        <v>0</v>
      </c>
      <c r="B490" s="5" t="n">
        <v>3.022428371185486</v>
      </c>
      <c r="C490" s="5" t="n"/>
    </row>
    <row r="491">
      <c r="A491" t="n">
        <v>0</v>
      </c>
      <c r="B491" s="5" t="n">
        <v>4.28668096935493</v>
      </c>
      <c r="C491" s="5" t="n"/>
    </row>
    <row r="492">
      <c r="A492" t="n">
        <v>0</v>
      </c>
      <c r="B492" s="5" t="n">
        <v>4.555578072772955</v>
      </c>
      <c r="C492" s="5" t="n"/>
    </row>
    <row r="493">
      <c r="A493" t="n">
        <v>0.3010299956639812</v>
      </c>
      <c r="B493" s="5" t="n">
        <v>4.03879892891864</v>
      </c>
      <c r="C493" s="5" t="n"/>
    </row>
    <row r="494">
      <c r="A494" t="n">
        <v>0</v>
      </c>
      <c r="B494" s="5" t="n">
        <v>3.556181846652911</v>
      </c>
      <c r="C494" s="5" t="n"/>
    </row>
    <row r="495">
      <c r="A495" t="n">
        <v>1.397940008672038</v>
      </c>
      <c r="B495" s="5" t="n">
        <v>4.248839273769094</v>
      </c>
      <c r="C495" s="5" t="n"/>
    </row>
    <row r="496">
      <c r="A496" t="n">
        <v>0</v>
      </c>
      <c r="B496" s="5" t="n">
        <v>4.321701969500737</v>
      </c>
      <c r="C496" s="5" t="n"/>
    </row>
    <row r="497">
      <c r="A497" t="n">
        <v>0</v>
      </c>
      <c r="B497" s="5" t="n">
        <v>4.298809426529585</v>
      </c>
      <c r="C497" s="5" t="n"/>
    </row>
    <row r="498">
      <c r="A498" t="n">
        <v>0</v>
      </c>
      <c r="B498" s="5" t="n">
        <v>2.681241237375587</v>
      </c>
      <c r="C498" s="5" t="n"/>
    </row>
    <row r="499">
      <c r="A499" t="n">
        <v>0.9542425094393249</v>
      </c>
      <c r="B499" s="5" t="n">
        <v>4.475869988684718</v>
      </c>
      <c r="C499" s="5" t="n"/>
    </row>
    <row r="500">
      <c r="A500" t="n">
        <v>0.9030899869919435</v>
      </c>
      <c r="B500" s="5" t="n">
        <v>4.52702262405182</v>
      </c>
      <c r="C500" s="5" t="n"/>
    </row>
    <row r="501">
      <c r="A501" t="n">
        <v>0.7781512503836436</v>
      </c>
      <c r="B501" s="5" t="n">
        <v>4.651961296134568</v>
      </c>
      <c r="C501" s="5" t="n"/>
    </row>
    <row r="502">
      <c r="A502" t="n">
        <v>0.4771212547196624</v>
      </c>
      <c r="B502" s="5" t="n">
        <v>2.544068044350276</v>
      </c>
      <c r="C502" s="5" t="n"/>
    </row>
    <row r="503">
      <c r="A503" t="n">
        <v>0</v>
      </c>
      <c r="B503" s="5" t="n">
        <v>4.561518773860811</v>
      </c>
      <c r="C503" s="5" t="n"/>
    </row>
    <row r="504">
      <c r="A504" t="n">
        <v>0.7781512503836436</v>
      </c>
      <c r="B504" s="5" t="n">
        <v>4.18150058846776</v>
      </c>
      <c r="C504" s="5" t="n"/>
    </row>
    <row r="505">
      <c r="A505" t="n">
        <v>0</v>
      </c>
      <c r="B505" s="5" t="n">
        <v>4.477121254719663</v>
      </c>
      <c r="C505" s="5" t="n"/>
    </row>
    <row r="506">
      <c r="A506" t="n">
        <v>0</v>
      </c>
      <c r="B506" s="5" t="n">
        <v>3.088136088700551</v>
      </c>
      <c r="C506" s="5" t="n"/>
    </row>
    <row r="507">
      <c r="A507" t="n">
        <v>0.7781512503836436</v>
      </c>
      <c r="B507" s="5" t="n">
        <v>2.630936119064192</v>
      </c>
      <c r="C507" s="5" t="n"/>
    </row>
    <row r="508">
      <c r="A508" t="n">
        <v>0</v>
      </c>
      <c r="B508" s="5" t="n">
        <v>3.409087369447835</v>
      </c>
      <c r="C508" s="5" t="n"/>
    </row>
    <row r="509">
      <c r="A509" t="n">
        <v>0</v>
      </c>
      <c r="B509" s="5" t="n">
        <v>4.01203535914953</v>
      </c>
      <c r="C509" s="5" t="n"/>
    </row>
    <row r="510">
      <c r="A510" t="n">
        <v>0.3010299956639812</v>
      </c>
      <c r="B510" s="5" t="n">
        <v>3.142545884086276</v>
      </c>
      <c r="C510" s="5" t="n"/>
    </row>
    <row r="511">
      <c r="A511" t="n">
        <v>0.6020599913279624</v>
      </c>
      <c r="B511" s="5" t="n">
        <v>4.080860884962276</v>
      </c>
      <c r="C511" s="5" t="n"/>
    </row>
    <row r="512">
      <c r="A512" t="n">
        <v>0.6020599913279624</v>
      </c>
      <c r="B512" s="5" t="n">
        <v>4.544068044350276</v>
      </c>
      <c r="C512" s="5" t="n"/>
    </row>
    <row r="513">
      <c r="A513" t="n">
        <v>1.176091259055681</v>
      </c>
      <c r="B513" s="5" t="n">
        <v>3.113943352306837</v>
      </c>
      <c r="C513" s="5" t="n"/>
    </row>
    <row r="514">
      <c r="A514" t="n">
        <v>0</v>
      </c>
      <c r="B514" s="5" t="n">
        <v>2.037426497940624</v>
      </c>
      <c r="C514" s="5" t="n"/>
    </row>
    <row r="515">
      <c r="A515" t="n">
        <v>0</v>
      </c>
      <c r="B515" s="5" t="n">
        <v>4.300812794118117</v>
      </c>
      <c r="C515" s="5" t="n"/>
    </row>
    <row r="516">
      <c r="A516" t="n">
        <v>0</v>
      </c>
      <c r="B516" s="5" t="n">
        <v>4.613313161455459</v>
      </c>
      <c r="C516" s="5" t="n"/>
    </row>
    <row r="517">
      <c r="A517" t="n">
        <v>0</v>
      </c>
      <c r="B517" s="5" t="n">
        <v>3.977723605288848</v>
      </c>
      <c r="C517" s="5" t="n"/>
    </row>
    <row r="518">
      <c r="A518" t="n">
        <v>1.623249290397901</v>
      </c>
      <c r="B518" s="5" t="n">
        <v>4.255031163345551</v>
      </c>
      <c r="C518" s="5" t="n"/>
    </row>
    <row r="519">
      <c r="A519" t="n">
        <v>0.3010299956639812</v>
      </c>
      <c r="B519" s="5" t="n">
        <v>3.9293678292401</v>
      </c>
      <c r="C519" s="5" t="n"/>
    </row>
    <row r="520">
      <c r="A520" t="n">
        <v>1.301029995663981</v>
      </c>
      <c r="B520" s="5" t="n">
        <v>3.979548374704095</v>
      </c>
      <c r="C520" s="5" t="n"/>
    </row>
    <row r="521">
      <c r="A521" t="n">
        <v>0</v>
      </c>
      <c r="B521" s="5" t="n">
        <v>5.255224247479844</v>
      </c>
      <c r="C521" s="5" t="n"/>
    </row>
    <row r="522">
      <c r="A522" t="n">
        <v>0</v>
      </c>
      <c r="B522" s="5" t="n">
        <v>5.255224247479844</v>
      </c>
      <c r="C522" s="5" t="n"/>
    </row>
    <row r="523">
      <c r="A523" t="n">
        <v>1.397940008672038</v>
      </c>
      <c r="B523" s="5" t="n">
        <v>3.857284238807806</v>
      </c>
      <c r="C523" s="5" t="n"/>
    </row>
    <row r="524">
      <c r="A524" t="n">
        <v>0.3010299956639812</v>
      </c>
      <c r="B524" s="5" t="n">
        <v>4.954194251815863</v>
      </c>
      <c r="C524" s="5" t="n"/>
    </row>
    <row r="525">
      <c r="A525" t="n">
        <v>0</v>
      </c>
      <c r="B525" s="5" t="n">
        <v>3.938369597451806</v>
      </c>
      <c r="C525" s="5" t="n"/>
    </row>
    <row r="526">
      <c r="A526" t="n">
        <v>0</v>
      </c>
      <c r="B526" s="5" t="n">
        <v>3.322219294733919</v>
      </c>
      <c r="C526" s="5" t="n"/>
    </row>
    <row r="527">
      <c r="A527" t="n">
        <v>0.7781512503836436</v>
      </c>
      <c r="B527" s="5" t="n">
        <v>3.859438535455056</v>
      </c>
      <c r="C527" s="5" t="n"/>
    </row>
    <row r="528">
      <c r="A528" t="n">
        <v>0.6989700043360189</v>
      </c>
      <c r="B528" s="5" t="n">
        <v>4.477121254719663</v>
      </c>
      <c r="C528" s="5" t="n"/>
    </row>
    <row r="529">
      <c r="A529" t="n">
        <v>0.3010299956639812</v>
      </c>
      <c r="B529" s="5" t="n">
        <v>4.477121254719663</v>
      </c>
      <c r="C529" s="5" t="n"/>
    </row>
    <row r="530">
      <c r="A530" t="n">
        <v>0.6020599913279624</v>
      </c>
      <c r="B530" s="5" t="n">
        <v>4.903089986991944</v>
      </c>
      <c r="C530" s="5" t="n"/>
    </row>
    <row r="531">
      <c r="A531" t="n">
        <v>0</v>
      </c>
      <c r="B531" s="5" t="n">
        <v>4.397922636545316</v>
      </c>
      <c r="C531" s="5" t="n"/>
    </row>
    <row r="532">
      <c r="A532" t="n">
        <v>0</v>
      </c>
      <c r="B532" s="5" t="n">
        <v>4.626340367375042</v>
      </c>
      <c r="C532" s="5" t="n"/>
    </row>
    <row r="533">
      <c r="A533" t="n">
        <v>0.4771212547196624</v>
      </c>
      <c r="B533" s="5" t="n">
        <v>3.168792020314182</v>
      </c>
      <c r="C533" s="5" t="n"/>
    </row>
    <row r="534">
      <c r="A534" t="n">
        <v>0</v>
      </c>
      <c r="B534" s="5" t="n">
        <v>3.106870544478654</v>
      </c>
      <c r="C534" s="5" t="n"/>
    </row>
    <row r="535">
      <c r="A535" t="n">
        <v>0.4771212547196624</v>
      </c>
      <c r="B535" s="5" t="n">
        <v>4.283301228703549</v>
      </c>
      <c r="C535" s="5" t="n"/>
    </row>
    <row r="536">
      <c r="A536" t="n">
        <v>1</v>
      </c>
      <c r="B536" s="5" t="n">
        <v>4.544068044350276</v>
      </c>
      <c r="C536" s="5" t="n"/>
    </row>
    <row r="537">
      <c r="A537" t="n">
        <v>0.7781512503836436</v>
      </c>
      <c r="B537" s="5" t="n">
        <v>4.012837224705172</v>
      </c>
      <c r="C537" s="5" t="n"/>
    </row>
    <row r="538">
      <c r="A538" t="n">
        <v>0.4771212547196624</v>
      </c>
      <c r="B538" s="5" t="n">
        <v>3.24551266781415</v>
      </c>
      <c r="C538" s="5" t="n"/>
    </row>
    <row r="539">
      <c r="A539" t="n">
        <v>0</v>
      </c>
      <c r="B539" s="5" t="n">
        <v>4.303196057420489</v>
      </c>
      <c r="C539" s="5" t="n"/>
    </row>
    <row r="540">
      <c r="A540" t="n">
        <v>0</v>
      </c>
      <c r="B540" s="5" t="n">
        <v>4.32735893438633</v>
      </c>
      <c r="C540" s="5" t="n"/>
    </row>
    <row r="541">
      <c r="A541" t="n">
        <v>0.8450980400142568</v>
      </c>
      <c r="B541" s="5" t="n">
        <v>4.15044940946088</v>
      </c>
      <c r="C541" s="5" t="n"/>
    </row>
    <row r="542">
      <c r="A542" t="n">
        <v>0.6020599913279624</v>
      </c>
      <c r="B542" s="5" t="n">
        <v>4.167317334748176</v>
      </c>
      <c r="C542" s="5" t="n"/>
    </row>
    <row r="543">
      <c r="A543" t="n">
        <v>0.6989700043360189</v>
      </c>
      <c r="B543" s="5" t="n">
        <v>4.008855563996213</v>
      </c>
      <c r="C543" s="5" t="n"/>
    </row>
    <row r="544">
      <c r="A544" t="n">
        <v>0.6989700043360189</v>
      </c>
      <c r="B544" s="5" t="n">
        <v>2.611723308007342</v>
      </c>
      <c r="C544" s="5" t="n"/>
    </row>
    <row r="545">
      <c r="A545" t="n">
        <v>0.3010299956639812</v>
      </c>
      <c r="B545" s="5" t="n">
        <v>3.009663316679379</v>
      </c>
      <c r="C545" s="5" t="n"/>
    </row>
    <row r="546">
      <c r="A546" t="n">
        <v>0</v>
      </c>
      <c r="B546" s="5" t="n">
        <v>4.397940008672037</v>
      </c>
      <c r="C546" s="5" t="n"/>
    </row>
    <row r="547">
      <c r="A547" t="n">
        <v>0.3010299956639812</v>
      </c>
      <c r="B547" s="5" t="n">
        <v>4.304275050477128</v>
      </c>
      <c r="C547" s="5" t="n"/>
    </row>
    <row r="548">
      <c r="A548" t="n">
        <v>0</v>
      </c>
      <c r="B548" s="5" t="n">
        <v>4.605305046141109</v>
      </c>
      <c r="C548" s="5" t="n"/>
    </row>
    <row r="549">
      <c r="A549" t="n">
        <v>0</v>
      </c>
      <c r="B549" s="5" t="n">
        <v>4.605305046141109</v>
      </c>
      <c r="C549" s="5" t="n"/>
    </row>
    <row r="550">
      <c r="A550" t="n">
        <v>0</v>
      </c>
      <c r="B550" s="5" t="n">
        <v>4.786751422145561</v>
      </c>
      <c r="C550" s="5" t="n"/>
    </row>
    <row r="551">
      <c r="A551" t="n">
        <v>1.301029995663981</v>
      </c>
      <c r="B551" s="5" t="n">
        <v>3.591064607026499</v>
      </c>
      <c r="C551" s="5" t="n"/>
    </row>
    <row r="552">
      <c r="A552" t="n">
        <v>0</v>
      </c>
      <c r="B552" s="5" t="n">
        <v>4.568201724066995</v>
      </c>
      <c r="C552" s="5" t="n"/>
    </row>
    <row r="553">
      <c r="A553" t="n">
        <v>0.4771212547196624</v>
      </c>
      <c r="B553" s="5" t="n">
        <v>4.386201545908395</v>
      </c>
      <c r="C553" s="5" t="n"/>
    </row>
    <row r="554">
      <c r="A554" t="n">
        <v>0</v>
      </c>
      <c r="B554" s="5" t="n">
        <v>4.863322860120456</v>
      </c>
      <c r="C554" s="5" t="n"/>
    </row>
    <row r="555">
      <c r="A555" t="n">
        <v>0.3010299956639812</v>
      </c>
      <c r="B555" s="5" t="n">
        <v>2.965953889102063</v>
      </c>
      <c r="C555" s="5" t="n"/>
    </row>
    <row r="556">
      <c r="A556" t="n">
        <v>0</v>
      </c>
      <c r="B556" s="5" t="n">
        <v>4.652729696069247</v>
      </c>
      <c r="C556" s="5" t="n"/>
    </row>
    <row r="557">
      <c r="A557" t="n">
        <v>0.6989700043360189</v>
      </c>
      <c r="B557" s="5" t="n">
        <v>4.694605198933568</v>
      </c>
      <c r="C557" s="5" t="n"/>
    </row>
    <row r="558">
      <c r="A558" t="n">
        <v>1</v>
      </c>
      <c r="B558" s="5" t="n">
        <v>2.383815365980431</v>
      </c>
      <c r="C558" s="5" t="n"/>
    </row>
    <row r="559">
      <c r="A559" t="n">
        <v>0</v>
      </c>
      <c r="B559" s="5" t="n">
        <v>4.161368002234975</v>
      </c>
      <c r="C559" s="5" t="n"/>
    </row>
    <row r="560">
      <c r="A560" t="n">
        <v>0.8450980400142568</v>
      </c>
      <c r="B560" s="5" t="n">
        <v>2.653212513775344</v>
      </c>
      <c r="C560" s="5" t="n"/>
    </row>
    <row r="561">
      <c r="A561" t="n">
        <v>0</v>
      </c>
      <c r="B561" s="5" t="n">
        <v>4.529558673021163</v>
      </c>
      <c r="C561" s="5" t="n"/>
    </row>
    <row r="562">
      <c r="A562" t="n">
        <v>0</v>
      </c>
      <c r="B562" s="5" t="n">
        <v>4.171726453653231</v>
      </c>
      <c r="C562" s="5" t="n"/>
    </row>
    <row r="563">
      <c r="A563" t="n">
        <v>0</v>
      </c>
      <c r="B563" s="5" t="n">
        <v>3.7481880270062</v>
      </c>
      <c r="C563" s="5" t="n"/>
    </row>
    <row r="564">
      <c r="A564" t="n">
        <v>0.4771212547196624</v>
      </c>
      <c r="B564" s="5" t="n">
        <v>3.901040173023147</v>
      </c>
      <c r="C564" s="5" t="n"/>
    </row>
    <row r="565">
      <c r="A565" t="n">
        <v>0.3010299956639812</v>
      </c>
      <c r="B565" s="5" t="n">
        <v>4.077131613890931</v>
      </c>
      <c r="C565" s="5" t="n"/>
    </row>
    <row r="566">
      <c r="A566" t="n">
        <v>0</v>
      </c>
      <c r="B566" s="5" t="n">
        <v>4.378161609554913</v>
      </c>
      <c r="C566" s="5" t="n"/>
    </row>
    <row r="567">
      <c r="A567" t="n">
        <v>2.423245873936808</v>
      </c>
      <c r="B567" s="5" t="n">
        <v>2.748366361334403</v>
      </c>
      <c r="C567" s="5" t="n"/>
    </row>
    <row r="568">
      <c r="A568" t="n">
        <v>0</v>
      </c>
      <c r="B568" s="5" t="n">
        <v>5.361727836017593</v>
      </c>
      <c r="C568" s="5" t="n"/>
    </row>
    <row r="569">
      <c r="A569" t="n">
        <v>0.9030899869919435</v>
      </c>
      <c r="B569" s="5" t="n">
        <v>4.458637849025649</v>
      </c>
      <c r="C569" s="5" t="n"/>
    </row>
    <row r="570">
      <c r="A570" t="n">
        <v>0</v>
      </c>
      <c r="B570" s="5" t="n">
        <v>3.218797998111738</v>
      </c>
      <c r="C570" s="5" t="n"/>
    </row>
    <row r="571">
      <c r="A571" t="n">
        <v>0</v>
      </c>
      <c r="B571" s="5" t="n">
        <v>3.929418925714293</v>
      </c>
      <c r="C571" s="5" t="n"/>
    </row>
    <row r="572">
      <c r="A572" t="n">
        <v>0.6989700043360189</v>
      </c>
      <c r="B572" s="5" t="n">
        <v>4.300595483889963</v>
      </c>
      <c r="C572" s="5" t="n"/>
    </row>
    <row r="573">
      <c r="A573" t="n">
        <v>0.3010299956639812</v>
      </c>
      <c r="B573" s="5" t="n">
        <v>4.453303047718583</v>
      </c>
      <c r="C573" s="5" t="n"/>
    </row>
    <row r="574">
      <c r="A574" t="n">
        <v>0</v>
      </c>
      <c r="B574" s="5" t="n">
        <v>4.680335513414564</v>
      </c>
      <c r="C574" s="5" t="n"/>
    </row>
    <row r="575">
      <c r="A575" t="n">
        <v>1.397940008672038</v>
      </c>
      <c r="B575" s="5" t="n">
        <v>4.662757831681574</v>
      </c>
      <c r="C575" s="5" t="n"/>
    </row>
    <row r="576">
      <c r="A576" t="n">
        <v>0.3010299956639812</v>
      </c>
      <c r="B576" s="5" t="n">
        <v>4.638788667157399</v>
      </c>
      <c r="C576" s="5" t="n"/>
    </row>
    <row r="577">
      <c r="A577" t="n">
        <v>0</v>
      </c>
      <c r="B577" s="5" t="n">
        <v>5.544068044350276</v>
      </c>
      <c r="C577" s="5" t="n"/>
    </row>
    <row r="578">
      <c r="A578" t="n">
        <v>0</v>
      </c>
      <c r="B578" s="5" t="n">
        <v>3.752662943120972</v>
      </c>
      <c r="C578" s="5" t="n"/>
    </row>
    <row r="579">
      <c r="A579" t="n">
        <v>0</v>
      </c>
      <c r="B579" s="5" t="n">
        <v>2.578639209968072</v>
      </c>
      <c r="C579" s="5" t="n"/>
    </row>
    <row r="580">
      <c r="A580" t="n">
        <v>0.6989700043360189</v>
      </c>
      <c r="B580" s="5" t="n">
        <v>4.477121254719663</v>
      </c>
      <c r="C580" s="5" t="n"/>
    </row>
    <row r="581">
      <c r="A581" t="n">
        <v>0.6989700043360189</v>
      </c>
      <c r="B581" s="5" t="n">
        <v>3.974050902792877</v>
      </c>
      <c r="C581" s="5" t="n"/>
    </row>
    <row r="582">
      <c r="A582" t="n">
        <v>0.4771212547196624</v>
      </c>
      <c r="B582" s="5" t="n">
        <v>3.902383684432472</v>
      </c>
      <c r="C582" s="5" t="n"/>
    </row>
    <row r="583">
      <c r="A583" t="n">
        <v>0.3010299956639812</v>
      </c>
      <c r="B583" s="5" t="n">
        <v>2.6232492903979</v>
      </c>
      <c r="C583" s="5" t="n"/>
    </row>
    <row r="584">
      <c r="A584" t="n">
        <v>0.6989700043360189</v>
      </c>
      <c r="B584" s="5" t="n">
        <v>4.863322860120456</v>
      </c>
      <c r="C584" s="5" t="n"/>
    </row>
    <row r="585">
      <c r="A585" t="n">
        <v>0</v>
      </c>
      <c r="B585" s="5" t="n">
        <v>5.562292864456475</v>
      </c>
      <c r="C585" s="5" t="n"/>
    </row>
    <row r="586">
      <c r="A586" t="n">
        <v>1</v>
      </c>
      <c r="B586" s="5" t="n">
        <v>4.336439719816778</v>
      </c>
      <c r="C586" s="5" t="n"/>
    </row>
    <row r="587">
      <c r="A587" t="n">
        <v>0</v>
      </c>
      <c r="B587" s="5" t="n">
        <v>3.176091259055681</v>
      </c>
      <c r="C587" s="5" t="n"/>
    </row>
    <row r="588">
      <c r="A588" t="n">
        <v>0</v>
      </c>
      <c r="B588" s="5" t="n">
        <v>4.47516251908309</v>
      </c>
      <c r="C588" s="5" t="n"/>
    </row>
    <row r="589">
      <c r="A589" t="n">
        <v>0</v>
      </c>
      <c r="B589" s="5" t="n">
        <v>4.47516251908309</v>
      </c>
      <c r="C589" s="5" t="n"/>
    </row>
    <row r="590">
      <c r="A590" t="n">
        <v>2.431363764158987</v>
      </c>
      <c r="B590" s="5" t="n">
        <v>3</v>
      </c>
      <c r="C590" s="5" t="n"/>
    </row>
    <row r="591">
      <c r="A591" t="n">
        <v>0.6020599913279624</v>
      </c>
      <c r="B591" s="5" t="n">
        <v>2.811909980420099</v>
      </c>
      <c r="C591" s="5" t="n"/>
    </row>
    <row r="592">
      <c r="A592" t="n">
        <v>0</v>
      </c>
      <c r="B592" s="5" t="n">
        <v>3.590953235187986</v>
      </c>
      <c r="C592" s="5" t="n"/>
    </row>
    <row r="593">
      <c r="A593" t="n">
        <v>0.6989700043360189</v>
      </c>
      <c r="B593" s="5" t="n">
        <v>3.017450729510536</v>
      </c>
      <c r="C593" s="5" t="n"/>
    </row>
    <row r="594">
      <c r="A594" t="n">
        <v>0</v>
      </c>
      <c r="B594" s="5" t="n">
        <v>4.110589710299249</v>
      </c>
      <c r="C594" s="5" t="n"/>
    </row>
    <row r="595">
      <c r="A595" t="n">
        <v>0.3010299956639812</v>
      </c>
      <c r="B595" s="5" t="n">
        <v>4.479373734640201</v>
      </c>
      <c r="C595" s="5" t="n"/>
    </row>
    <row r="596">
      <c r="A596" t="n">
        <v>0.7781512503836436</v>
      </c>
      <c r="B596" s="5" t="n">
        <v>3.795880017344075</v>
      </c>
      <c r="C596" s="5" t="n"/>
    </row>
    <row r="597">
      <c r="A597" t="n">
        <v>0.7781512503836436</v>
      </c>
      <c r="B597" s="5" t="n">
        <v>4.077367905284157</v>
      </c>
      <c r="C597" s="5" t="n"/>
    </row>
    <row r="598">
      <c r="A598" t="n">
        <v>0.7781512503836436</v>
      </c>
      <c r="B598" s="5" t="n">
        <v>4.077367905284157</v>
      </c>
      <c r="C598" s="5" t="n"/>
    </row>
    <row r="599">
      <c r="A599" t="n">
        <v>0.7781512503836436</v>
      </c>
      <c r="B599" s="5" t="n">
        <v>4.077367905284157</v>
      </c>
      <c r="C599" s="5" t="n"/>
    </row>
    <row r="600">
      <c r="A600" t="n">
        <v>0.3010299956639812</v>
      </c>
      <c r="B600" s="5" t="n">
        <v>2.68841982200271</v>
      </c>
      <c r="C600" s="5" t="n"/>
    </row>
    <row r="601">
      <c r="A601" t="n">
        <v>4.278753600952829</v>
      </c>
      <c r="B601" s="5" t="n">
        <v>0</v>
      </c>
      <c r="C601" s="5" t="n"/>
    </row>
    <row r="602">
      <c r="A602" t="n">
        <v>0.4771212547196624</v>
      </c>
      <c r="B602" s="5" t="n">
        <v>2.47567118832443</v>
      </c>
      <c r="C602" s="5" t="n"/>
    </row>
    <row r="603">
      <c r="A603" t="n">
        <v>3.079181246047625</v>
      </c>
      <c r="B603" s="5" t="n">
        <v>0.4885507165004443</v>
      </c>
      <c r="C603" s="5" t="n"/>
    </row>
    <row r="604">
      <c r="A604" t="n">
        <v>0</v>
      </c>
      <c r="B604" s="5" t="n">
        <v>3.822821645303105</v>
      </c>
      <c r="C604" s="5" t="n"/>
    </row>
    <row r="605">
      <c r="A605" t="n">
        <v>0</v>
      </c>
      <c r="B605" s="5" t="n">
        <v>3.822821645303105</v>
      </c>
      <c r="C605" s="5" t="n"/>
    </row>
    <row r="606">
      <c r="A606" t="n">
        <v>0</v>
      </c>
      <c r="B606" s="5" t="n">
        <v>2.505149978319906</v>
      </c>
      <c r="C606" s="5" t="n"/>
    </row>
    <row r="607">
      <c r="A607" t="n">
        <v>0</v>
      </c>
      <c r="B607" s="5" t="n">
        <v>3.088136088700551</v>
      </c>
      <c r="C607" s="5" t="n"/>
    </row>
    <row r="608">
      <c r="A608" t="n">
        <v>0</v>
      </c>
      <c r="B608" s="5" t="n">
        <v>3.620656479819621</v>
      </c>
      <c r="C608" s="5" t="n"/>
    </row>
    <row r="609">
      <c r="A609" t="n">
        <v>0.3010299956639812</v>
      </c>
      <c r="B609" s="5" t="n">
        <v>3.707570176097936</v>
      </c>
      <c r="C609" s="5" t="n"/>
    </row>
    <row r="610">
      <c r="A610" t="n">
        <v>1.602059991327962</v>
      </c>
      <c r="B610" s="5" t="n">
        <v>4.255272505103306</v>
      </c>
      <c r="C610" s="5" t="n"/>
    </row>
    <row r="611">
      <c r="A611" t="n">
        <v>0.3010299956639812</v>
      </c>
      <c r="B611" s="5" t="n">
        <v>4.460897842756548</v>
      </c>
      <c r="C611" s="5" t="n"/>
    </row>
    <row r="612">
      <c r="A612" t="n">
        <v>0</v>
      </c>
      <c r="B612" s="5" t="n">
        <v>4.527114111639805</v>
      </c>
      <c r="C612" s="5" t="n"/>
    </row>
    <row r="613">
      <c r="A613" t="n">
        <v>0</v>
      </c>
      <c r="B613" s="5" t="n">
        <v>3.982225991674675</v>
      </c>
      <c r="C613" s="5" t="n"/>
    </row>
    <row r="614">
      <c r="A614" t="n">
        <v>0.4771212547196624</v>
      </c>
      <c r="B614" s="5" t="n">
        <v>3.190331698170291</v>
      </c>
      <c r="C614" s="5" t="n"/>
    </row>
    <row r="615">
      <c r="A615" t="n">
        <v>0</v>
      </c>
      <c r="B615" s="5" t="n">
        <v>3.287801729930226</v>
      </c>
      <c r="C615" s="5" t="n"/>
    </row>
    <row r="616">
      <c r="A616" t="n">
        <v>1</v>
      </c>
      <c r="B616" s="5" t="n">
        <v>3.698970004336019</v>
      </c>
      <c r="C616" s="5" t="n"/>
    </row>
    <row r="617">
      <c r="A617" t="n">
        <v>0.6020599913279624</v>
      </c>
      <c r="B617" s="5" t="n">
        <v>3.906173363644049</v>
      </c>
      <c r="C617" s="5" t="n"/>
    </row>
    <row r="618">
      <c r="A618" t="n">
        <v>0</v>
      </c>
      <c r="B618" s="5" t="n">
        <v>4.511214701136388</v>
      </c>
      <c r="C618" s="5" t="n"/>
    </row>
    <row r="619">
      <c r="A619" t="n">
        <v>0</v>
      </c>
      <c r="B619" s="5" t="n">
        <v>4.427161402925965</v>
      </c>
      <c r="C619" s="5" t="n"/>
    </row>
    <row r="620">
      <c r="A620" t="n">
        <v>1.113943352306837</v>
      </c>
      <c r="B620" s="5" t="n">
        <v>2.56092237925747</v>
      </c>
      <c r="C620" s="5" t="n"/>
    </row>
    <row r="621">
      <c r="A621" t="n">
        <v>1</v>
      </c>
      <c r="B621" s="5" t="n">
        <v>3.189333074565897</v>
      </c>
      <c r="C621" s="5" t="n"/>
    </row>
    <row r="622">
      <c r="A622" t="n">
        <v>0.4771212547196624</v>
      </c>
      <c r="B622" s="5" t="n">
        <v>5.066946802039027</v>
      </c>
      <c r="C622" s="5" t="n"/>
    </row>
    <row r="623">
      <c r="A623" t="n">
        <v>0.6020599913279624</v>
      </c>
      <c r="B623" s="5" t="n">
        <v>4.431781772429124</v>
      </c>
      <c r="C623" s="5" t="n"/>
    </row>
    <row r="624">
      <c r="A624" t="n">
        <v>1</v>
      </c>
      <c r="B624" s="5" t="n">
        <v>4.135132651376775</v>
      </c>
      <c r="C624" s="5" t="n"/>
    </row>
    <row r="625">
      <c r="A625" t="n">
        <v>0.6989700043360189</v>
      </c>
      <c r="B625" s="5" t="n">
        <v>4.436162647040756</v>
      </c>
      <c r="C625" s="5" t="n"/>
    </row>
    <row r="626">
      <c r="A626" t="n">
        <v>0</v>
      </c>
      <c r="B626" s="5" t="n">
        <v>4.292699003043929</v>
      </c>
      <c r="C626" s="5" t="n"/>
    </row>
    <row r="627">
      <c r="A627" t="n">
        <v>0.3010299956639812</v>
      </c>
      <c r="B627" s="5" t="n">
        <v>4.497800130281187</v>
      </c>
      <c r="C627" s="5" t="n"/>
    </row>
    <row r="628">
      <c r="A628" t="n">
        <v>1</v>
      </c>
      <c r="B628" s="5" t="n">
        <v>3.691081492122969</v>
      </c>
      <c r="C628" s="5" t="n"/>
    </row>
    <row r="629">
      <c r="A629" t="n">
        <v>0</v>
      </c>
      <c r="B629" s="5" t="n">
        <v>2.924279286061882</v>
      </c>
      <c r="C629" s="5" t="n"/>
    </row>
    <row r="630">
      <c r="A630" t="n">
        <v>0</v>
      </c>
      <c r="B630" s="5" t="n">
        <v>4.060697840353612</v>
      </c>
      <c r="C630" s="5" t="n"/>
    </row>
    <row r="631">
      <c r="A631" t="n">
        <v>0</v>
      </c>
      <c r="B631" s="5" t="n">
        <v>4.649821463224566</v>
      </c>
      <c r="C631" s="5" t="n"/>
    </row>
    <row r="632">
      <c r="A632" t="n">
        <v>0</v>
      </c>
      <c r="B632" s="5" t="n">
        <v>3.511749711344983</v>
      </c>
      <c r="C632" s="5" t="n"/>
    </row>
    <row r="633">
      <c r="A633" t="n">
        <v>0</v>
      </c>
      <c r="B633" s="5" t="n">
        <v>4.599337132992489</v>
      </c>
      <c r="C633" s="5" t="n"/>
    </row>
    <row r="634">
      <c r="A634" t="n">
        <v>0</v>
      </c>
      <c r="B634" s="5" t="n">
        <v>2.105510184769974</v>
      </c>
      <c r="C634" s="5" t="n"/>
    </row>
    <row r="635">
      <c r="A635" t="n">
        <v>0</v>
      </c>
      <c r="B635" s="5" t="n">
        <v>3.792391689498254</v>
      </c>
      <c r="C635" s="5" t="n"/>
    </row>
    <row r="636">
      <c r="A636" t="n">
        <v>1.602059991327962</v>
      </c>
      <c r="B636" s="5" t="n">
        <v>2.778151250383643</v>
      </c>
      <c r="C636" s="5" t="n"/>
    </row>
    <row r="637">
      <c r="A637" t="n">
        <v>0.6020599913279624</v>
      </c>
      <c r="B637" s="5" t="n">
        <v>4.7501225267834</v>
      </c>
      <c r="C637" s="5" t="n"/>
    </row>
    <row r="638">
      <c r="A638" t="n">
        <v>1</v>
      </c>
      <c r="B638" s="5" t="n">
        <v>3.706547102640358</v>
      </c>
      <c r="C638" s="5" t="n"/>
    </row>
    <row r="639">
      <c r="A639" t="n">
        <v>0.7781512503836436</v>
      </c>
      <c r="B639" s="5" t="n">
        <v>2.252853030979893</v>
      </c>
      <c r="C639" s="5" t="n"/>
    </row>
    <row r="640">
      <c r="A640" t="n">
        <v>0</v>
      </c>
      <c r="B640" s="5" t="n">
        <v>4.371067862271736</v>
      </c>
      <c r="C640" s="5" t="n"/>
    </row>
    <row r="641">
      <c r="A641" t="n">
        <v>0.6020599913279624</v>
      </c>
      <c r="B641" s="5" t="n">
        <v>4.441302286693167</v>
      </c>
      <c r="C641" s="5" t="n"/>
    </row>
    <row r="642">
      <c r="A642" t="n">
        <v>0.3010299956639812</v>
      </c>
      <c r="B642" s="5" t="n">
        <v>2.431363764158987</v>
      </c>
      <c r="C642" s="5" t="n"/>
    </row>
    <row r="643">
      <c r="A643" t="n">
        <v>0.3010299956639812</v>
      </c>
      <c r="B643" s="5" t="n">
        <v>3.199755177253475</v>
      </c>
      <c r="C643" s="5" t="n"/>
    </row>
    <row r="644">
      <c r="A644" t="n">
        <v>0</v>
      </c>
      <c r="B644" s="5" t="n">
        <v>4.255272505103306</v>
      </c>
      <c r="C644" s="5" t="n"/>
    </row>
    <row r="645">
      <c r="A645" t="n">
        <v>1</v>
      </c>
      <c r="B645" s="5" t="n">
        <v>4.462397997898957</v>
      </c>
      <c r="C645" s="5" t="n"/>
    </row>
    <row r="646">
      <c r="A646" t="n">
        <v>2.301029995663981</v>
      </c>
      <c r="B646" s="5" t="n">
        <v>2.649821463224565</v>
      </c>
      <c r="C646" s="5" t="n"/>
    </row>
    <row r="647">
      <c r="A647" t="n">
        <v>0.6989700043360189</v>
      </c>
      <c r="B647" s="5" t="n">
        <v>3.968482948553935</v>
      </c>
      <c r="C647" s="5" t="n"/>
    </row>
    <row r="648">
      <c r="A648" t="n">
        <v>0</v>
      </c>
      <c r="B648" s="5" t="n">
        <v>4.289588952542597</v>
      </c>
      <c r="C648" s="5" t="n"/>
    </row>
    <row r="649">
      <c r="A649" t="n">
        <v>0</v>
      </c>
      <c r="B649" s="5" t="n">
        <v>4.289588952542597</v>
      </c>
      <c r="C649" s="5" t="n"/>
    </row>
    <row r="650">
      <c r="A650" t="n">
        <v>0</v>
      </c>
      <c r="B650" s="5" t="n">
        <v>3.90848501887865</v>
      </c>
      <c r="C650" s="5" t="n"/>
    </row>
    <row r="651">
      <c r="A651" t="n">
        <v>0.3010299956639812</v>
      </c>
      <c r="B651" s="5" t="n">
        <v>5.111951057093561</v>
      </c>
      <c r="C651" s="5" t="n"/>
    </row>
    <row r="652">
      <c r="A652" t="n">
        <v>0</v>
      </c>
      <c r="B652" s="5" t="n">
        <v>4.352182518111363</v>
      </c>
      <c r="C652" s="5" t="n"/>
    </row>
    <row r="653">
      <c r="A653" t="n">
        <v>0</v>
      </c>
      <c r="B653" s="5" t="n">
        <v>4.433049411616613</v>
      </c>
      <c r="C653" s="5" t="n"/>
    </row>
    <row r="654">
      <c r="A654" t="n">
        <v>1.176091259055681</v>
      </c>
      <c r="B654" s="5" t="n">
        <v>4.406846633097667</v>
      </c>
      <c r="C654" s="5" t="n"/>
    </row>
    <row r="655">
      <c r="A655" t="n">
        <v>0.6020599913279624</v>
      </c>
      <c r="B655" s="5" t="n">
        <v>3.833656996892872</v>
      </c>
      <c r="C655" s="5" t="n"/>
    </row>
    <row r="656">
      <c r="A656" t="n">
        <v>0.6020599913279624</v>
      </c>
      <c r="B656" s="5" t="n">
        <v>2.301029995663981</v>
      </c>
      <c r="C656" s="5" t="n"/>
    </row>
    <row r="657">
      <c r="A657" t="n">
        <v>1.301029995663981</v>
      </c>
      <c r="B657" s="5" t="n">
        <v>4.146097013535869</v>
      </c>
      <c r="C657" s="5" t="n"/>
    </row>
    <row r="658">
      <c r="A658" t="n">
        <v>0.3010299956639812</v>
      </c>
      <c r="B658" s="5" t="n">
        <v>1.725012725341157</v>
      </c>
      <c r="C658" s="5" t="n"/>
    </row>
    <row r="659">
      <c r="A659" t="n">
        <v>0.6020599913279624</v>
      </c>
      <c r="B659" s="5" t="n">
        <v>3.999956568380192</v>
      </c>
      <c r="C659" s="5" t="n"/>
    </row>
    <row r="660">
      <c r="A660" t="n">
        <v>0.3010299956639812</v>
      </c>
      <c r="B660" s="5" t="n">
        <v>3.995196291597179</v>
      </c>
      <c r="C660" s="5" t="n"/>
    </row>
    <row r="661">
      <c r="A661" t="n">
        <v>0</v>
      </c>
      <c r="B661" s="5" t="n">
        <v>3.759667844689631</v>
      </c>
      <c r="C661" s="5" t="n"/>
    </row>
    <row r="662">
      <c r="A662" t="n">
        <v>0</v>
      </c>
      <c r="B662" s="5" t="n">
        <v>4.236411287743967</v>
      </c>
      <c r="C662" s="5" t="n"/>
    </row>
    <row r="663">
      <c r="A663" t="n">
        <v>0</v>
      </c>
      <c r="B663" s="5" t="n">
        <v>4.100370545117562</v>
      </c>
      <c r="C663" s="5" t="n"/>
    </row>
    <row r="664">
      <c r="A664" t="n">
        <v>0</v>
      </c>
      <c r="B664" s="5" t="n">
        <v>4.186956335465412</v>
      </c>
      <c r="C664" s="5" t="n"/>
    </row>
    <row r="665">
      <c r="A665" t="n">
        <v>0</v>
      </c>
      <c r="B665" s="5" t="n">
        <v>4.186956335465412</v>
      </c>
      <c r="C665" s="5" t="n"/>
    </row>
    <row r="666">
      <c r="A666" t="n">
        <v>0.3010299956639812</v>
      </c>
      <c r="B666" s="5" t="n">
        <v>3.698970004336019</v>
      </c>
      <c r="C666" s="5" t="n"/>
    </row>
    <row r="667">
      <c r="A667" t="n">
        <v>0.3010299956639812</v>
      </c>
      <c r="B667" s="5" t="n">
        <v>3.389166084364533</v>
      </c>
      <c r="C667" s="5" t="n"/>
    </row>
    <row r="668">
      <c r="A668" t="n">
        <v>1</v>
      </c>
      <c r="B668" s="5" t="n">
        <v>4.394661772492928</v>
      </c>
      <c r="C668" s="5" t="n"/>
    </row>
    <row r="669">
      <c r="A669" t="n">
        <v>0</v>
      </c>
      <c r="B669" s="5" t="n">
        <v>3.77451696572855</v>
      </c>
      <c r="C669" s="5" t="n"/>
    </row>
    <row r="670">
      <c r="A670" t="n">
        <v>0</v>
      </c>
      <c r="B670" s="5" t="n">
        <v>3.175801632848279</v>
      </c>
      <c r="C670" s="5" t="n"/>
    </row>
    <row r="671">
      <c r="A671" t="n">
        <v>0</v>
      </c>
      <c r="B671" s="5" t="n">
        <v>3.23426412437879</v>
      </c>
      <c r="C671" s="5" t="n"/>
    </row>
    <row r="672">
      <c r="A672" t="n">
        <v>0</v>
      </c>
      <c r="B672" s="5" t="n">
        <v>4.300378064870703</v>
      </c>
      <c r="C672" s="5" t="n"/>
    </row>
    <row r="673">
      <c r="A673" t="n">
        <v>0</v>
      </c>
      <c r="B673" s="5" t="n">
        <v>4.479416937274596</v>
      </c>
      <c r="C673" s="5" t="n"/>
    </row>
    <row r="674">
      <c r="A674" t="n">
        <v>0.4771212547196624</v>
      </c>
      <c r="B674" s="5" t="n">
        <v>4.002295682554934</v>
      </c>
      <c r="C674" s="5" t="n"/>
    </row>
    <row r="675">
      <c r="A675" t="n">
        <v>0</v>
      </c>
      <c r="B675" s="5" t="n">
        <v>2.845098040014257</v>
      </c>
      <c r="C675" s="5" t="n"/>
    </row>
    <row r="676">
      <c r="A676" t="n">
        <v>0.3010299956639812</v>
      </c>
      <c r="B676" s="5" t="n">
        <v>4.365263291698734</v>
      </c>
      <c r="C676" s="5" t="n"/>
    </row>
    <row r="677">
      <c r="A677" t="n">
        <v>0</v>
      </c>
      <c r="B677" s="5" t="n">
        <v>4.666293287362715</v>
      </c>
      <c r="C677" s="5" t="n"/>
    </row>
    <row r="678">
      <c r="A678" t="n">
        <v>0</v>
      </c>
      <c r="B678" s="5" t="n">
        <v>3.361350024352266</v>
      </c>
      <c r="C678" s="5" t="n"/>
    </row>
    <row r="679">
      <c r="A679" t="n">
        <v>0.3010299956639812</v>
      </c>
      <c r="B679" s="5" t="n">
        <v>3.690196080028514</v>
      </c>
      <c r="C679" s="5" t="n"/>
    </row>
    <row r="680">
      <c r="A680" t="n">
        <v>0</v>
      </c>
      <c r="B680" s="5" t="n">
        <v>3.088136088700551</v>
      </c>
      <c r="C680" s="5" t="n"/>
    </row>
    <row r="681">
      <c r="A681" t="n">
        <v>0</v>
      </c>
      <c r="B681" s="5" t="n">
        <v>3.218797998111738</v>
      </c>
      <c r="C681" s="5" t="n"/>
    </row>
    <row r="682">
      <c r="A682" t="n">
        <v>0</v>
      </c>
      <c r="B682" s="5" t="n">
        <v>3.511883360978874</v>
      </c>
      <c r="C682" s="5" t="n"/>
    </row>
    <row r="683">
      <c r="A683" t="n">
        <v>0</v>
      </c>
      <c r="B683" s="5" t="n">
        <v>4.0068937079479</v>
      </c>
      <c r="C683" s="5" t="n"/>
    </row>
    <row r="684">
      <c r="A684" t="n">
        <v>0.6020599913279624</v>
      </c>
      <c r="B684" s="5" t="n">
        <v>4.740362689494244</v>
      </c>
      <c r="C684" s="5" t="n"/>
    </row>
    <row r="685">
      <c r="A685" t="n">
        <v>0.3010299956639812</v>
      </c>
      <c r="B685" s="5" t="n">
        <v>4.571848528742901</v>
      </c>
      <c r="C685" s="5" t="n"/>
    </row>
    <row r="686">
      <c r="A686" t="n">
        <v>0</v>
      </c>
      <c r="B686" s="5" t="n">
        <v>3.176091259055681</v>
      </c>
      <c r="C686" s="5" t="n"/>
    </row>
    <row r="687">
      <c r="A687" t="n">
        <v>0</v>
      </c>
      <c r="B687" s="5" t="n">
        <v>3.973127853599699</v>
      </c>
      <c r="C687" s="5" t="n"/>
    </row>
    <row r="688">
      <c r="A688" t="n">
        <v>0.4771212547196624</v>
      </c>
      <c r="B688" s="5" t="n">
        <v>4.412740522504306</v>
      </c>
      <c r="C688" s="5" t="n"/>
    </row>
    <row r="689">
      <c r="A689" t="n">
        <v>0.3010299956639812</v>
      </c>
      <c r="B689" s="5" t="n">
        <v>3.39776625612645</v>
      </c>
      <c r="C689" s="5" t="n"/>
    </row>
    <row r="690">
      <c r="A690" t="n">
        <v>0</v>
      </c>
      <c r="B690" s="5" t="n">
        <v>4.257678574869185</v>
      </c>
      <c r="C690" s="5" t="n"/>
    </row>
    <row r="691">
      <c r="A691" t="n">
        <v>0</v>
      </c>
      <c r="B691" s="5" t="n">
        <v>4.629409599102719</v>
      </c>
      <c r="C691" s="5" t="n"/>
    </row>
    <row r="692">
      <c r="A692" t="n">
        <v>0</v>
      </c>
      <c r="B692" s="5" t="n">
        <v>3.841505253785511</v>
      </c>
      <c r="C692" s="5" t="n"/>
    </row>
    <row r="693">
      <c r="A693" t="n">
        <v>0.3010299956639812</v>
      </c>
      <c r="B693" s="5" t="n">
        <v>3.739491648361235</v>
      </c>
      <c r="C693" s="5" t="n"/>
    </row>
    <row r="694">
      <c r="A694" t="n">
        <v>1</v>
      </c>
      <c r="B694" s="5" t="n">
        <v>3.040523226445596</v>
      </c>
      <c r="C694" s="5" t="n"/>
    </row>
    <row r="695">
      <c r="A695" t="n">
        <v>0.3010299956639812</v>
      </c>
      <c r="B695" s="5" t="n">
        <v>4.139879086401237</v>
      </c>
      <c r="C695" s="5" t="n"/>
    </row>
    <row r="696">
      <c r="A696" t="n">
        <v>0.9030899869919435</v>
      </c>
      <c r="B696" s="5" t="n">
        <v>2.573451822035485</v>
      </c>
      <c r="C696" s="5" t="n"/>
    </row>
    <row r="697">
      <c r="A697" t="n">
        <v>1.977723605288848</v>
      </c>
      <c r="B697" s="5" t="n">
        <v>2.123688341667586</v>
      </c>
      <c r="C697" s="5" t="n"/>
    </row>
    <row r="698">
      <c r="A698" t="n">
        <v>1.176091259055681</v>
      </c>
      <c r="B698" s="5" t="n">
        <v>2.92531209149965</v>
      </c>
      <c r="C698" s="5" t="n"/>
    </row>
    <row r="699">
      <c r="A699" t="n">
        <v>0.6989700043360189</v>
      </c>
      <c r="B699" s="5" t="n">
        <v>3.402433346219312</v>
      </c>
      <c r="C699" s="5" t="n"/>
    </row>
    <row r="700">
      <c r="A700" t="n">
        <v>0</v>
      </c>
      <c r="B700" s="5" t="n">
        <v>4.101403350555331</v>
      </c>
      <c r="C700" s="5" t="n"/>
    </row>
    <row r="701">
      <c r="A701" t="n">
        <v>0</v>
      </c>
      <c r="B701" s="5" t="n">
        <v>3.507855871695831</v>
      </c>
      <c r="C701" s="5" t="n"/>
    </row>
    <row r="702">
      <c r="A702" t="n">
        <v>0.4771212547196624</v>
      </c>
      <c r="B702" s="5" t="n">
        <v>3.030733268233447</v>
      </c>
      <c r="C702" s="5" t="n"/>
    </row>
    <row r="703">
      <c r="A703" t="n">
        <v>0</v>
      </c>
      <c r="B703" s="5" t="n">
        <v>4.135768514567823</v>
      </c>
      <c r="C703" s="5" t="n"/>
    </row>
    <row r="704">
      <c r="A704" t="n">
        <v>0</v>
      </c>
      <c r="B704" s="5" t="n">
        <v>3.478566495593844</v>
      </c>
      <c r="C704" s="5" t="n"/>
    </row>
    <row r="705">
      <c r="A705" t="n">
        <v>0</v>
      </c>
      <c r="B705" s="5" t="n">
        <v>2.591064607026499</v>
      </c>
      <c r="C705" s="5" t="n"/>
    </row>
    <row r="706">
      <c r="A706" t="n">
        <v>1</v>
      </c>
      <c r="B706" s="5" t="n">
        <v>2.54282542695918</v>
      </c>
      <c r="C706" s="5" t="n"/>
    </row>
    <row r="707">
      <c r="A707" t="n">
        <v>0.6020599913279624</v>
      </c>
      <c r="B707" s="5" t="n">
        <v>4.527114111639805</v>
      </c>
      <c r="C707" s="5" t="n"/>
    </row>
    <row r="708">
      <c r="A708" t="n">
        <v>0</v>
      </c>
      <c r="B708" s="5" t="n">
        <v>3.13332490175185</v>
      </c>
      <c r="C708" s="5" t="n"/>
    </row>
    <row r="709">
      <c r="A709" t="n">
        <v>0</v>
      </c>
      <c r="B709" s="5" t="n">
        <v>3.653212513775344</v>
      </c>
      <c r="C709" s="5" t="n"/>
    </row>
    <row r="710">
      <c r="A710" t="n">
        <v>0.4771212547196624</v>
      </c>
      <c r="B710" s="5" t="n">
        <v>3.851686315442428</v>
      </c>
      <c r="C710" s="5" t="n"/>
    </row>
    <row r="711">
      <c r="A711" t="n">
        <v>0</v>
      </c>
      <c r="B711" s="5" t="n">
        <v>4.32880757016209</v>
      </c>
      <c r="C711" s="5" t="n"/>
    </row>
    <row r="712">
      <c r="A712" t="n">
        <v>0</v>
      </c>
      <c r="B712" s="5" t="n">
        <v>2.829271601677863</v>
      </c>
      <c r="C712" s="5" t="n"/>
    </row>
    <row r="713">
      <c r="A713" t="n">
        <v>0</v>
      </c>
      <c r="B713" s="5" t="n">
        <v>4.079181246047625</v>
      </c>
      <c r="C713" s="5" t="n"/>
    </row>
    <row r="714">
      <c r="A714" t="n">
        <v>0.4771212547196624</v>
      </c>
      <c r="B714" s="5" t="n">
        <v>4.504470862494419</v>
      </c>
      <c r="C714" s="5" t="n"/>
    </row>
    <row r="715">
      <c r="A715" t="n">
        <v>0</v>
      </c>
      <c r="B715" s="5" t="n">
        <v>5</v>
      </c>
      <c r="C715" s="5" t="n"/>
    </row>
    <row r="716">
      <c r="A716" t="n">
        <v>0</v>
      </c>
      <c r="B716" s="5" t="n">
        <v>3.079181246047625</v>
      </c>
      <c r="C716" s="5" t="n"/>
    </row>
    <row r="717">
      <c r="A717" t="n">
        <v>0</v>
      </c>
      <c r="B717" s="5" t="n">
        <v>3.665205628434601</v>
      </c>
      <c r="C717" s="5" t="n"/>
    </row>
    <row r="718">
      <c r="A718" t="n">
        <v>0.3010299956639812</v>
      </c>
      <c r="B718" s="5" t="n">
        <v>3.364175632770619</v>
      </c>
      <c r="C718" s="5" t="n"/>
    </row>
    <row r="719">
      <c r="A719" t="n">
        <v>0.3010299956639812</v>
      </c>
      <c r="B719" s="5" t="n">
        <v>3.364175632770619</v>
      </c>
      <c r="C719" s="5" t="n"/>
    </row>
    <row r="720">
      <c r="A720" t="n">
        <v>0.3010299956639812</v>
      </c>
      <c r="B720" s="5" t="n">
        <v>3.364175632770619</v>
      </c>
      <c r="C720" s="5" t="n"/>
    </row>
    <row r="721">
      <c r="A721" t="n">
        <v>1</v>
      </c>
      <c r="B721" s="5" t="n">
        <v>3.991226075692495</v>
      </c>
      <c r="C721" s="5" t="n"/>
    </row>
    <row r="722">
      <c r="A722" t="n">
        <v>0</v>
      </c>
      <c r="B722" s="5" t="n">
        <v>3.873669292706794</v>
      </c>
      <c r="C722" s="5" t="n"/>
    </row>
    <row r="723">
      <c r="A723" t="n">
        <v>0.7781512503836436</v>
      </c>
      <c r="B723" s="5" t="n">
        <v>3.095518042323151</v>
      </c>
      <c r="C723" s="5" t="n"/>
    </row>
    <row r="724">
      <c r="A724" t="n">
        <v>0</v>
      </c>
      <c r="B724" s="5" t="n">
        <v>3.873669292706794</v>
      </c>
      <c r="C724" s="5" t="n"/>
    </row>
    <row r="725">
      <c r="A725" t="n">
        <v>0.3010299956639812</v>
      </c>
      <c r="B725" s="5" t="n">
        <v>3.572639297042813</v>
      </c>
      <c r="C725" s="5" t="n"/>
    </row>
    <row r="726">
      <c r="A726" t="n">
        <v>1</v>
      </c>
      <c r="B726" s="5" t="n">
        <v>3.893761762057943</v>
      </c>
      <c r="C726" s="5" t="n"/>
    </row>
    <row r="727">
      <c r="A727" t="n">
        <v>0</v>
      </c>
      <c r="B727" s="5" t="n">
        <v>3.088136088700551</v>
      </c>
      <c r="C727" s="5" t="n"/>
    </row>
    <row r="728">
      <c r="A728" t="n">
        <v>0.4771212547196624</v>
      </c>
      <c r="B728" s="5" t="n">
        <v>4.240948416033038</v>
      </c>
      <c r="C728" s="5" t="n"/>
    </row>
    <row r="729">
      <c r="A729" t="n">
        <v>0.3010299956639812</v>
      </c>
      <c r="B729" s="5" t="n">
        <v>4.417039675088719</v>
      </c>
      <c r="C729" s="5" t="n"/>
    </row>
    <row r="730">
      <c r="A730" t="n">
        <v>0</v>
      </c>
      <c r="B730" s="5" t="n">
        <v>4.068705219691942</v>
      </c>
      <c r="C730" s="5" t="n"/>
    </row>
    <row r="731">
      <c r="A731" t="n">
        <v>0</v>
      </c>
      <c r="B731" s="5" t="n">
        <v>4.146128035678238</v>
      </c>
      <c r="C731" s="5" t="n"/>
    </row>
    <row r="732">
      <c r="A732" t="n">
        <v>0.3010299956639812</v>
      </c>
      <c r="B732" s="5" t="n">
        <v>3.707570176097936</v>
      </c>
      <c r="C732" s="5" t="n"/>
    </row>
    <row r="733">
      <c r="A733" t="n">
        <v>0.7781512503836436</v>
      </c>
      <c r="B733" s="5" t="n">
        <v>4.220979203870757</v>
      </c>
      <c r="C733" s="5" t="n"/>
    </row>
    <row r="734">
      <c r="A734" t="n">
        <v>0.4771212547196624</v>
      </c>
      <c r="B734" s="5" t="n">
        <v>4.113943352306837</v>
      </c>
      <c r="C734" s="5" t="n"/>
    </row>
    <row r="735">
      <c r="A735" t="n">
        <v>0</v>
      </c>
      <c r="B735" s="5" t="n">
        <v>2.8750612633917</v>
      </c>
      <c r="C735" s="5" t="n"/>
    </row>
    <row r="736">
      <c r="A736" t="n">
        <v>0.3010299956639812</v>
      </c>
      <c r="B736" s="5" t="n">
        <v>3.021189299069938</v>
      </c>
      <c r="C736" s="5" t="n"/>
    </row>
    <row r="737">
      <c r="A737" t="n">
        <v>0</v>
      </c>
      <c r="B737" s="5" t="n">
        <v>3.970811610872518</v>
      </c>
      <c r="C737" s="5" t="n"/>
    </row>
    <row r="738">
      <c r="A738" t="n">
        <v>0.3010299956639812</v>
      </c>
      <c r="B738" s="5" t="n">
        <v>4.256477206241676</v>
      </c>
      <c r="C738" s="5" t="n"/>
    </row>
    <row r="739">
      <c r="A739" t="n">
        <v>1.698970004336019</v>
      </c>
      <c r="B739" s="5" t="n">
        <v>2.012837224705172</v>
      </c>
      <c r="C739" s="5" t="n"/>
    </row>
    <row r="740">
      <c r="A740" t="n">
        <v>0</v>
      </c>
      <c r="B740" s="5" t="n">
        <v>2.45484486000851</v>
      </c>
      <c r="C740" s="5" t="n"/>
    </row>
    <row r="741">
      <c r="A741" t="n">
        <v>0</v>
      </c>
      <c r="B741" s="5" t="n">
        <v>4.260071387985075</v>
      </c>
      <c r="C741" s="5" t="n"/>
    </row>
    <row r="742">
      <c r="A742" t="n">
        <v>0</v>
      </c>
      <c r="B742" s="5" t="n">
        <v>4.260071387985075</v>
      </c>
      <c r="C742" s="5" t="n"/>
    </row>
    <row r="743">
      <c r="A743" t="n">
        <v>0</v>
      </c>
      <c r="B743" s="5" t="n">
        <v>4.260071387985075</v>
      </c>
      <c r="C743" s="5" t="n"/>
    </row>
    <row r="744">
      <c r="A744" t="n">
        <v>0</v>
      </c>
      <c r="B744" s="5" t="n">
        <v>3.633468455579587</v>
      </c>
      <c r="C744" s="5" t="n"/>
    </row>
    <row r="745">
      <c r="A745" t="n">
        <v>0</v>
      </c>
      <c r="B745" s="5" t="n">
        <v>3.633468455579587</v>
      </c>
      <c r="C745" s="5" t="n"/>
    </row>
    <row r="746">
      <c r="A746" t="n">
        <v>1</v>
      </c>
      <c r="B746" s="5" t="n">
        <v>4.079181246047625</v>
      </c>
      <c r="C746" s="5" t="n"/>
    </row>
    <row r="747">
      <c r="A747" t="n">
        <v>0</v>
      </c>
      <c r="B747" s="5" t="n">
        <v>2.785329835010767</v>
      </c>
      <c r="C747" s="5" t="n"/>
    </row>
    <row r="748">
      <c r="A748" t="n">
        <v>0.3010299956639812</v>
      </c>
      <c r="B748" s="5" t="n">
        <v>2.600972895686748</v>
      </c>
      <c r="C748" s="5" t="n"/>
    </row>
    <row r="749">
      <c r="A749" t="n">
        <v>0</v>
      </c>
      <c r="B749" s="5" t="n">
        <v>3.494154594018443</v>
      </c>
      <c r="C749" s="5" t="n"/>
    </row>
    <row r="750">
      <c r="A750" t="n">
        <v>0.6020599913279624</v>
      </c>
      <c r="B750" s="5" t="n">
        <v>4.662757831681574</v>
      </c>
      <c r="C750" s="5" t="n"/>
    </row>
    <row r="751">
      <c r="A751" t="n">
        <v>0</v>
      </c>
      <c r="B751" s="5" t="n">
        <v>3.924279286061882</v>
      </c>
      <c r="C751" s="5" t="n"/>
    </row>
    <row r="752">
      <c r="A752" t="n">
        <v>0</v>
      </c>
      <c r="B752" s="5" t="n">
        <v>3.462397997898956</v>
      </c>
      <c r="C752" s="5" t="n"/>
    </row>
    <row r="753">
      <c r="A753" t="n">
        <v>0</v>
      </c>
      <c r="B753" s="5" t="n">
        <v>3.49789674291322</v>
      </c>
      <c r="C753" s="5" t="n"/>
    </row>
    <row r="754">
      <c r="A754" t="n">
        <v>0.4771212547196624</v>
      </c>
      <c r="B754" s="5" t="n">
        <v>4.447158031342219</v>
      </c>
      <c r="C754" s="5" t="n"/>
    </row>
    <row r="755">
      <c r="A755" t="n">
        <v>1</v>
      </c>
      <c r="B755" s="5" t="n">
        <v>2.732393759822969</v>
      </c>
      <c r="C755" s="5" t="n"/>
    </row>
    <row r="756">
      <c r="A756" t="n">
        <v>0</v>
      </c>
      <c r="B756" s="5" t="n">
        <v>5.431363764158987</v>
      </c>
      <c r="C756" s="5" t="n"/>
    </row>
    <row r="757">
      <c r="A757" t="n">
        <v>0.3010299956639812</v>
      </c>
      <c r="B757" s="5" t="n">
        <v>5.130333768495007</v>
      </c>
      <c r="C757" s="5" t="n"/>
    </row>
    <row r="758">
      <c r="A758" t="n">
        <v>0</v>
      </c>
      <c r="B758" s="5" t="n">
        <v>3.221414237842338</v>
      </c>
      <c r="C758" s="5" t="n"/>
    </row>
    <row r="759">
      <c r="A759" t="n">
        <v>0</v>
      </c>
      <c r="B759" s="5" t="n">
        <v>3.976808337338066</v>
      </c>
      <c r="C759" s="5" t="n"/>
    </row>
    <row r="760">
      <c r="A760" t="n">
        <v>0</v>
      </c>
      <c r="B760" s="5" t="n">
        <v>4.332438459915605</v>
      </c>
      <c r="C760" s="5" t="n"/>
    </row>
    <row r="761">
      <c r="A761" t="n">
        <v>0.4771212547196624</v>
      </c>
      <c r="B761" s="5" t="n">
        <v>4</v>
      </c>
      <c r="C761" s="5" t="n"/>
    </row>
    <row r="762">
      <c r="A762" t="n">
        <v>0.3010299956639812</v>
      </c>
      <c r="B762" s="5" t="n">
        <v>3.447158031342219</v>
      </c>
      <c r="C762" s="5" t="n"/>
    </row>
    <row r="763">
      <c r="A763" t="n">
        <v>0.4771212547196624</v>
      </c>
      <c r="B763" s="5" t="n">
        <v>2.491361693834273</v>
      </c>
      <c r="C763" s="5" t="n"/>
    </row>
    <row r="764">
      <c r="A764" t="n">
        <v>0.3010299956639812</v>
      </c>
      <c r="B764" s="5" t="n">
        <v>4.875824949832741</v>
      </c>
      <c r="C764" s="5" t="n"/>
    </row>
    <row r="765">
      <c r="A765" t="n">
        <v>0</v>
      </c>
      <c r="B765" s="5" t="n">
        <v>4.023663918197793</v>
      </c>
      <c r="C765" s="5" t="n"/>
    </row>
    <row r="766">
      <c r="A766" t="n">
        <v>0</v>
      </c>
      <c r="B766" s="5" t="n">
        <v>3.752048447819439</v>
      </c>
      <c r="C766" s="5" t="n"/>
    </row>
    <row r="767">
      <c r="A767" t="n">
        <v>0</v>
      </c>
      <c r="B767" s="5" t="n">
        <v>4.396913514107659</v>
      </c>
      <c r="C767" s="5" t="n"/>
    </row>
    <row r="768">
      <c r="A768" t="n">
        <v>0.6989700043360189</v>
      </c>
      <c r="B768" s="5" t="n">
        <v>3.380211241711606</v>
      </c>
      <c r="C768" s="5" t="n"/>
    </row>
    <row r="769">
      <c r="A769" t="n">
        <v>0</v>
      </c>
      <c r="B769" s="5" t="n">
        <v>2.518513939877888</v>
      </c>
      <c r="C769" s="5" t="n"/>
    </row>
    <row r="770">
      <c r="A770" t="n">
        <v>0</v>
      </c>
      <c r="B770" s="5" t="n">
        <v>3.592398846115564</v>
      </c>
      <c r="C770" s="5" t="n"/>
    </row>
    <row r="771">
      <c r="A771" t="n">
        <v>0</v>
      </c>
      <c r="B771" s="5" t="n">
        <v>3.729812507160936</v>
      </c>
      <c r="C771" s="5" t="n"/>
    </row>
    <row r="772">
      <c r="A772" t="n">
        <v>2.929418925714293</v>
      </c>
      <c r="B772" s="5" t="n">
        <v>1.142702245737616</v>
      </c>
      <c r="C772" s="5" t="n"/>
    </row>
    <row r="773">
      <c r="A773" t="n">
        <v>3</v>
      </c>
      <c r="B773" s="5" t="n">
        <v>1.071882007306125</v>
      </c>
      <c r="C773" s="5" t="n"/>
    </row>
    <row r="774">
      <c r="A774" t="n">
        <v>0</v>
      </c>
      <c r="B774" s="5" t="n">
        <v>4.128722284338426</v>
      </c>
      <c r="C774" s="5" t="n"/>
    </row>
    <row r="775">
      <c r="A775" t="n">
        <v>0.3010299956639812</v>
      </c>
      <c r="B775" s="5" t="n">
        <v>4.213783299335304</v>
      </c>
      <c r="C775" s="5" t="n"/>
    </row>
    <row r="776">
      <c r="A776" t="n">
        <v>1.342422680822206</v>
      </c>
      <c r="B776" s="5" t="n">
        <v>2.611818863517198</v>
      </c>
      <c r="C776" s="5" t="n"/>
    </row>
    <row r="777">
      <c r="A777" t="n">
        <v>1.079181246047625</v>
      </c>
      <c r="B777" s="5" t="n">
        <v>2.8750612633917</v>
      </c>
      <c r="C777" s="5" t="n"/>
    </row>
    <row r="778">
      <c r="A778" t="n">
        <v>0.6020599913279624</v>
      </c>
      <c r="B778" s="5" t="n">
        <v>4.681241237375588</v>
      </c>
      <c r="C778" s="5" t="n"/>
    </row>
    <row r="779">
      <c r="A779" t="n">
        <v>2</v>
      </c>
      <c r="B779" s="5" t="n">
        <v>2.622214022966295</v>
      </c>
      <c r="C779" s="5" t="n"/>
    </row>
    <row r="780">
      <c r="A780" t="n">
        <v>0.4771212547196624</v>
      </c>
      <c r="B780" s="5" t="n">
        <v>3.355643050220869</v>
      </c>
      <c r="C780" s="5" t="n"/>
    </row>
    <row r="781">
      <c r="A781" t="n">
        <v>0</v>
      </c>
      <c r="B781" s="5" t="n">
        <v>4.503790683057181</v>
      </c>
      <c r="C781" s="5" t="n"/>
    </row>
    <row r="782">
      <c r="A782" t="n">
        <v>0.3010299956639812</v>
      </c>
      <c r="B782" s="5" t="n">
        <v>4.19728055812562</v>
      </c>
      <c r="C782" s="5" t="n"/>
    </row>
    <row r="783">
      <c r="A783" t="n">
        <v>0.3010299956639812</v>
      </c>
      <c r="B783" s="5" t="n">
        <v>3.843849200594609</v>
      </c>
      <c r="C783" s="5" t="n"/>
    </row>
    <row r="784">
      <c r="A784" t="n">
        <v>0.8450980400142568</v>
      </c>
      <c r="B784" s="5" t="n">
        <v>3.020369570631256</v>
      </c>
      <c r="C784" s="5" t="n"/>
    </row>
    <row r="785">
      <c r="A785" t="n">
        <v>0.6989700043360189</v>
      </c>
      <c r="B785" s="5" t="n">
        <v>4.077731179652392</v>
      </c>
      <c r="C785" s="5" t="n"/>
    </row>
    <row r="786">
      <c r="A786" t="n">
        <v>0</v>
      </c>
      <c r="B786" s="5" t="n">
        <v>4.776701183988411</v>
      </c>
      <c r="C786" s="5" t="n"/>
    </row>
    <row r="787">
      <c r="A787" t="n">
        <v>0</v>
      </c>
      <c r="B787" s="5" t="n">
        <v>4.274180949419634</v>
      </c>
      <c r="C787" s="5" t="n"/>
    </row>
    <row r="788">
      <c r="A788" t="n">
        <v>0.3010299956639812</v>
      </c>
      <c r="B788" s="5" t="n">
        <v>2.397940008672037</v>
      </c>
      <c r="C788" s="5" t="n"/>
    </row>
    <row r="789">
      <c r="A789" t="n">
        <v>0</v>
      </c>
      <c r="B789" s="5" t="n">
        <v>3.612677918316502</v>
      </c>
      <c r="C789" s="5" t="n"/>
    </row>
    <row r="790">
      <c r="A790" t="n">
        <v>0.6989700043360189</v>
      </c>
      <c r="B790" s="5" t="n">
        <v>3.041392685158225</v>
      </c>
      <c r="C790" s="5" t="n"/>
    </row>
    <row r="791">
      <c r="A791" t="n">
        <v>0.8450980400142568</v>
      </c>
      <c r="B791" s="5" t="n">
        <v>2.45484486000851</v>
      </c>
      <c r="C791" s="5" t="n"/>
    </row>
    <row r="792">
      <c r="A792" t="n">
        <v>0</v>
      </c>
      <c r="B792" s="5" t="n">
        <v>4.02938377768521</v>
      </c>
      <c r="C792" s="5" t="n"/>
    </row>
    <row r="793">
      <c r="A793" t="n">
        <v>0.3010299956639812</v>
      </c>
      <c r="B793" s="5" t="n">
        <v>4.602385590105105</v>
      </c>
      <c r="C793" s="5" t="n"/>
    </row>
    <row r="794">
      <c r="A794" t="n">
        <v>0.6020599913279624</v>
      </c>
      <c r="B794" s="5" t="n">
        <v>3.021189299069938</v>
      </c>
      <c r="C794" s="5" t="n"/>
    </row>
    <row r="795">
      <c r="A795" t="n">
        <v>0.6989700043360189</v>
      </c>
      <c r="B795" s="5" t="n">
        <v>3.372912002970107</v>
      </c>
      <c r="C795" s="5" t="n"/>
    </row>
    <row r="796">
      <c r="A796" t="n">
        <v>0.4771212547196624</v>
      </c>
      <c r="B796" s="5" t="n">
        <v>3.594760384540136</v>
      </c>
      <c r="C796" s="5" t="n"/>
    </row>
    <row r="797">
      <c r="A797" t="n">
        <v>0.6020599913279624</v>
      </c>
      <c r="B797" s="5" t="n">
        <v>2.628133387541083</v>
      </c>
      <c r="C797" s="5" t="n"/>
    </row>
    <row r="798">
      <c r="A798" t="n">
        <v>0</v>
      </c>
      <c r="B798" s="5" t="n">
        <v>4.300986564044174</v>
      </c>
      <c r="C798" s="5" t="n"/>
    </row>
    <row r="799">
      <c r="A799" t="n">
        <v>0.7781512503836436</v>
      </c>
      <c r="B799" s="5" t="n">
        <v>3.740362689494244</v>
      </c>
      <c r="C799" s="5" t="n"/>
    </row>
    <row r="800">
      <c r="A800" t="n">
        <v>0</v>
      </c>
      <c r="B800" s="5" t="n">
        <v>3.021189299069938</v>
      </c>
      <c r="C800" s="5" t="n"/>
    </row>
    <row r="801">
      <c r="A801" t="n">
        <v>0.3010299956639812</v>
      </c>
      <c r="B801" s="5" t="n">
        <v>2.499150755234518</v>
      </c>
      <c r="C801" s="5" t="n"/>
    </row>
    <row r="802">
      <c r="A802" t="n">
        <v>0</v>
      </c>
      <c r="B802" s="5" t="n">
        <v>4.267171728403014</v>
      </c>
      <c r="C802" s="5" t="n"/>
    </row>
    <row r="803">
      <c r="A803" t="n">
        <v>0</v>
      </c>
      <c r="B803" s="5" t="n">
        <v>4.300812794118117</v>
      </c>
      <c r="C803" s="5" t="n"/>
    </row>
    <row r="804">
      <c r="A804" t="n">
        <v>0</v>
      </c>
      <c r="B804" s="5" t="n">
        <v>2.600972895686748</v>
      </c>
      <c r="C804" s="5" t="n"/>
    </row>
    <row r="805">
      <c r="A805" t="n">
        <v>0.4771212547196624</v>
      </c>
      <c r="B805" s="5" t="n">
        <v>3.176091259055681</v>
      </c>
      <c r="C805" s="5" t="n"/>
    </row>
    <row r="806">
      <c r="A806" t="n">
        <v>0.3010299956639812</v>
      </c>
      <c r="B806" s="5" t="n">
        <v>4.513190955417365</v>
      </c>
      <c r="C806" s="5" t="n"/>
    </row>
    <row r="807">
      <c r="A807" t="n">
        <v>0</v>
      </c>
      <c r="B807" s="5" t="n">
        <v>3.900367128656471</v>
      </c>
      <c r="C807" s="5" t="n"/>
    </row>
    <row r="808">
      <c r="A808" t="n">
        <v>0</v>
      </c>
      <c r="B808" s="5" t="n">
        <v>4.010257542998302</v>
      </c>
      <c r="C808" s="5" t="n"/>
    </row>
    <row r="809">
      <c r="A809" t="n">
        <v>0</v>
      </c>
      <c r="B809" s="5" t="n">
        <v>4.05407655729051</v>
      </c>
      <c r="C809" s="5" t="n"/>
    </row>
    <row r="810">
      <c r="A810" t="n">
        <v>0.4771212547196624</v>
      </c>
      <c r="B810" s="5" t="n">
        <v>4.511883360978874</v>
      </c>
      <c r="C810" s="5" t="n"/>
    </row>
    <row r="811">
      <c r="A811" t="n">
        <v>0.4771212547196624</v>
      </c>
      <c r="B811" s="5" t="n">
        <v>4.400422795420448</v>
      </c>
      <c r="C811" s="5" t="n"/>
    </row>
    <row r="812">
      <c r="A812" t="n">
        <v>1.079181246047625</v>
      </c>
      <c r="B812" s="5" t="n">
        <v>2.989747847865644</v>
      </c>
      <c r="C812" s="5" t="n"/>
    </row>
    <row r="813">
      <c r="A813" t="n">
        <v>0</v>
      </c>
      <c r="B813" s="5" t="n">
        <v>4.02938377768521</v>
      </c>
      <c r="C813" s="5" t="n"/>
    </row>
    <row r="814">
      <c r="A814" t="n">
        <v>0.4771212547196624</v>
      </c>
      <c r="B814" s="5" t="n">
        <v>4.342422680822207</v>
      </c>
      <c r="C814" s="5" t="n"/>
    </row>
    <row r="815">
      <c r="A815" t="n">
        <v>0</v>
      </c>
      <c r="B815" s="5" t="n">
        <v>3.819543935541869</v>
      </c>
      <c r="C815" s="5" t="n"/>
    </row>
    <row r="816">
      <c r="A816" t="n">
        <v>0</v>
      </c>
      <c r="B816" s="5" t="n">
        <v>4.36078268987328</v>
      </c>
      <c r="C816" s="5" t="n"/>
    </row>
    <row r="817">
      <c r="A817" t="n">
        <v>0</v>
      </c>
      <c r="B817" s="5" t="n">
        <v>4.053846426852252</v>
      </c>
      <c r="C817" s="5" t="n"/>
    </row>
    <row r="818">
      <c r="A818" t="n">
        <v>0.3010299956639812</v>
      </c>
      <c r="B818" s="5" t="n">
        <v>2.869231719730976</v>
      </c>
      <c r="C818" s="5" t="n"/>
    </row>
    <row r="819">
      <c r="A819" t="n">
        <v>0.7781512503836436</v>
      </c>
      <c r="B819" s="5" t="n">
        <v>2.740362689494244</v>
      </c>
      <c r="C819" s="5" t="n"/>
    </row>
    <row r="820">
      <c r="A820" t="n">
        <v>0.3010299956639812</v>
      </c>
      <c r="B820" s="5" t="n">
        <v>4.531478917042255</v>
      </c>
      <c r="C820" s="5" t="n"/>
    </row>
    <row r="821">
      <c r="A821" t="n">
        <v>0</v>
      </c>
      <c r="B821" s="5" t="n">
        <v>4.379486813717274</v>
      </c>
      <c r="C821" s="5" t="n"/>
    </row>
    <row r="822">
      <c r="A822" t="n">
        <v>0</v>
      </c>
      <c r="B822" s="5" t="n">
        <v>4.287129620719111</v>
      </c>
      <c r="C822" s="5" t="n"/>
    </row>
    <row r="823">
      <c r="A823" t="n">
        <v>0.4771212547196624</v>
      </c>
      <c r="B823" s="5" t="n">
        <v>4.521111920597796</v>
      </c>
      <c r="C823" s="5" t="n"/>
    </row>
    <row r="824">
      <c r="A824" t="n">
        <v>0</v>
      </c>
      <c r="B824" s="5" t="n">
        <v>4.514308625656776</v>
      </c>
      <c r="C824" s="5" t="n"/>
    </row>
    <row r="825">
      <c r="A825" t="n">
        <v>0</v>
      </c>
      <c r="B825" s="5" t="n">
        <v>3.804858796940116</v>
      </c>
      <c r="C825" s="5" t="n"/>
    </row>
    <row r="826">
      <c r="A826" t="n">
        <v>0</v>
      </c>
      <c r="B826" s="5" t="n">
        <v>3.804858796940116</v>
      </c>
      <c r="C826" s="5" t="n"/>
    </row>
    <row r="827">
      <c r="A827" t="n">
        <v>0.6020599913279624</v>
      </c>
      <c r="B827" s="5" t="n">
        <v>3.202798805612153</v>
      </c>
      <c r="C827" s="5" t="n"/>
    </row>
    <row r="828">
      <c r="A828" t="n">
        <v>0</v>
      </c>
      <c r="B828" s="5" t="n">
        <v>3.041392685158225</v>
      </c>
      <c r="C828" s="5" t="n"/>
    </row>
    <row r="829">
      <c r="A829" t="n">
        <v>0.3010299956639812</v>
      </c>
      <c r="B829" s="5" t="n">
        <v>4.525044807036846</v>
      </c>
      <c r="C829" s="5" t="n"/>
    </row>
    <row r="830">
      <c r="A830" t="n">
        <v>0</v>
      </c>
      <c r="B830" s="5" t="n">
        <v>4.954242509439325</v>
      </c>
      <c r="C830" s="5" t="n"/>
    </row>
    <row r="831">
      <c r="A831" t="n">
        <v>0</v>
      </c>
      <c r="B831" s="5" t="n">
        <v>4.474361976032631</v>
      </c>
      <c r="C831" s="5" t="n"/>
    </row>
    <row r="832">
      <c r="A832" t="n">
        <v>0</v>
      </c>
      <c r="B832" s="5" t="n">
        <v>3.34908316877959</v>
      </c>
      <c r="C832" s="5" t="n"/>
    </row>
    <row r="833">
      <c r="A833" t="n">
        <v>0</v>
      </c>
      <c r="B833" s="5" t="n">
        <v>4.483487447679593</v>
      </c>
      <c r="C833" s="5" t="n"/>
    </row>
    <row r="834">
      <c r="A834" t="n">
        <v>0</v>
      </c>
      <c r="B834" s="5" t="n">
        <v>4.477121254719663</v>
      </c>
      <c r="C834" s="5" t="n"/>
    </row>
    <row r="835">
      <c r="A835" t="n">
        <v>0.3010299956639812</v>
      </c>
      <c r="B835" s="5" t="n">
        <v>2.915135906622012</v>
      </c>
      <c r="C835" s="5" t="n"/>
    </row>
    <row r="836">
      <c r="A836" t="n">
        <v>0</v>
      </c>
      <c r="B836" s="5" t="n">
        <v>4.422047864705878</v>
      </c>
      <c r="C836" s="5" t="n"/>
    </row>
    <row r="837">
      <c r="A837" t="n">
        <v>0</v>
      </c>
      <c r="B837" s="5" t="n">
        <v>3.096910013008056</v>
      </c>
      <c r="C837" s="5" t="n"/>
    </row>
    <row r="838">
      <c r="A838" t="n">
        <v>0.3010299956639812</v>
      </c>
      <c r="B838" s="5" t="n">
        <v>4.469822015978163</v>
      </c>
      <c r="C838" s="5" t="n"/>
    </row>
    <row r="839">
      <c r="A839" t="n">
        <v>0</v>
      </c>
      <c r="B839" s="5" t="n">
        <v>2.276576681698554</v>
      </c>
      <c r="C839" s="5" t="n"/>
    </row>
    <row r="840">
      <c r="A840" t="n">
        <v>0.3010299956639812</v>
      </c>
      <c r="B840" s="5" t="n">
        <v>4.179580513395409</v>
      </c>
      <c r="C840" s="5" t="n"/>
    </row>
    <row r="841">
      <c r="A841" t="n">
        <v>0.9542425094393249</v>
      </c>
      <c r="B841" s="5" t="n">
        <v>3.526367712407166</v>
      </c>
      <c r="C841" s="5" t="n"/>
    </row>
    <row r="842">
      <c r="A842" t="n">
        <v>0</v>
      </c>
      <c r="B842" s="5" t="n">
        <v>4.32221929473392</v>
      </c>
      <c r="C842" s="5" t="n"/>
    </row>
    <row r="843">
      <c r="A843" t="n">
        <v>0</v>
      </c>
      <c r="B843" s="5" t="n">
        <v>3.997823080745726</v>
      </c>
      <c r="C843" s="5" t="n"/>
    </row>
    <row r="844">
      <c r="A844" t="n">
        <v>0</v>
      </c>
      <c r="B844" s="5" t="n">
        <v>3.608312042697327</v>
      </c>
      <c r="C844" s="5" t="n"/>
    </row>
    <row r="845">
      <c r="A845" t="n">
        <v>0</v>
      </c>
      <c r="B845" s="5" t="n">
        <v>4.202379321079624</v>
      </c>
      <c r="C845" s="5" t="n"/>
    </row>
    <row r="846">
      <c r="A846" t="n">
        <v>0</v>
      </c>
      <c r="B846" s="5" t="n">
        <v>4.423245873936808</v>
      </c>
      <c r="C846" s="5" t="n"/>
    </row>
    <row r="847">
      <c r="A847" t="n">
        <v>0</v>
      </c>
      <c r="B847" s="5" t="n">
        <v>3.172894697752176</v>
      </c>
      <c r="C847" s="5" t="n"/>
    </row>
    <row r="848">
      <c r="A848" t="n">
        <v>0</v>
      </c>
      <c r="B848" s="5" t="n">
        <v>3.591843411224784</v>
      </c>
      <c r="C848" s="5" t="n"/>
    </row>
    <row r="849">
      <c r="A849" t="n">
        <v>0</v>
      </c>
      <c r="B849" s="5" t="n">
        <v>4.294422133112984</v>
      </c>
      <c r="C849" s="5" t="n"/>
    </row>
    <row r="850">
      <c r="A850" t="n">
        <v>0</v>
      </c>
      <c r="B850" s="5" t="n">
        <v>4.294422133112984</v>
      </c>
      <c r="C850" s="5" t="n"/>
    </row>
    <row r="851">
      <c r="A851" t="n">
        <v>0</v>
      </c>
      <c r="B851" s="5" t="n">
        <v>3.67632773388132</v>
      </c>
      <c r="C851" s="5" t="n"/>
    </row>
    <row r="852">
      <c r="A852" t="n">
        <v>0.3010299956639812</v>
      </c>
      <c r="B852" s="5" t="n">
        <v>3.375297738217339</v>
      </c>
      <c r="C852" s="5" t="n"/>
    </row>
    <row r="853">
      <c r="A853" t="n">
        <v>1.568201724066995</v>
      </c>
      <c r="B853" s="5" t="n">
        <v>2.505149978319906</v>
      </c>
      <c r="C853" s="5" t="n"/>
    </row>
    <row r="854">
      <c r="A854" t="n">
        <v>0</v>
      </c>
      <c r="B854" s="5" t="n">
        <v>3.835373452470009</v>
      </c>
      <c r="C854" s="5" t="n"/>
    </row>
    <row r="855">
      <c r="A855" t="n">
        <v>0.6020599913279624</v>
      </c>
      <c r="B855" s="5" t="n">
        <v>4.146128035678238</v>
      </c>
      <c r="C855" s="5" t="n"/>
    </row>
    <row r="856">
      <c r="A856" t="n">
        <v>0</v>
      </c>
      <c r="B856" s="5" t="n">
        <v>4.363611979892144</v>
      </c>
      <c r="C856" s="5" t="n"/>
    </row>
    <row r="857">
      <c r="A857" t="n">
        <v>0.4771212547196624</v>
      </c>
      <c r="B857" s="5" t="n">
        <v>3.801632117657063</v>
      </c>
      <c r="C857" s="5" t="n"/>
    </row>
    <row r="858">
      <c r="A858" t="n">
        <v>0.3010299956639812</v>
      </c>
      <c r="B858" s="5" t="n">
        <v>4.414956644015667</v>
      </c>
      <c r="C858" s="5" t="n"/>
    </row>
    <row r="859">
      <c r="A859" t="n">
        <v>0.6989700043360189</v>
      </c>
      <c r="B859" s="5" t="n">
        <v>4.299908067990835</v>
      </c>
      <c r="C859" s="5" t="n"/>
    </row>
    <row r="860">
      <c r="A860" t="n">
        <v>0</v>
      </c>
      <c r="B860" s="5" t="n">
        <v>3.51215053692203</v>
      </c>
      <c r="C860" s="5" t="n"/>
    </row>
    <row r="861">
      <c r="A861" t="n">
        <v>0.3010299956639812</v>
      </c>
      <c r="B861" s="5" t="n">
        <v>4.063200084795787</v>
      </c>
      <c r="C861" s="5" t="n"/>
    </row>
    <row r="862">
      <c r="A862" t="n">
        <v>0</v>
      </c>
      <c r="B862" s="5" t="n">
        <v>2.860541627965359</v>
      </c>
      <c r="C862" s="5" t="n"/>
    </row>
    <row r="863">
      <c r="A863" t="n">
        <v>0.3010299956639812</v>
      </c>
      <c r="B863" s="5" t="n">
        <v>3.681241237375587</v>
      </c>
      <c r="C863" s="5" t="n"/>
    </row>
    <row r="864">
      <c r="A864" t="n">
        <v>0</v>
      </c>
      <c r="B864" s="5" t="n">
        <v>4.224274014294258</v>
      </c>
      <c r="C864" s="5" t="n"/>
    </row>
    <row r="865">
      <c r="A865" t="n">
        <v>0</v>
      </c>
      <c r="B865" s="5" t="n">
        <v>4.640471697534161</v>
      </c>
      <c r="C865" s="5" t="n"/>
    </row>
    <row r="866">
      <c r="A866" t="n">
        <v>0</v>
      </c>
      <c r="B866" s="5" t="n">
        <v>4.929720272605199</v>
      </c>
      <c r="C866" s="5" t="n"/>
    </row>
    <row r="867">
      <c r="A867" t="n">
        <v>0.4771212547196624</v>
      </c>
      <c r="B867" s="5" t="n">
        <v>2.510545010206612</v>
      </c>
      <c r="C867" s="5" t="n"/>
    </row>
    <row r="868">
      <c r="A868" t="n">
        <v>0</v>
      </c>
      <c r="B868" s="5" t="n">
        <v>3.680879174426811</v>
      </c>
      <c r="C868" s="5" t="n"/>
    </row>
    <row r="869">
      <c r="A869" t="n">
        <v>0</v>
      </c>
      <c r="B869" s="5" t="n">
        <v>3.8750612633917</v>
      </c>
      <c r="C869" s="5" t="n"/>
    </row>
    <row r="870">
      <c r="A870" t="n">
        <v>2.152288344383056</v>
      </c>
      <c r="B870" s="5" t="n">
        <v>3.245650830442775</v>
      </c>
      <c r="C870" s="5" t="n"/>
    </row>
    <row r="871">
      <c r="A871" t="n">
        <v>0</v>
      </c>
      <c r="B871" s="5" t="n">
        <v>4.590496311814564</v>
      </c>
      <c r="C871" s="5" t="n"/>
    </row>
    <row r="872">
      <c r="A872" t="n">
        <v>0.6020599913279624</v>
      </c>
      <c r="B872" s="5" t="n">
        <v>2.835690571492425</v>
      </c>
      <c r="C872" s="5" t="n"/>
    </row>
    <row r="873">
      <c r="A873" t="n">
        <v>1</v>
      </c>
      <c r="B873" s="5" t="n">
        <v>2.553276046137099</v>
      </c>
      <c r="C873" s="5" t="n"/>
    </row>
    <row r="874">
      <c r="A874" t="n">
        <v>0</v>
      </c>
      <c r="B874" s="5" t="n">
        <v>4.296665190261531</v>
      </c>
      <c r="C874" s="5" t="n"/>
    </row>
    <row r="875">
      <c r="A875" t="n">
        <v>0.7781512503836436</v>
      </c>
      <c r="B875" s="5" t="n">
        <v>3.255272505103306</v>
      </c>
      <c r="C875" s="5" t="n"/>
    </row>
    <row r="876">
      <c r="A876" t="n">
        <v>0</v>
      </c>
      <c r="B876" s="5" t="n">
        <v>4.255272505103306</v>
      </c>
      <c r="C876" s="5" t="n"/>
    </row>
    <row r="877">
      <c r="A877" t="n">
        <v>0</v>
      </c>
      <c r="B877" s="5" t="n">
        <v>4.078710505328276</v>
      </c>
      <c r="C877" s="5" t="n"/>
    </row>
    <row r="878">
      <c r="A878" t="n">
        <v>0</v>
      </c>
      <c r="B878" s="5" t="n">
        <v>4.397940008672037</v>
      </c>
      <c r="C878" s="5" t="n"/>
    </row>
    <row r="879">
      <c r="A879" t="n">
        <v>0.3010299956639812</v>
      </c>
      <c r="B879" s="5" t="n">
        <v>3.050573076755148</v>
      </c>
      <c r="C879" s="5" t="n"/>
    </row>
    <row r="880">
      <c r="A880" t="n">
        <v>0.3010299956639812</v>
      </c>
      <c r="B880" s="5" t="n">
        <v>3.050573076755148</v>
      </c>
      <c r="C880" s="5" t="n"/>
    </row>
    <row r="881">
      <c r="A881" t="n">
        <v>0.8450980400142568</v>
      </c>
      <c r="B881" s="5" t="n">
        <v>4.372385930520526</v>
      </c>
      <c r="C881" s="5" t="n"/>
    </row>
    <row r="882">
      <c r="A882" t="n">
        <v>0</v>
      </c>
      <c r="B882" s="5" t="n">
        <v>4.204119982655925</v>
      </c>
      <c r="C882" s="5" t="n"/>
    </row>
    <row r="883">
      <c r="A883" t="n">
        <v>0.6020599913279624</v>
      </c>
      <c r="B883" s="5" t="n">
        <v>4.278753600952829</v>
      </c>
      <c r="C883" s="5" t="n"/>
    </row>
    <row r="884">
      <c r="A884" t="n">
        <v>0.3010299956639812</v>
      </c>
      <c r="B884" s="5" t="n">
        <v>3.469306445431168</v>
      </c>
      <c r="C884" s="5" t="n"/>
    </row>
    <row r="885">
      <c r="A885" t="n">
        <v>0.6989700043360189</v>
      </c>
      <c r="B885" s="5" t="n">
        <v>4.300986564044174</v>
      </c>
      <c r="C885" s="5" t="n"/>
    </row>
    <row r="886">
      <c r="A886" t="n">
        <v>0</v>
      </c>
      <c r="B886" s="5" t="n">
        <v>4.396199347095736</v>
      </c>
      <c r="C886" s="5" t="n"/>
    </row>
    <row r="887">
      <c r="A887" t="n">
        <v>1.301029995663981</v>
      </c>
      <c r="B887" s="5" t="n">
        <v>3.352182518111363</v>
      </c>
      <c r="C887" s="5" t="n"/>
    </row>
    <row r="888">
      <c r="A888" t="n">
        <v>1.176091259055681</v>
      </c>
      <c r="B888" s="5" t="n">
        <v>3.028030080768379</v>
      </c>
      <c r="C888" s="5" t="n"/>
    </row>
    <row r="889">
      <c r="A889" t="n">
        <v>0.8450980400142568</v>
      </c>
      <c r="B889" s="5" t="n">
        <v>2.439332693830263</v>
      </c>
      <c r="C889" s="5" t="n"/>
    </row>
    <row r="890">
      <c r="A890" t="n">
        <v>0</v>
      </c>
      <c r="B890" s="5" t="n">
        <v>4.938509718275907</v>
      </c>
      <c r="C890" s="5" t="n"/>
    </row>
    <row r="891">
      <c r="A891" t="n">
        <v>0</v>
      </c>
      <c r="B891" s="5" t="n">
        <v>4.300073495267144</v>
      </c>
      <c r="C891" s="5" t="n"/>
    </row>
    <row r="892">
      <c r="A892" t="n">
        <v>0</v>
      </c>
      <c r="B892" s="5" t="n">
        <v>4.361708953238316</v>
      </c>
      <c r="C892" s="5" t="n"/>
    </row>
    <row r="893">
      <c r="A893" t="n">
        <v>1.204119982655925</v>
      </c>
      <c r="B893" s="5" t="n">
        <v>4.096910013008056</v>
      </c>
      <c r="C893" s="5" t="n"/>
    </row>
    <row r="894">
      <c r="A894" t="n">
        <v>0</v>
      </c>
      <c r="B894" s="5" t="n">
        <v>4.397940008672037</v>
      </c>
      <c r="C894" s="5" t="n"/>
    </row>
    <row r="895">
      <c r="A895" t="n">
        <v>0</v>
      </c>
      <c r="B895" s="5" t="n">
        <v>4</v>
      </c>
      <c r="C895" s="5" t="n"/>
    </row>
    <row r="896">
      <c r="A896" t="n">
        <v>1.505149978319906</v>
      </c>
      <c r="B896" s="5" t="n">
        <v>3.864065879090237</v>
      </c>
      <c r="C896" s="5" t="n"/>
    </row>
    <row r="897">
      <c r="A897" t="n">
        <v>0</v>
      </c>
      <c r="B897" s="5" t="n">
        <v>4.447158031342219</v>
      </c>
      <c r="C897" s="5" t="n"/>
    </row>
    <row r="898">
      <c r="A898" t="n">
        <v>0.6989700043360189</v>
      </c>
      <c r="B898" s="5" t="n">
        <v>4.390910390453929</v>
      </c>
      <c r="C898" s="5" t="n"/>
    </row>
    <row r="899">
      <c r="A899" t="n">
        <v>0</v>
      </c>
      <c r="B899" s="5" t="n">
        <v>4.269941656720931</v>
      </c>
      <c r="C899" s="5" t="n"/>
    </row>
    <row r="900">
      <c r="A900" t="n">
        <v>0</v>
      </c>
      <c r="B900" s="5" t="n">
        <v>4.553033016202439</v>
      </c>
      <c r="C900" s="5" t="n"/>
    </row>
    <row r="901">
      <c r="A901" t="n">
        <v>0.6989700043360189</v>
      </c>
      <c r="B901" s="5" t="n">
        <v>3.172900531084147</v>
      </c>
      <c r="C901" s="5" t="n"/>
    </row>
    <row r="902">
      <c r="A902" t="n">
        <v>0</v>
      </c>
      <c r="B902" s="5" t="n">
        <v>2.477121254719663</v>
      </c>
      <c r="C902" s="5" t="n"/>
    </row>
    <row r="903">
      <c r="A903" t="n">
        <v>0.6020599913279624</v>
      </c>
      <c r="B903" s="5" t="n">
        <v>3.427323786357247</v>
      </c>
      <c r="C903" s="5" t="n"/>
    </row>
    <row r="904">
      <c r="A904" t="n">
        <v>0.7781512503836436</v>
      </c>
      <c r="B904" s="5" t="n">
        <v>3.176091259055681</v>
      </c>
      <c r="C904" s="5" t="n"/>
    </row>
    <row r="905">
      <c r="A905" t="n">
        <v>0</v>
      </c>
      <c r="B905" s="5" t="n">
        <v>3.971971276399756</v>
      </c>
      <c r="C905" s="5" t="n"/>
    </row>
    <row r="906">
      <c r="A906" t="n">
        <v>0.3010299956639812</v>
      </c>
      <c r="B906" s="5" t="n">
        <v>4.566461062490694</v>
      </c>
      <c r="C906" s="5" t="n"/>
    </row>
    <row r="907">
      <c r="A907" t="n">
        <v>0</v>
      </c>
      <c r="B907" s="5" t="n">
        <v>4.371067862271736</v>
      </c>
      <c r="C907" s="5" t="n"/>
    </row>
    <row r="908">
      <c r="A908" t="n">
        <v>0.3010299956639812</v>
      </c>
      <c r="B908" s="5" t="n">
        <v>3.439174739843469</v>
      </c>
      <c r="C908" s="5" t="n"/>
    </row>
    <row r="909">
      <c r="A909" t="n">
        <v>0</v>
      </c>
      <c r="B909" s="5" t="n">
        <v>4.258876629372131</v>
      </c>
      <c r="C909" s="5" t="n"/>
    </row>
    <row r="910">
      <c r="A910" t="n">
        <v>0</v>
      </c>
      <c r="B910" s="5" t="n">
        <v>2.690196080028514</v>
      </c>
      <c r="C910" s="5" t="n"/>
    </row>
    <row r="911">
      <c r="A911" t="n">
        <v>2.262451089730429</v>
      </c>
      <c r="B911" s="5" t="n">
        <v>2.992822935400903</v>
      </c>
      <c r="C911" s="5" t="n"/>
    </row>
    <row r="912">
      <c r="A912" t="n">
        <v>0.3010299956639812</v>
      </c>
      <c r="B912" s="5" t="n">
        <v>4.438447410654374</v>
      </c>
      <c r="C912" s="5" t="n"/>
    </row>
    <row r="913">
      <c r="A913" t="n">
        <v>0.4771212547196624</v>
      </c>
      <c r="B913" s="5" t="n">
        <v>4.102662456185154</v>
      </c>
      <c r="C913" s="5" t="n"/>
    </row>
    <row r="914">
      <c r="A914" t="n">
        <v>0.6989700043360189</v>
      </c>
      <c r="B914" s="5" t="n">
        <v>4.544068044350276</v>
      </c>
      <c r="C914" s="5" t="n"/>
    </row>
    <row r="915">
      <c r="A915" t="n">
        <v>0</v>
      </c>
      <c r="B915" s="5" t="n">
        <v>4.445479656532881</v>
      </c>
      <c r="C915" s="5" t="n"/>
    </row>
    <row r="916">
      <c r="A916" t="n">
        <v>0</v>
      </c>
      <c r="B916" s="5" t="n">
        <v>4.106938450738178</v>
      </c>
      <c r="C916" s="5" t="n"/>
    </row>
    <row r="917">
      <c r="A917" t="n">
        <v>0</v>
      </c>
      <c r="B917" s="5" t="n">
        <v>2.301029995663981</v>
      </c>
      <c r="C917" s="5" t="n"/>
    </row>
    <row r="918">
      <c r="A918" t="n">
        <v>0</v>
      </c>
      <c r="B918" s="5" t="n">
        <v>4.643452676486188</v>
      </c>
      <c r="C918" s="5" t="n"/>
    </row>
    <row r="919">
      <c r="A919" t="n">
        <v>1.204119982655925</v>
      </c>
      <c r="B919" s="5" t="n">
        <v>3.732393759822969</v>
      </c>
      <c r="C919" s="5" t="n"/>
    </row>
    <row r="920">
      <c r="A920" t="n">
        <v>0.7781512503836436</v>
      </c>
      <c r="B920" s="5" t="n">
        <v>4.531478917042255</v>
      </c>
      <c r="C920" s="5" t="n"/>
    </row>
    <row r="921">
      <c r="A921" t="n">
        <v>0</v>
      </c>
      <c r="B921" s="5" t="n">
        <v>4.513190955417365</v>
      </c>
      <c r="C921" s="5" t="n"/>
    </row>
    <row r="922">
      <c r="A922" t="n">
        <v>0.6020599913279624</v>
      </c>
      <c r="B922" s="5" t="n">
        <v>4.397940008672037</v>
      </c>
      <c r="C922" s="5" t="n"/>
    </row>
    <row r="923">
      <c r="A923" t="n">
        <v>1.301029995663981</v>
      </c>
      <c r="B923" s="5" t="n">
        <v>3.243038048686294</v>
      </c>
      <c r="C923" s="5" t="n"/>
    </row>
    <row r="924">
      <c r="A924" t="n">
        <v>0.7781512503836436</v>
      </c>
      <c r="B924" s="5" t="n">
        <v>4.447158031342219</v>
      </c>
      <c r="C924" s="5" t="n"/>
    </row>
    <row r="925">
      <c r="A925" t="n">
        <v>1.301029995663981</v>
      </c>
      <c r="B925" s="5" t="n">
        <v>2.361727836017593</v>
      </c>
      <c r="C925" s="5" t="n"/>
    </row>
    <row r="926">
      <c r="A926" t="n">
        <v>1.204119982655925</v>
      </c>
      <c r="B926" s="5" t="n">
        <v>4.12057393120585</v>
      </c>
      <c r="C926" s="5" t="n"/>
    </row>
    <row r="927">
      <c r="A927" t="n">
        <v>0.3010299956639812</v>
      </c>
      <c r="B927" s="5" t="n">
        <v>4.690196080028514</v>
      </c>
      <c r="C927" s="5" t="n"/>
    </row>
    <row r="928">
      <c r="A928" t="n">
        <v>0.4771212547196624</v>
      </c>
      <c r="B928" s="5" t="n">
        <v>2.941178378984393</v>
      </c>
      <c r="C928" s="5" t="n"/>
    </row>
    <row r="929">
      <c r="A929" t="n">
        <v>0</v>
      </c>
      <c r="B929" s="5" t="n">
        <v>3.176091259055681</v>
      </c>
      <c r="C929" s="5" t="n"/>
    </row>
    <row r="930">
      <c r="A930" t="n">
        <v>1.531478917042255</v>
      </c>
      <c r="B930" s="5" t="n">
        <v>4.468521013470622</v>
      </c>
      <c r="C930" s="5" t="n"/>
    </row>
    <row r="931">
      <c r="A931" t="n">
        <v>0.9542425094393249</v>
      </c>
      <c r="B931" s="5" t="n">
        <v>3.113609151073028</v>
      </c>
      <c r="C931" s="5" t="n"/>
    </row>
    <row r="932">
      <c r="A932" t="n">
        <v>0</v>
      </c>
      <c r="B932" s="5" t="n">
        <v>3.242789809478677</v>
      </c>
      <c r="C932" s="5" t="n"/>
    </row>
    <row r="933">
      <c r="A933" t="n">
        <v>0</v>
      </c>
      <c r="B933" s="5" t="n">
        <v>2.698970004336019</v>
      </c>
      <c r="C933" s="5" t="n"/>
    </row>
    <row r="934">
      <c r="A934" t="n">
        <v>0.3010299956639812</v>
      </c>
      <c r="B934" s="5" t="n">
        <v>3.636387585813157</v>
      </c>
      <c r="C934" s="5" t="n"/>
    </row>
    <row r="935">
      <c r="A935" t="n">
        <v>0.8450980400142568</v>
      </c>
      <c r="B935" s="5" t="n">
        <v>3.460252684440083</v>
      </c>
      <c r="C935" s="5" t="n"/>
    </row>
    <row r="936">
      <c r="A936" t="n">
        <v>0</v>
      </c>
      <c r="B936" s="5" t="n">
        <v>4.096910013008056</v>
      </c>
      <c r="C936" s="5" t="n"/>
    </row>
    <row r="937">
      <c r="A937" t="n">
        <v>0</v>
      </c>
      <c r="B937" s="5" t="n">
        <v>3.929725378378004</v>
      </c>
      <c r="C937" s="5" t="n"/>
    </row>
    <row r="938">
      <c r="A938" t="n">
        <v>0.3010299956639812</v>
      </c>
      <c r="B938" s="5" t="n">
        <v>3.376576957056512</v>
      </c>
      <c r="C938" s="5" t="n"/>
    </row>
    <row r="939">
      <c r="A939" t="n">
        <v>0.3010299956639812</v>
      </c>
      <c r="B939" s="5" t="n">
        <v>3.376576957056512</v>
      </c>
      <c r="C939" s="5" t="n"/>
    </row>
    <row r="940">
      <c r="A940" t="n">
        <v>0.4771212547196624</v>
      </c>
      <c r="B940" s="5" t="n">
        <v>3.777426822389311</v>
      </c>
      <c r="C940" s="5" t="n"/>
    </row>
    <row r="941">
      <c r="A941" t="n">
        <v>0</v>
      </c>
      <c r="B941" s="5" t="n">
        <v>4.187492518980426</v>
      </c>
      <c r="C941" s="5" t="n"/>
    </row>
    <row r="942">
      <c r="A942" t="n">
        <v>0</v>
      </c>
      <c r="B942" s="5" t="n">
        <v>4.424848981682978</v>
      </c>
      <c r="C942" s="5" t="n"/>
    </row>
    <row r="943">
      <c r="A943" t="n">
        <v>0.3010299956639812</v>
      </c>
      <c r="B943" s="5" t="n">
        <v>5.008600171761918</v>
      </c>
      <c r="C943" s="5" t="n"/>
    </row>
    <row r="944">
      <c r="A944" t="n">
        <v>0.3010299956639812</v>
      </c>
      <c r="B944" s="5" t="n">
        <v>4.302006060586541</v>
      </c>
      <c r="C944" s="5" t="n"/>
    </row>
    <row r="945">
      <c r="A945" t="n">
        <v>0.3010299956639812</v>
      </c>
      <c r="B945" s="5" t="n">
        <v>4.302006060586541</v>
      </c>
      <c r="C945" s="5" t="n"/>
    </row>
    <row r="946">
      <c r="A946" t="n">
        <v>0.3010299956639812</v>
      </c>
      <c r="B946" s="5" t="n">
        <v>4.302006060586541</v>
      </c>
      <c r="C946" s="5" t="n"/>
    </row>
    <row r="947">
      <c r="A947" t="n">
        <v>0.4771212547196624</v>
      </c>
      <c r="B947" s="5" t="n">
        <v>3.215724783634804</v>
      </c>
      <c r="C947" s="5" t="n"/>
    </row>
    <row r="948">
      <c r="A948" t="n">
        <v>0</v>
      </c>
      <c r="B948" s="5" t="n">
        <v>4.57142930306149</v>
      </c>
      <c r="C948" s="5" t="n"/>
    </row>
    <row r="949">
      <c r="A949" t="n">
        <v>1.204119982655925</v>
      </c>
      <c r="B949" s="5" t="n">
        <v>3.817895757161796</v>
      </c>
      <c r="C949" s="5" t="n"/>
    </row>
    <row r="950">
      <c r="A950" t="n">
        <v>2.602059991327963</v>
      </c>
      <c r="B950" s="5" t="n">
        <v>1.260071387985075</v>
      </c>
      <c r="C950" s="5" t="n"/>
    </row>
    <row r="951">
      <c r="A951" t="n">
        <v>1.414973347970818</v>
      </c>
      <c r="B951" s="5" t="n">
        <v>3.143014800254095</v>
      </c>
      <c r="C951" s="5" t="n"/>
    </row>
    <row r="952">
      <c r="A952" t="n">
        <v>0</v>
      </c>
      <c r="B952" s="5" t="n">
        <v>4.336459733848529</v>
      </c>
      <c r="C952" s="5" t="n"/>
    </row>
    <row r="953">
      <c r="A953" t="n">
        <v>0</v>
      </c>
      <c r="B953" s="5" t="n">
        <v>4.352182518111363</v>
      </c>
      <c r="C953" s="5" t="n"/>
    </row>
    <row r="954">
      <c r="A954" t="n">
        <v>0</v>
      </c>
      <c r="B954" s="5" t="n">
        <v>3.14921911265538</v>
      </c>
      <c r="C954" s="5" t="n"/>
    </row>
    <row r="955">
      <c r="A955" t="n">
        <v>0</v>
      </c>
      <c r="B955" s="5" t="n">
        <v>3.715919817433579</v>
      </c>
      <c r="C955" s="5" t="n"/>
    </row>
    <row r="956">
      <c r="A956" t="n">
        <v>0</v>
      </c>
      <c r="B956" s="5" t="n">
        <v>3.108565023732834</v>
      </c>
      <c r="C956" s="5" t="n"/>
    </row>
    <row r="957">
      <c r="A957" t="n">
        <v>0</v>
      </c>
      <c r="B957" s="5" t="n">
        <v>4.895422546039408</v>
      </c>
      <c r="C957" s="5" t="n"/>
    </row>
    <row r="958">
      <c r="A958" t="n">
        <v>0</v>
      </c>
      <c r="B958" s="5" t="n">
        <v>4.895422546039408</v>
      </c>
      <c r="C958" s="5" t="n"/>
    </row>
    <row r="959">
      <c r="A959" t="n">
        <v>0</v>
      </c>
      <c r="B959" s="5" t="n">
        <v>3.124830149413859</v>
      </c>
      <c r="C959" s="5" t="n"/>
    </row>
    <row r="960">
      <c r="A960" t="n">
        <v>0</v>
      </c>
      <c r="B960" s="5" t="n">
        <v>3.124830149413859</v>
      </c>
      <c r="C960" s="5" t="n"/>
    </row>
    <row r="961">
      <c r="A961" t="n">
        <v>0</v>
      </c>
      <c r="B961" s="5" t="n">
        <v>4.397366361265289</v>
      </c>
      <c r="C961" s="5" t="n"/>
    </row>
    <row r="962">
      <c r="A962" t="n">
        <v>0</v>
      </c>
      <c r="B962" s="5" t="n">
        <v>3.94101424370557</v>
      </c>
      <c r="C962" s="5" t="n"/>
    </row>
    <row r="963">
      <c r="A963" t="n">
        <v>1.146128035678238</v>
      </c>
      <c r="B963" s="5" t="n">
        <v>3.984205861496596</v>
      </c>
      <c r="C963" s="5" t="n"/>
    </row>
    <row r="964">
      <c r="A964" t="n">
        <v>0.3010299956639812</v>
      </c>
      <c r="B964" s="5" t="n">
        <v>3.643452676486187</v>
      </c>
      <c r="C964" s="5" t="n"/>
    </row>
    <row r="965">
      <c r="A965" t="n">
        <v>0.3010299956639812</v>
      </c>
      <c r="B965" s="5" t="n">
        <v>4.021189299069938</v>
      </c>
      <c r="C965" s="5" t="n"/>
    </row>
    <row r="966">
      <c r="A966" t="n">
        <v>0.6020599913279624</v>
      </c>
      <c r="B966" s="5" t="n">
        <v>3.845098040014257</v>
      </c>
      <c r="C966" s="5" t="n"/>
    </row>
    <row r="967">
      <c r="A967" t="n">
        <v>0</v>
      </c>
      <c r="B967" s="5" t="n">
        <v>3.227886704613673</v>
      </c>
      <c r="C967" s="5" t="n"/>
    </row>
    <row r="968">
      <c r="A968" t="n">
        <v>0</v>
      </c>
      <c r="B968" s="5" t="n">
        <v>3.856728890382882</v>
      </c>
      <c r="C968" s="5" t="n"/>
    </row>
    <row r="969">
      <c r="A969" t="n">
        <v>0</v>
      </c>
      <c r="B969" s="5" t="n">
        <v>3.856728890382882</v>
      </c>
      <c r="C969" s="5" t="n"/>
    </row>
    <row r="970">
      <c r="A970" t="n">
        <v>0</v>
      </c>
      <c r="B970" s="5" t="n">
        <v>3.676693609624866</v>
      </c>
      <c r="C970" s="5" t="n"/>
    </row>
    <row r="971">
      <c r="A971" t="n">
        <v>0</v>
      </c>
      <c r="B971" s="5" t="n">
        <v>3.676693609624866</v>
      </c>
      <c r="C971" s="5" t="n"/>
    </row>
    <row r="972">
      <c r="A972" t="n">
        <v>0</v>
      </c>
      <c r="B972" s="5" t="n">
        <v>3.661812685537261</v>
      </c>
      <c r="C972" s="5" t="n"/>
    </row>
    <row r="973">
      <c r="A973" t="n">
        <v>0</v>
      </c>
      <c r="B973" s="5" t="n">
        <v>4.365862215402555</v>
      </c>
      <c r="C973" s="5" t="n"/>
    </row>
    <row r="974">
      <c r="A974" t="n">
        <v>0</v>
      </c>
      <c r="B974" s="5" t="n">
        <v>3.524396122103842</v>
      </c>
      <c r="C974" s="5" t="n"/>
    </row>
    <row r="975">
      <c r="A975" t="n">
        <v>0.3010299956639812</v>
      </c>
      <c r="B975" s="5" t="n">
        <v>4.230448921378274</v>
      </c>
      <c r="C975" s="5" t="n"/>
    </row>
    <row r="976">
      <c r="A976" t="n">
        <v>0.3010299956639812</v>
      </c>
      <c r="B976" s="5" t="n">
        <v>4.385659886891622</v>
      </c>
      <c r="C976" s="5" t="n"/>
    </row>
    <row r="977">
      <c r="A977" t="n">
        <v>0.6020599913279624</v>
      </c>
      <c r="B977" s="5" t="n">
        <v>2.397940008672037</v>
      </c>
      <c r="C977" s="5" t="n"/>
    </row>
    <row r="978">
      <c r="A978" t="n">
        <v>1.7481880270062</v>
      </c>
      <c r="B978" s="5" t="n">
        <v>3.947612108712371</v>
      </c>
      <c r="C978" s="5" t="n"/>
    </row>
    <row r="979">
      <c r="A979" t="n">
        <v>1</v>
      </c>
      <c r="B979" s="5" t="n">
        <v>4.695800275710852</v>
      </c>
      <c r="C979" s="5" t="n"/>
    </row>
    <row r="980">
      <c r="A980" t="n">
        <v>0</v>
      </c>
      <c r="B980" s="5" t="n">
        <v>5.695800275710852</v>
      </c>
      <c r="C980" s="5" t="n"/>
    </row>
    <row r="981">
      <c r="A981" t="n">
        <v>0.4771212547196624</v>
      </c>
      <c r="B981" s="5" t="n">
        <v>5.218679029740705</v>
      </c>
      <c r="C981" s="5" t="n"/>
    </row>
    <row r="982">
      <c r="A982" t="n">
        <v>0</v>
      </c>
      <c r="B982" s="5" t="n">
        <v>5.695800275710852</v>
      </c>
      <c r="C982" s="5" t="n"/>
    </row>
    <row r="983">
      <c r="A983" t="n">
        <v>1</v>
      </c>
      <c r="B983" s="5" t="n">
        <v>4.695800275710852</v>
      </c>
      <c r="C983" s="5" t="n"/>
    </row>
    <row r="984">
      <c r="A984" t="n">
        <v>0.6989700043360189</v>
      </c>
      <c r="B984" s="5" t="n">
        <v>4.597695185925512</v>
      </c>
      <c r="C984" s="5" t="n"/>
    </row>
    <row r="985">
      <c r="A985" t="n">
        <v>1.431363764158987</v>
      </c>
      <c r="B985" s="5" t="n">
        <v>4.252853030979893</v>
      </c>
      <c r="C985" s="5" t="n"/>
    </row>
    <row r="986">
      <c r="A986" t="n">
        <v>1.431363764158987</v>
      </c>
      <c r="B986" s="5" t="n">
        <v>4.255272505103306</v>
      </c>
      <c r="C986" s="5" t="n"/>
    </row>
    <row r="987">
      <c r="A987" t="n">
        <v>0.4771212547196624</v>
      </c>
      <c r="B987" s="5" t="n">
        <v>4.296944321184593</v>
      </c>
      <c r="C987" s="5" t="n"/>
    </row>
    <row r="988">
      <c r="A988" t="n">
        <v>0</v>
      </c>
      <c r="B988" s="5" t="n">
        <v>4.140738013659695</v>
      </c>
      <c r="C988" s="5" t="n"/>
    </row>
    <row r="989">
      <c r="A989" t="n">
        <v>0.6020599913279624</v>
      </c>
      <c r="B989" s="5" t="n">
        <v>4.447158031342219</v>
      </c>
      <c r="C989" s="5" t="n"/>
    </row>
    <row r="990">
      <c r="A990" t="n">
        <v>0.6020599913279624</v>
      </c>
      <c r="B990" s="5" t="n">
        <v>4.443262987458695</v>
      </c>
      <c r="C990" s="5" t="n"/>
    </row>
    <row r="991">
      <c r="A991" t="n">
        <v>0</v>
      </c>
      <c r="B991" s="5" t="n">
        <v>4.5910646070265</v>
      </c>
      <c r="C991" s="5" t="n"/>
    </row>
    <row r="992">
      <c r="A992" t="n">
        <v>1</v>
      </c>
      <c r="B992" s="5" t="n">
        <v>2.602059991327963</v>
      </c>
      <c r="C992" s="5" t="n"/>
    </row>
    <row r="993">
      <c r="A993" t="n">
        <v>0</v>
      </c>
      <c r="B993" s="5" t="n">
        <v>3.590953235187986</v>
      </c>
      <c r="C993" s="5" t="n"/>
    </row>
    <row r="994">
      <c r="A994" t="n">
        <v>0</v>
      </c>
      <c r="B994" s="5" t="n">
        <v>4.415974244724776</v>
      </c>
      <c r="C994" s="5" t="n"/>
    </row>
    <row r="995">
      <c r="A995" t="n">
        <v>0</v>
      </c>
      <c r="B995" s="5" t="n">
        <v>3.68304703823885</v>
      </c>
      <c r="C995" s="5" t="n"/>
    </row>
    <row r="996">
      <c r="A996" t="n">
        <v>0</v>
      </c>
      <c r="B996" s="5" t="n">
        <v>4.56643749219507</v>
      </c>
      <c r="C996" s="5" t="n"/>
    </row>
    <row r="997">
      <c r="A997" t="n">
        <v>0</v>
      </c>
      <c r="B997" s="5" t="n">
        <v>3.555094448578319</v>
      </c>
      <c r="C997" s="5" t="n"/>
    </row>
    <row r="998">
      <c r="A998" t="n">
        <v>0.6989700043360189</v>
      </c>
      <c r="B998" s="5" t="n">
        <v>4.38017504899673</v>
      </c>
      <c r="C998" s="5" t="n"/>
    </row>
    <row r="999">
      <c r="A999" t="n">
        <v>2.658964842664435</v>
      </c>
      <c r="B999" s="5" t="n">
        <v>2.255272505103306</v>
      </c>
      <c r="C999" s="5" t="n"/>
    </row>
    <row r="1000">
      <c r="A1000" t="n">
        <v>0.6989700043360189</v>
      </c>
      <c r="B1000" s="5" t="n">
        <v>3.174059807725025</v>
      </c>
      <c r="C1000" s="5" t="n"/>
    </row>
    <row r="1001">
      <c r="A1001" t="n">
        <v>0</v>
      </c>
      <c r="B1001" s="5" t="n">
        <v>4.342402939715273</v>
      </c>
      <c r="C1001" s="5" t="n"/>
    </row>
    <row r="1002">
      <c r="A1002" t="n">
        <v>0.3010299956639812</v>
      </c>
      <c r="B1002" s="5" t="n">
        <v>3.113609151073028</v>
      </c>
      <c r="C1002" s="5" t="n"/>
    </row>
    <row r="1003">
      <c r="A1003" t="n">
        <v>0.6020599913279624</v>
      </c>
      <c r="B1003" s="5" t="n">
        <v>3.810736437388581</v>
      </c>
      <c r="C1003" s="5" t="n"/>
    </row>
    <row r="1004">
      <c r="A1004" t="n">
        <v>0.6989700043360189</v>
      </c>
      <c r="B1004" s="5" t="n">
        <v>4.294444180196873</v>
      </c>
      <c r="C1004" s="5" t="n"/>
    </row>
    <row r="1005">
      <c r="A1005" t="n">
        <v>0</v>
      </c>
      <c r="B1005" s="5" t="n">
        <v>3.998259338423699</v>
      </c>
      <c r="C1005" s="5" t="n"/>
    </row>
    <row r="1006">
      <c r="A1006" t="n">
        <v>0</v>
      </c>
      <c r="B1006" s="5" t="n">
        <v>3.204119982655925</v>
      </c>
      <c r="C1006" s="5" t="n"/>
    </row>
    <row r="1007">
      <c r="A1007" t="n">
        <v>0</v>
      </c>
      <c r="B1007" s="5" t="n">
        <v>2.176091259055681</v>
      </c>
      <c r="C1007" s="5" t="n"/>
    </row>
    <row r="1008">
      <c r="A1008" t="n">
        <v>0</v>
      </c>
      <c r="B1008" s="5" t="n">
        <v>4.329031575010839</v>
      </c>
      <c r="C1008" s="5" t="n"/>
    </row>
    <row r="1009">
      <c r="A1009" t="n">
        <v>0</v>
      </c>
      <c r="B1009" s="5" t="n">
        <v>4.309630167425898</v>
      </c>
      <c r="C1009" s="5" t="n"/>
    </row>
    <row r="1010">
      <c r="A1010" t="n">
        <v>0.7781512503836436</v>
      </c>
      <c r="B1010" s="5" t="n">
        <v>3.416314247967113</v>
      </c>
      <c r="C1010" s="5" t="n"/>
    </row>
    <row r="1011">
      <c r="A1011" t="n">
        <v>0</v>
      </c>
      <c r="B1011" s="5" t="n">
        <v>2.854306041801081</v>
      </c>
      <c r="C1011" s="5" t="n"/>
    </row>
    <row r="1012">
      <c r="A1012" t="n">
        <v>1</v>
      </c>
      <c r="B1012" s="5" t="n">
        <v>3.788875115775417</v>
      </c>
      <c r="C1012" s="5" t="n"/>
    </row>
    <row r="1013">
      <c r="A1013" t="n">
        <v>0.6020599913279624</v>
      </c>
      <c r="B1013" s="5" t="n">
        <v>2.600972895686748</v>
      </c>
      <c r="C1013" s="5" t="n"/>
    </row>
    <row r="1014">
      <c r="A1014" t="n">
        <v>0</v>
      </c>
      <c r="B1014" s="5" t="n">
        <v>4.672097857935717</v>
      </c>
      <c r="C1014" s="5" t="n"/>
    </row>
    <row r="1015">
      <c r="A1015" t="n">
        <v>0</v>
      </c>
      <c r="B1015" s="5" t="n">
        <v>4.414939939418018</v>
      </c>
      <c r="C1015" s="5" t="n"/>
    </row>
    <row r="1016">
      <c r="A1016" t="n">
        <v>0.4771212547196624</v>
      </c>
      <c r="B1016" s="5" t="n">
        <v>3.582631439489636</v>
      </c>
      <c r="C1016" s="5" t="n"/>
    </row>
    <row r="1017">
      <c r="A1017" t="n">
        <v>0</v>
      </c>
      <c r="B1017" s="5" t="n">
        <v>4.143014800254095</v>
      </c>
      <c r="C1017" s="5" t="n"/>
    </row>
    <row r="1018">
      <c r="A1018" t="n">
        <v>0.4771212547196624</v>
      </c>
      <c r="B1018" s="5" t="n">
        <v>3.544073007687421</v>
      </c>
      <c r="C1018" s="5" t="n"/>
    </row>
    <row r="1019">
      <c r="A1019" t="n">
        <v>0.3010299956639812</v>
      </c>
      <c r="B1019" s="5" t="n">
        <v>4.531478917042255</v>
      </c>
      <c r="C1019" s="5" t="n"/>
    </row>
    <row r="1020">
      <c r="A1020" t="n">
        <v>0</v>
      </c>
      <c r="B1020" s="5" t="n">
        <v>4.439332693830263</v>
      </c>
      <c r="C1020" s="5" t="n"/>
    </row>
    <row r="1021">
      <c r="A1021" t="n">
        <v>0.6020599913279624</v>
      </c>
      <c r="B1021" s="5" t="n">
        <v>3.950133526097819</v>
      </c>
      <c r="C1021" s="5" t="n"/>
    </row>
    <row r="1022">
      <c r="A1022" t="n">
        <v>0.6989700043360189</v>
      </c>
      <c r="B1022" s="5" t="n">
        <v>3.301029995663981</v>
      </c>
      <c r="C1022" s="5" t="n"/>
    </row>
    <row r="1023">
      <c r="A1023" t="n">
        <v>1.041392685158225</v>
      </c>
      <c r="B1023" s="5" t="n">
        <v>3.003538077772047</v>
      </c>
      <c r="C1023" s="5" t="n"/>
    </row>
    <row r="1024">
      <c r="A1024" t="n">
        <v>0.4771212547196624</v>
      </c>
      <c r="B1024" s="5" t="n">
        <v>3.567810683038412</v>
      </c>
      <c r="C1024" s="5" t="n"/>
    </row>
    <row r="1025">
      <c r="A1025" t="n">
        <v>0.3010299956639812</v>
      </c>
      <c r="B1025" s="5" t="n">
        <v>4.68414490100605</v>
      </c>
      <c r="C1025" s="5" t="n"/>
    </row>
    <row r="1026">
      <c r="A1026" t="n">
        <v>0</v>
      </c>
      <c r="B1026" s="5" t="n">
        <v>3.269512944217916</v>
      </c>
      <c r="C1026" s="5" t="n"/>
    </row>
    <row r="1027">
      <c r="A1027" t="n">
        <v>0.6020599913279624</v>
      </c>
      <c r="B1027" s="5" t="n">
        <v>3.193124598354462</v>
      </c>
      <c r="C1027" s="5" t="n"/>
    </row>
    <row r="1028">
      <c r="A1028" t="n">
        <v>0.3010299956639812</v>
      </c>
      <c r="B1028" s="5" t="n">
        <v>4.462397997898957</v>
      </c>
      <c r="C1028" s="5" t="n"/>
    </row>
    <row r="1029">
      <c r="A1029" t="n">
        <v>1.462397997898956</v>
      </c>
      <c r="B1029" s="5" t="n">
        <v>3.420576197571667</v>
      </c>
      <c r="C1029" s="5" t="n"/>
    </row>
    <row r="1030">
      <c r="A1030" t="n">
        <v>0.3010299956639812</v>
      </c>
      <c r="B1030" s="5" t="n">
        <v>2.352182518111363</v>
      </c>
      <c r="C1030" s="5" t="n"/>
    </row>
    <row r="1031">
      <c r="A1031" t="n">
        <v>0.3010299956639812</v>
      </c>
      <c r="B1031" s="5" t="n">
        <v>4.255272505103306</v>
      </c>
      <c r="C1031" s="5" t="n"/>
    </row>
    <row r="1032">
      <c r="A1032" t="n">
        <v>0.6020599913279624</v>
      </c>
      <c r="B1032" s="5" t="n">
        <v>4.487138375477186</v>
      </c>
      <c r="C1032" s="5" t="n"/>
    </row>
    <row r="1033">
      <c r="A1033" t="n">
        <v>0</v>
      </c>
      <c r="B1033" s="5" t="n">
        <v>4.431363764158987</v>
      </c>
      <c r="C1033" s="5" t="n"/>
    </row>
    <row r="1034">
      <c r="A1034" t="n">
        <v>0</v>
      </c>
      <c r="B1034" s="5" t="n">
        <v>4.041392685158225</v>
      </c>
      <c r="C1034" s="5" t="n"/>
    </row>
    <row r="1035">
      <c r="A1035" t="n">
        <v>0</v>
      </c>
      <c r="B1035" s="5" t="n">
        <v>4.041392685158225</v>
      </c>
      <c r="C1035" s="5" t="n"/>
    </row>
    <row r="1036">
      <c r="A1036" t="n">
        <v>1</v>
      </c>
      <c r="B1036" s="5" t="n">
        <v>4.501059262217751</v>
      </c>
      <c r="C1036" s="5" t="n"/>
    </row>
    <row r="1037">
      <c r="A1037" t="n">
        <v>0.3010299956639812</v>
      </c>
      <c r="B1037" s="5" t="n">
        <v>4.243038048686294</v>
      </c>
      <c r="C1037" s="5" t="n"/>
    </row>
    <row r="1038">
      <c r="A1038" t="n">
        <v>1</v>
      </c>
      <c r="B1038" s="5" t="n">
        <v>4.69365661213802</v>
      </c>
      <c r="C1038" s="5" t="n"/>
    </row>
    <row r="1039">
      <c r="A1039" t="n">
        <v>0</v>
      </c>
      <c r="B1039" s="5" t="n">
        <v>3.334453751150931</v>
      </c>
      <c r="C1039" s="5" t="n"/>
    </row>
    <row r="1040">
      <c r="A1040" t="n">
        <v>0</v>
      </c>
      <c r="B1040" s="5" t="n">
        <v>3.334453751150931</v>
      </c>
      <c r="C1040" s="5" t="n"/>
    </row>
    <row r="1041">
      <c r="A1041" t="n">
        <v>0</v>
      </c>
      <c r="B1041" s="5" t="n">
        <v>3.088136088700551</v>
      </c>
      <c r="C1041" s="5" t="n"/>
    </row>
    <row r="1042">
      <c r="A1042" t="n">
        <v>0</v>
      </c>
      <c r="B1042" s="5" t="n">
        <v>5.161368002234975</v>
      </c>
      <c r="C1042" s="5" t="n"/>
    </row>
    <row r="1043">
      <c r="A1043" t="n">
        <v>1.707570176097936</v>
      </c>
      <c r="B1043" s="5" t="n">
        <v>2.903089986991944</v>
      </c>
      <c r="C1043" s="5" t="n"/>
    </row>
    <row r="1044">
      <c r="A1044" t="n">
        <v>0</v>
      </c>
      <c r="B1044" s="5" t="n">
        <v>4.32221929473392</v>
      </c>
      <c r="C1044" s="5" t="n"/>
    </row>
    <row r="1045">
      <c r="A1045" t="n">
        <v>0</v>
      </c>
      <c r="B1045" s="5" t="n">
        <v>4.806166402069265</v>
      </c>
      <c r="C1045" s="5" t="n"/>
    </row>
    <row r="1046">
      <c r="A1046" t="n">
        <v>0</v>
      </c>
      <c r="B1046" s="5" t="n">
        <v>3.972295428611139</v>
      </c>
      <c r="C1046" s="5" t="n"/>
    </row>
    <row r="1047">
      <c r="A1047" t="n">
        <v>0.6020599913279624</v>
      </c>
      <c r="B1047" s="5" t="n">
        <v>4.554186199069382</v>
      </c>
      <c r="C1047" s="5" t="n"/>
    </row>
    <row r="1048">
      <c r="A1048" t="n">
        <v>0.3010299956639812</v>
      </c>
      <c r="B1048" s="5" t="n">
        <v>4.414973347970818</v>
      </c>
      <c r="C1048" s="5" t="n"/>
    </row>
    <row r="1049">
      <c r="A1049" t="n">
        <v>0.6989700043360189</v>
      </c>
      <c r="B1049" s="5" t="n">
        <v>4.585810280459827</v>
      </c>
      <c r="C1049" s="5" t="n"/>
    </row>
    <row r="1050">
      <c r="A1050" t="n">
        <v>0.3010299956639812</v>
      </c>
      <c r="B1050" s="5" t="n">
        <v>4.051133220041462</v>
      </c>
      <c r="C1050" s="5" t="n"/>
    </row>
    <row r="1051">
      <c r="A1051" t="n">
        <v>0</v>
      </c>
      <c r="B1051" s="5" t="n">
        <v>4.533009022495485</v>
      </c>
      <c r="C1051" s="5" t="n"/>
    </row>
    <row r="1052">
      <c r="A1052" t="n">
        <v>0.6020599913279624</v>
      </c>
      <c r="B1052" s="5" t="n">
        <v>5.0380752634527</v>
      </c>
      <c r="C1052" s="5" t="n"/>
    </row>
    <row r="1053">
      <c r="A1053" t="n">
        <v>0.6989700043360189</v>
      </c>
      <c r="B1053" s="5" t="n">
        <v>3.699091589769785</v>
      </c>
      <c r="C1053" s="5" t="n"/>
    </row>
    <row r="1054">
      <c r="A1054" t="n">
        <v>1.322219294733919</v>
      </c>
      <c r="B1054" s="5" t="n">
        <v>3.075842473041015</v>
      </c>
      <c r="C1054" s="5" t="n"/>
    </row>
    <row r="1055">
      <c r="A1055" t="n">
        <v>1.903089986991944</v>
      </c>
      <c r="B1055" s="5" t="n">
        <v>3.657575929433228</v>
      </c>
      <c r="C1055" s="5" t="n"/>
    </row>
    <row r="1056">
      <c r="A1056" t="n">
        <v>2</v>
      </c>
      <c r="B1056" s="5" t="n">
        <v>3.560665677562377</v>
      </c>
      <c r="C1056" s="5" t="n"/>
    </row>
    <row r="1057">
      <c r="A1057" t="n">
        <v>1.204119982655925</v>
      </c>
      <c r="B1057" s="5" t="n">
        <v>4.424946939162113</v>
      </c>
      <c r="C1057" s="5" t="n"/>
    </row>
    <row r="1059">
      <c r="A1059" s="8" t="inlineStr">
        <is>
          <t>Таблиці</t>
        </is>
      </c>
    </row>
    <row r="1061">
      <c r="A1061" s="2" t="inlineStr">
        <is>
          <t>Повнота даних</t>
        </is>
      </c>
    </row>
    <row r="1062">
      <c r="A1062" s="11" t="inlineStr">
        <is>
          <t>Таблиця</t>
        </is>
      </c>
      <c r="B1062" s="11" t="inlineStr">
        <is>
          <t>Поле</t>
        </is>
      </c>
      <c r="C1062" s="11" t="inlineStr">
        <is>
          <t>Рядків</t>
        </is>
      </c>
      <c r="D1062" s="11" t="inlineStr">
        <is>
          <t>Заповнено</t>
        </is>
      </c>
      <c r="E1062" s="11" t="inlineStr">
        <is>
          <t>Частка</t>
        </is>
      </c>
    </row>
    <row r="1063">
      <c r="A1063" t="inlineStr">
        <is>
          <t>Закупівлі</t>
        </is>
      </c>
      <c r="B1063" t="inlineStr">
        <is>
          <t>ЄДРПОУ замовника</t>
        </is>
      </c>
      <c r="C1063" s="5" t="n">
        <v>1992</v>
      </c>
      <c r="D1063" s="5" t="n">
        <v>1992</v>
      </c>
      <c r="E1063" s="12" t="n">
        <v>1</v>
      </c>
    </row>
    <row r="1064">
      <c r="A1064" t="inlineStr">
        <is>
          <t>Закупівлі</t>
        </is>
      </c>
      <c r="B1064" t="inlineStr">
        <is>
          <t>Очікувана вартість</t>
        </is>
      </c>
      <c r="C1064" s="5" t="n">
        <v>1992</v>
      </c>
      <c r="D1064" s="5" t="n">
        <v>1978</v>
      </c>
      <c r="E1064" s="12" t="n">
        <v>0.993</v>
      </c>
    </row>
    <row r="1065">
      <c r="A1065" t="inlineStr">
        <is>
          <t>Закупівлі</t>
        </is>
      </c>
      <c r="B1065" t="inlineStr">
        <is>
          <t>Дата</t>
        </is>
      </c>
      <c r="C1065" s="5" t="n">
        <v>1992</v>
      </c>
      <c r="D1065" s="5" t="n">
        <v>1992</v>
      </c>
      <c r="E1065" s="12" t="n">
        <v>1</v>
      </c>
    </row>
    <row r="1066">
      <c r="A1066" t="inlineStr">
        <is>
          <t>Закупівлі</t>
        </is>
      </c>
      <c r="B1066" t="inlineStr">
        <is>
          <t>Коди ДК021</t>
        </is>
      </c>
      <c r="C1066" s="5" t="n">
        <v>1992</v>
      </c>
      <c r="D1066" s="5" t="n">
        <v>1992</v>
      </c>
      <c r="E1066" s="12" t="n">
        <v>1</v>
      </c>
    </row>
    <row r="1067">
      <c r="A1067" t="inlineStr">
        <is>
          <t>Закупівлі</t>
        </is>
      </c>
      <c r="B1067" t="inlineStr">
        <is>
          <t>Регіон</t>
        </is>
      </c>
      <c r="C1067" s="5" t="n">
        <v>1992</v>
      </c>
      <c r="D1067" s="5" t="n">
        <v>1992</v>
      </c>
      <c r="E1067" s="12" t="n">
        <v>1</v>
      </c>
    </row>
    <row r="1068">
      <c r="A1068" t="inlineStr">
        <is>
          <t>Договори</t>
        </is>
      </c>
      <c r="B1068" t="inlineStr">
        <is>
          <t>ЄДРПОУ постачальника</t>
        </is>
      </c>
      <c r="C1068" s="5" t="n">
        <v>1894</v>
      </c>
      <c r="D1068" s="5" t="n">
        <v>1894</v>
      </c>
      <c r="E1068" s="12" t="n">
        <v>1</v>
      </c>
    </row>
    <row r="1069">
      <c r="A1069" t="inlineStr">
        <is>
          <t>Договори</t>
        </is>
      </c>
      <c r="B1069" t="inlineStr">
        <is>
          <t>Сума</t>
        </is>
      </c>
      <c r="C1069" s="5" t="n">
        <v>1894</v>
      </c>
      <c r="D1069" s="5" t="n">
        <v>1894</v>
      </c>
      <c r="E1069" s="12" t="n">
        <v>1</v>
      </c>
    </row>
    <row r="1070">
      <c r="A1070" t="inlineStr">
        <is>
          <t>Договори</t>
        </is>
      </c>
      <c r="B1070" t="inlineStr">
        <is>
          <t>Дата підписання</t>
        </is>
      </c>
      <c r="C1070" s="5" t="n">
        <v>1894</v>
      </c>
      <c r="D1070" s="5" t="n">
        <v>1894</v>
      </c>
      <c r="E1070" s="12" t="n">
        <v>1</v>
      </c>
    </row>
    <row r="1071">
      <c r="A1071" t="inlineStr">
        <is>
          <t>Пропозиції</t>
        </is>
      </c>
      <c r="B1071" t="inlineStr">
        <is>
          <t>ЄДРПОУ учасника</t>
        </is>
      </c>
      <c r="C1071" s="5" t="n">
        <v>1952</v>
      </c>
      <c r="D1071" s="5" t="n">
        <v>1952</v>
      </c>
      <c r="E1071" s="12" t="n">
        <v>1</v>
      </c>
    </row>
    <row r="1072">
      <c r="A1072" t="inlineStr">
        <is>
          <t>Пропозиції</t>
        </is>
      </c>
      <c r="B1072" t="inlineStr">
        <is>
          <t>Сума</t>
        </is>
      </c>
      <c r="C1072" s="5" t="n">
        <v>1952</v>
      </c>
      <c r="D1072" s="5" t="n">
        <v>1952</v>
      </c>
      <c r="E1072" s="12" t="n">
        <v>1</v>
      </c>
    </row>
    <row r="1073">
      <c r="A1073" t="inlineStr">
        <is>
          <t>Номенклатура</t>
        </is>
      </c>
      <c r="B1073" t="inlineStr">
        <is>
          <t>Код ДК021</t>
        </is>
      </c>
      <c r="C1073" s="5" t="n">
        <v>2722</v>
      </c>
      <c r="D1073" s="5" t="n">
        <v>2722</v>
      </c>
      <c r="E1073" s="12" t="n">
        <v>1</v>
      </c>
    </row>
    <row r="1074">
      <c r="A1074" t="inlineStr">
        <is>
          <t>Номенклатура</t>
        </is>
      </c>
      <c r="B1074" t="inlineStr">
        <is>
          <t>Кількість</t>
        </is>
      </c>
      <c r="C1074" s="5" t="n">
        <v>2722</v>
      </c>
      <c r="D1074" s="5" t="n">
        <v>2722</v>
      </c>
      <c r="E1074" s="12" t="n">
        <v>1</v>
      </c>
    </row>
    <row r="1075">
      <c r="A1075" t="inlineStr">
        <is>
          <t>Номенклатура</t>
        </is>
      </c>
      <c r="B1075" t="inlineStr">
        <is>
          <t>Ціна за одиницю</t>
        </is>
      </c>
      <c r="C1075" s="5" t="n">
        <v>2722</v>
      </c>
      <c r="D1075" s="5" t="n">
        <v>2683</v>
      </c>
      <c r="E1075" s="12" t="n">
        <v>0.9857</v>
      </c>
    </row>
    <row r="1076">
      <c r="A1076" t="inlineStr">
        <is>
          <t>Документи</t>
        </is>
      </c>
      <c r="B1076" t="inlineStr">
        <is>
          <t>Назва файлу</t>
        </is>
      </c>
      <c r="C1076" s="5" t="n">
        <v>18747</v>
      </c>
      <c r="D1076" s="5" t="n">
        <v>18747</v>
      </c>
      <c r="E1076" s="12" t="n">
        <v>1</v>
      </c>
    </row>
    <row r="1077">
      <c r="A1077" t="inlineStr">
        <is>
          <t>Документи</t>
        </is>
      </c>
      <c r="B1077" t="inlineStr">
        <is>
          <t>ЄДРПОУ власника</t>
        </is>
      </c>
      <c r="C1077" s="5" t="n">
        <v>18747</v>
      </c>
      <c r="D1077" s="5" t="n">
        <v>14542</v>
      </c>
      <c r="E1077" s="12" t="n">
        <v>0.7756999999999999</v>
      </c>
    </row>
    <row r="1079">
      <c r="A1079" s="2" t="inlineStr">
        <is>
          <t>Зауваження до даних</t>
        </is>
      </c>
    </row>
    <row r="1080">
      <c r="A1080" s="11" t="inlineStr">
        <is>
          <t>Таблиця</t>
        </is>
      </c>
      <c r="B1080" s="11" t="inlineStr">
        <is>
          <t>Ключ</t>
        </is>
      </c>
      <c r="C1080" s="11" t="inlineStr">
        <is>
          <t>Проблема</t>
        </is>
      </c>
      <c r="D1080" s="11" t="inlineStr">
        <is>
          <t>Деталі</t>
        </is>
      </c>
      <c r="E1080" s="11" t="inlineStr">
        <is>
          <t>Дія</t>
        </is>
      </c>
    </row>
    <row r="1081">
      <c r="A1081" t="inlineStr">
        <is>
          <t>Угоди</t>
        </is>
      </c>
      <c r="B1081" s="4" t="inlineStr">
        <is>
          <t>UA-2026-05-12-005759-a</t>
        </is>
      </c>
      <c r="C1081" t="inlineStr">
        <is>
          <t>Нетипова сума для галузі</t>
        </is>
      </c>
      <c r="D1081" t="inlineStr">
        <is>
          <t>3 400,00 грн, відхилення 3.6σ (медіана 41 510,00 грн)</t>
        </is>
      </c>
      <c r="E1081" t="inlineStr">
        <is>
          <t>виключено</t>
        </is>
      </c>
    </row>
    <row r="1082">
      <c r="A1082" t="inlineStr">
        <is>
          <t>Угоди</t>
        </is>
      </c>
      <c r="B1082" s="4" t="inlineStr">
        <is>
          <t>UA-2025-11-19-004062-a</t>
        </is>
      </c>
      <c r="C1082" t="inlineStr">
        <is>
          <t>Нетипова сума для галузі</t>
        </is>
      </c>
      <c r="D1082" t="inlineStr">
        <is>
          <t>2 010,48 грн, відхилення 4.4σ (медіана 41 510,00 грн)</t>
        </is>
      </c>
      <c r="E1082" t="inlineStr">
        <is>
          <t>виключено</t>
        </is>
      </c>
    </row>
    <row r="1083">
      <c r="A1083" t="inlineStr">
        <is>
          <t>Угоди</t>
        </is>
      </c>
      <c r="B1083" s="4" t="inlineStr">
        <is>
          <t>UA-2025-09-18-012716-a</t>
        </is>
      </c>
      <c r="C1083" t="inlineStr">
        <is>
          <t>Нетипова сума для галузі</t>
        </is>
      </c>
      <c r="D1083" t="inlineStr">
        <is>
          <t>3 060,00 грн, відхилення 3.8σ (медіана 41 510,00 грн)</t>
        </is>
      </c>
      <c r="E1083" t="inlineStr">
        <is>
          <t>виключено</t>
        </is>
      </c>
    </row>
    <row r="1084">
      <c r="A1084" t="inlineStr">
        <is>
          <t>Номенклатура</t>
        </is>
      </c>
      <c r="B1084" t="inlineStr">
        <is>
          <t xml:space="preserve">Ноутбук для здобувача освіти середнього рівня: 15.6", Intel </t>
        </is>
      </c>
      <c r="C1084" t="inlineStr">
        <is>
          <t>Нетипова ціна за одиницю</t>
        </is>
      </c>
      <c r="D1084" t="inlineStr">
        <is>
          <t>293 995,00 грн, відхилення 5.0σ (медіана 27 550,00 грн)</t>
        </is>
      </c>
      <c r="E1084" t="inlineStr">
        <is>
          <t>залишено</t>
        </is>
      </c>
    </row>
    <row r="1085">
      <c r="A1085" t="inlineStr">
        <is>
          <t>Номенклатура</t>
        </is>
      </c>
      <c r="B1085" t="inlineStr">
        <is>
          <t>Апаратно-програмний комплекс на базі персонального комп’ютер</t>
        </is>
      </c>
      <c r="C1085" t="inlineStr">
        <is>
          <t>Нетипова ціна за одиницю</t>
        </is>
      </c>
      <c r="D1085" t="inlineStr">
        <is>
          <t>495 383,00 грн, відхилення 6.1σ (медіана 27 550,00 грн)</t>
        </is>
      </c>
      <c r="E1085" t="inlineStr">
        <is>
          <t>залишено</t>
        </is>
      </c>
    </row>
    <row r="1086">
      <c r="A1086" t="inlineStr">
        <is>
          <t>Номенклатура</t>
        </is>
      </c>
      <c r="B1086" t="inlineStr">
        <is>
          <t>Процесор Intel Pentium G2030</t>
        </is>
      </c>
      <c r="C1086" t="inlineStr">
        <is>
          <t>Нетипова ціна за одиницю</t>
        </is>
      </c>
      <c r="D1086" t="inlineStr">
        <is>
          <t>250,00 грн, відхилення 9.9σ (медіана 27 550,00 грн)</t>
        </is>
      </c>
      <c r="E1086" t="inlineStr">
        <is>
          <t>залишено</t>
        </is>
      </c>
    </row>
    <row r="1087">
      <c r="A1087" t="inlineStr">
        <is>
          <t>Номенклатура</t>
        </is>
      </c>
      <c r="B1087" t="inlineStr">
        <is>
          <t xml:space="preserve">Ноутбук для педагогічного працівника середнього рівня: 16", </t>
        </is>
      </c>
      <c r="C1087" t="inlineStr">
        <is>
          <t>Нетипова ціна за одиницю</t>
        </is>
      </c>
      <c r="D1087" t="inlineStr">
        <is>
          <t>874 000,00 грн, відхилення 7.3σ (медіана 27 550,00 грн)</t>
        </is>
      </c>
      <c r="E1087" t="inlineStr">
        <is>
          <t>залишено</t>
        </is>
      </c>
    </row>
    <row r="1088">
      <c r="A1088" t="inlineStr">
        <is>
          <t>Номенклатура</t>
        </is>
      </c>
      <c r="B1088" t="inlineStr">
        <is>
          <t>Мережевий комп’ютер-сховище (NAS)</t>
        </is>
      </c>
      <c r="C1088" t="inlineStr">
        <is>
          <t>Нетипова ціна за одиницю</t>
        </is>
      </c>
      <c r="D1088" t="inlineStr">
        <is>
          <t>462 833,33 грн, відхилення 5.9σ (медіана 27 550,00 грн)</t>
        </is>
      </c>
      <c r="E1088" t="inlineStr">
        <is>
          <t>залишено</t>
        </is>
      </c>
    </row>
    <row r="1089">
      <c r="A1089" t="inlineStr">
        <is>
          <t>Номенклатура</t>
        </is>
      </c>
      <c r="B1089" t="inlineStr">
        <is>
          <t>Графічний планшет з екраном 11 дюймів</t>
        </is>
      </c>
      <c r="C1089" t="inlineStr">
        <is>
          <t>Нетипова ціна за одиницю</t>
        </is>
      </c>
      <c r="D1089" t="inlineStr">
        <is>
          <t>154 277,78 грн, відхилення 3.6σ (медіана 27 550,00 грн)</t>
        </is>
      </c>
      <c r="E1089" t="inlineStr">
        <is>
          <t>залишено</t>
        </is>
      </c>
    </row>
    <row r="1090">
      <c r="A1090" t="inlineStr">
        <is>
          <t>Номенклатура</t>
        </is>
      </c>
      <c r="B1090" t="inlineStr">
        <is>
          <t>Персональний комп’ютер форм-фактора десктоп (учительський :у</t>
        </is>
      </c>
      <c r="C1090" t="inlineStr">
        <is>
          <t>Нетипова ціна за одиницю</t>
        </is>
      </c>
      <c r="D1090" t="inlineStr">
        <is>
          <t>625 000,00 грн, відхилення 6.6σ (медіана 27 550,00 грн)</t>
        </is>
      </c>
      <c r="E1090" t="inlineStr">
        <is>
          <t>залишено</t>
        </is>
      </c>
    </row>
    <row r="1091">
      <c r="A1091" t="inlineStr">
        <is>
          <t>Номенклатура</t>
        </is>
      </c>
      <c r="B1091" t="inlineStr">
        <is>
          <t>Ноутбуки НУШ</t>
        </is>
      </c>
      <c r="C1091" t="inlineStr">
        <is>
          <t>Нетипова ціна за одиницю</t>
        </is>
      </c>
      <c r="D1091" t="inlineStr">
        <is>
          <t>205 000,00 грн, відхилення 4.2σ (медіана 27 550,00 грн)</t>
        </is>
      </c>
      <c r="E1091" t="inlineStr">
        <is>
          <t>залишено</t>
        </is>
      </c>
    </row>
    <row r="1092">
      <c r="A1092" t="inlineStr">
        <is>
          <t>Номенклатура</t>
        </is>
      </c>
      <c r="B1092" t="inlineStr">
        <is>
          <t>Мережевий комп’ютер-сховище (NAS)</t>
        </is>
      </c>
      <c r="C1092" t="inlineStr">
        <is>
          <t>Нетипова ціна за одиницю</t>
        </is>
      </c>
      <c r="D1092" t="inlineStr">
        <is>
          <t>447 440,15 грн, відхилення 5.9σ (медіана 27 550,00 грн)</t>
        </is>
      </c>
      <c r="E1092" t="inlineStr">
        <is>
          <t>залишено</t>
        </is>
      </c>
    </row>
    <row r="1093">
      <c r="A1093" t="inlineStr">
        <is>
          <t>Номенклатура</t>
        </is>
      </c>
      <c r="B1093" t="inlineStr">
        <is>
          <t>Графічний планшет з екраном 11 дюймів</t>
        </is>
      </c>
      <c r="C1093" t="inlineStr">
        <is>
          <t>Нетипова ціна за одиницю</t>
        </is>
      </c>
      <c r="D1093" t="inlineStr">
        <is>
          <t>149 146,72 грн, відхилення 3.5σ (медіана 27 550,00 грн)</t>
        </is>
      </c>
      <c r="E1093" t="inlineStr">
        <is>
          <t>залишено</t>
        </is>
      </c>
    </row>
    <row r="1094">
      <c r="A1094" t="inlineStr">
        <is>
          <t>Номенклатура</t>
        </is>
      </c>
      <c r="B1094" t="inlineStr">
        <is>
          <t>Сканер штрих-коду Xkancode Linear Imaging, USB, дротовий, бе</t>
        </is>
      </c>
      <c r="C1094" t="inlineStr">
        <is>
          <t>Нетипова ціна за одиницю</t>
        </is>
      </c>
      <c r="D1094" t="inlineStr">
        <is>
          <t>2 244,00 грн, відхилення 5.3σ (медіана 27 550,00 грн)</t>
        </is>
      </c>
      <c r="E1094" t="inlineStr">
        <is>
          <t>залишено</t>
        </is>
      </c>
    </row>
    <row r="1095">
      <c r="A1095" t="inlineStr">
        <is>
          <t>Номенклатура</t>
        </is>
      </c>
      <c r="B1095" t="inlineStr">
        <is>
          <t>Мережевий комп’ютер-сховище (NAS)</t>
        </is>
      </c>
      <c r="C1095" t="inlineStr">
        <is>
          <t>Нетипова ціна за одиницю</t>
        </is>
      </c>
      <c r="D1095" t="inlineStr">
        <is>
          <t>447 440,15 грн, відхилення 5.9σ (медіана 27 550,00 грн)</t>
        </is>
      </c>
      <c r="E1095" t="inlineStr">
        <is>
          <t>залишено</t>
        </is>
      </c>
    </row>
    <row r="1096">
      <c r="A1096" t="inlineStr">
        <is>
          <t>Номенклатура</t>
        </is>
      </c>
      <c r="B1096" t="inlineStr">
        <is>
          <t>Графічний планшет з екраном 11 дюймів</t>
        </is>
      </c>
      <c r="C1096" t="inlineStr">
        <is>
          <t>Нетипова ціна за одиницю</t>
        </is>
      </c>
      <c r="D1096" t="inlineStr">
        <is>
          <t>149 146,72 грн, відхилення 3.5σ (медіана 27 550,00 грн)</t>
        </is>
      </c>
      <c r="E1096" t="inlineStr">
        <is>
          <t>залишено</t>
        </is>
      </c>
    </row>
    <row r="1097">
      <c r="A1097" t="inlineStr">
        <is>
          <t>Номенклатура</t>
        </is>
      </c>
      <c r="B1097" t="inlineStr">
        <is>
          <t>Плата</t>
        </is>
      </c>
      <c r="C1097" t="inlineStr">
        <is>
          <t>Нетипова ціна за одиницю</t>
        </is>
      </c>
      <c r="D1097" t="inlineStr">
        <is>
          <t>500,00 грн, відхилення 8.4σ (медіана 27 550,00 грн)</t>
        </is>
      </c>
      <c r="E1097" t="inlineStr">
        <is>
          <t>залишено</t>
        </is>
      </c>
    </row>
    <row r="1098">
      <c r="A1098" t="inlineStr">
        <is>
          <t>Номенклатура</t>
        </is>
      </c>
      <c r="B1098" t="inlineStr">
        <is>
          <t>Ноутбук для педагогічного працівника середнього рівня: 15.6"</t>
        </is>
      </c>
      <c r="C1098" t="inlineStr">
        <is>
          <t>Нетипова ціна за одиницю</t>
        </is>
      </c>
      <c r="D1098" t="inlineStr">
        <is>
          <t>205 845,00 грн, відхилення 4.2σ (медіана 27 550,00 грн)</t>
        </is>
      </c>
      <c r="E1098" t="inlineStr">
        <is>
          <t>залишено</t>
        </is>
      </c>
    </row>
    <row r="1099">
      <c r="A1099" t="inlineStr">
        <is>
          <t>Номенклатура</t>
        </is>
      </c>
      <c r="B1099" t="inlineStr">
        <is>
          <t>Ігровий ноутбук ACER Predator Helios 18 PH18-73 Abyssal Blac</t>
        </is>
      </c>
      <c r="C1099" t="inlineStr">
        <is>
          <t>Нетипова ціна за одиницю</t>
        </is>
      </c>
      <c r="D1099" t="inlineStr">
        <is>
          <t>251 000,00 грн, відхилення 4.6σ (медіана 27 550,00 грн)</t>
        </is>
      </c>
      <c r="E1099" t="inlineStr">
        <is>
          <t>залишено</t>
        </is>
      </c>
    </row>
    <row r="1100">
      <c r="A1100" t="inlineStr">
        <is>
          <t>Номенклатура</t>
        </is>
      </c>
      <c r="B1100" t="inlineStr">
        <is>
          <t>Ігровий ноутбук ACER Predator Helios 18 PH18-73 Abyssal Blac</t>
        </is>
      </c>
      <c r="C1100" t="inlineStr">
        <is>
          <t>Нетипова ціна за одиницю</t>
        </is>
      </c>
      <c r="D1100" t="inlineStr">
        <is>
          <t>220 000,00 грн, відхилення 4.4σ (медіана 27 550,00 грн)</t>
        </is>
      </c>
      <c r="E1100" t="inlineStr">
        <is>
          <t>залишено</t>
        </is>
      </c>
    </row>
    <row r="1101">
      <c r="A1101" t="inlineStr">
        <is>
          <t>Номенклатура</t>
        </is>
      </c>
      <c r="B1101" t="inlineStr">
        <is>
          <t>Системний блок</t>
        </is>
      </c>
      <c r="C1101" t="inlineStr">
        <is>
          <t>Нетипова ціна за одиницю</t>
        </is>
      </c>
      <c r="D1101" t="inlineStr">
        <is>
          <t>5 175,00 грн, відхилення 3.5σ (медіана 27 550,00 грн)</t>
        </is>
      </c>
      <c r="E1101" t="inlineStr">
        <is>
          <t>залишено</t>
        </is>
      </c>
    </row>
    <row r="1102">
      <c r="A1102" t="inlineStr">
        <is>
          <t>Номенклатура</t>
        </is>
      </c>
      <c r="B1102" t="inlineStr">
        <is>
          <t>Персональний комп’ютер для педагогічного працівника середньо</t>
        </is>
      </c>
      <c r="C1102" t="inlineStr">
        <is>
          <t>Нетипова ціна за одиницю</t>
        </is>
      </c>
      <c r="D1102" t="inlineStr">
        <is>
          <t>350 000,00 грн, відхилення 5.3σ (медіана 27 550,00 грн)</t>
        </is>
      </c>
      <c r="E1102" t="inlineStr">
        <is>
          <t>залишено</t>
        </is>
      </c>
    </row>
    <row r="1103">
      <c r="A1103" t="inlineStr">
        <is>
          <t>Номенклатура</t>
        </is>
      </c>
      <c r="B1103" t="inlineStr">
        <is>
          <t xml:space="preserve">Персональний комп’ютер для здобувача освіти високого рівня: </t>
        </is>
      </c>
      <c r="C1103" t="inlineStr">
        <is>
          <t>Нетипова ціна за одиницю</t>
        </is>
      </c>
      <c r="D1103" t="inlineStr">
        <is>
          <t>350 000,00 грн, відхилення 5.3σ (медіана 27 550,00 грн)</t>
        </is>
      </c>
      <c r="E1103" t="inlineStr">
        <is>
          <t>залишено</t>
        </is>
      </c>
    </row>
    <row r="1104">
      <c r="A1104" t="inlineStr">
        <is>
          <t>Номенклатура</t>
        </is>
      </c>
      <c r="B1104" t="inlineStr">
        <is>
          <t>Ноутбуки</t>
        </is>
      </c>
      <c r="C1104" t="inlineStr">
        <is>
          <t>Нетипова ціна за одиницю</t>
        </is>
      </c>
      <c r="D1104" t="inlineStr">
        <is>
          <t>182 500,00 грн, відхилення 4.0σ (медіана 27 550,00 грн)</t>
        </is>
      </c>
      <c r="E1104" t="inlineStr">
        <is>
          <t>залишено</t>
        </is>
      </c>
    </row>
    <row r="1105">
      <c r="A1105" t="inlineStr">
        <is>
          <t>Номенклатура</t>
        </is>
      </c>
      <c r="B1105" t="inlineStr">
        <is>
          <t>Планшети</t>
        </is>
      </c>
      <c r="C1105" t="inlineStr">
        <is>
          <t>Нетипова ціна за одиницю</t>
        </is>
      </c>
      <c r="D1105" t="inlineStr">
        <is>
          <t>365 000,00 грн, відхилення 5.4σ (медіана 27 550,00 грн)</t>
        </is>
      </c>
      <c r="E1105" t="inlineStr">
        <is>
          <t>залишено</t>
        </is>
      </c>
    </row>
    <row r="1106">
      <c r="A1106" t="inlineStr">
        <is>
          <t>Номенклатура</t>
        </is>
      </c>
      <c r="B1106" t="inlineStr">
        <is>
          <t>Системні блоки</t>
        </is>
      </c>
      <c r="C1106" t="inlineStr">
        <is>
          <t>Нетипова ціна за одиницю</t>
        </is>
      </c>
      <c r="D1106" t="inlineStr">
        <is>
          <t>2 200,00 грн, відхилення 5.3σ (медіана 27 550,00 грн)</t>
        </is>
      </c>
      <c r="E1106" t="inlineStr">
        <is>
          <t>залишено</t>
        </is>
      </c>
    </row>
    <row r="1107">
      <c r="A1107" t="inlineStr">
        <is>
          <t>Номенклатура</t>
        </is>
      </c>
      <c r="B1107" t="inlineStr">
        <is>
          <t>накопичувач зовнішній 2,5 HDD 1 ТБ Seagate Expansion, USB 3.</t>
        </is>
      </c>
      <c r="C1107" t="inlineStr">
        <is>
          <t>Нетипова ціна за одиницю</t>
        </is>
      </c>
      <c r="D1107" t="inlineStr">
        <is>
          <t>3 912,00 грн, відхилення 4.1σ (медіана 27 550,00 грн)</t>
        </is>
      </c>
      <c r="E1107" t="inlineStr">
        <is>
          <t>залишено</t>
        </is>
      </c>
    </row>
    <row r="1108">
      <c r="A1108" t="inlineStr">
        <is>
          <t>Номенклатура</t>
        </is>
      </c>
      <c r="B1108" t="inlineStr">
        <is>
          <t>Сканер планшетний, A4, 4800 x 4800 dpi, USB</t>
        </is>
      </c>
      <c r="C1108" t="inlineStr">
        <is>
          <t>Нетипова ціна за одиницю</t>
        </is>
      </c>
      <c r="D1108" t="inlineStr">
        <is>
          <t>4 000,00 грн, відхилення 4.1σ (медіана 27 550,00 грн)</t>
        </is>
      </c>
      <c r="E1108" t="inlineStr">
        <is>
          <t>залишено</t>
        </is>
      </c>
    </row>
    <row r="1109">
      <c r="A1109" t="inlineStr">
        <is>
          <t>Номенклатура</t>
        </is>
      </c>
      <c r="B1109" t="inlineStr">
        <is>
          <t>Сканер штрих-кодів ручний, 1D, USB</t>
        </is>
      </c>
      <c r="C1109" t="inlineStr">
        <is>
          <t>Нетипова ціна за одиницю</t>
        </is>
      </c>
      <c r="D1109" t="inlineStr">
        <is>
          <t>3 200,00 грн, відхилення 4.5σ (медіана 27 550,00 грн)</t>
        </is>
      </c>
      <c r="E1109" t="inlineStr">
        <is>
          <t>залишено</t>
        </is>
      </c>
    </row>
    <row r="1110">
      <c r="A1110" t="inlineStr">
        <is>
          <t>Номенклатура</t>
        </is>
      </c>
      <c r="B1110" t="inlineStr">
        <is>
          <t>гафічний планшет,процесор, оперативна пам'ять, материнська п</t>
        </is>
      </c>
      <c r="C1110" t="inlineStr">
        <is>
          <t>Нетипова ціна за одиницю</t>
        </is>
      </c>
      <c r="D1110" t="inlineStr">
        <is>
          <t>2 633,76 грн, відхилення 4.9σ (медіана 27 550,00 грн)</t>
        </is>
      </c>
      <c r="E1110" t="inlineStr">
        <is>
          <t>залишено</t>
        </is>
      </c>
    </row>
    <row r="1111">
      <c r="A1111" t="inlineStr">
        <is>
          <t>Номенклатура</t>
        </is>
      </c>
      <c r="B1111" t="inlineStr">
        <is>
          <t>Ноутбуки</t>
        </is>
      </c>
      <c r="C1111" t="inlineStr">
        <is>
          <t>Нетипова ціна за одиницю</t>
        </is>
      </c>
      <c r="D1111" t="inlineStr">
        <is>
          <t>436 651,80 грн, відхилення 5.8σ (медіана 27 550,00 грн)</t>
        </is>
      </c>
      <c r="E1111" t="inlineStr">
        <is>
          <t>залишено</t>
        </is>
      </c>
    </row>
    <row r="1112">
      <c r="A1112" t="inlineStr">
        <is>
          <t>Номенклатура</t>
        </is>
      </c>
      <c r="B1112" t="inlineStr">
        <is>
          <t>Автоматизоване робоче місце спеціального призначення із захи</t>
        </is>
      </c>
      <c r="C1112" t="inlineStr">
        <is>
          <t>Нетипова ціна за одиницю</t>
        </is>
      </c>
      <c r="D1112" t="inlineStr">
        <is>
          <t>298 128,00 грн, відхилення 5.0σ (медіана 27 550,00 грн)</t>
        </is>
      </c>
      <c r="E1112" t="inlineStr">
        <is>
          <t>залишено</t>
        </is>
      </c>
    </row>
    <row r="1113">
      <c r="A1113" t="inlineStr">
        <is>
          <t>Номенклатура</t>
        </is>
      </c>
      <c r="B1113" t="inlineStr">
        <is>
          <t>Ноутбук HP 15 з Windows 11 Professional або еквівалент</t>
        </is>
      </c>
      <c r="C1113" t="inlineStr">
        <is>
          <t>Нетипова ціна за одиницю</t>
        </is>
      </c>
      <c r="D1113" t="inlineStr">
        <is>
          <t>486 617,00 грн, відхилення 6.0σ (медіана 27 550,00 грн)</t>
        </is>
      </c>
      <c r="E1113" t="inlineStr">
        <is>
          <t>залишено</t>
        </is>
      </c>
    </row>
    <row r="1114">
      <c r="A1114" t="inlineStr">
        <is>
          <t>Номенклатура</t>
        </is>
      </c>
      <c r="B1114" t="inlineStr">
        <is>
          <t>Системний блок б/у</t>
        </is>
      </c>
      <c r="C1114" t="inlineStr">
        <is>
          <t>Нетипова ціна за одиницю</t>
        </is>
      </c>
      <c r="D1114" t="inlineStr">
        <is>
          <t>5 060,00 грн, відхилення 3.6σ (медіана 27 550,00 грн)</t>
        </is>
      </c>
      <c r="E1114" t="inlineStr">
        <is>
          <t>залишено</t>
        </is>
      </c>
    </row>
    <row r="1115">
      <c r="A1115" t="inlineStr">
        <is>
          <t>Номенклатура</t>
        </is>
      </c>
      <c r="B1115" t="inlineStr">
        <is>
          <t>Ноутбук ASUS ExpertBook B1 B1503CVA Gentle Grey з Windows 11</t>
        </is>
      </c>
      <c r="C1115" t="inlineStr">
        <is>
          <t>Нетипова ціна за одиницю</t>
        </is>
      </c>
      <c r="D1115" t="inlineStr">
        <is>
          <t>192 622,00 грн, відхилення 4.1σ (медіана 27 550,00 грн)</t>
        </is>
      </c>
      <c r="E1115" t="inlineStr">
        <is>
          <t>залишено</t>
        </is>
      </c>
    </row>
    <row r="1116">
      <c r="A1116" t="inlineStr">
        <is>
          <t>Номенклатура</t>
        </is>
      </c>
      <c r="B1116" t="inlineStr">
        <is>
          <t>Системний блок</t>
        </is>
      </c>
      <c r="C1116" t="inlineStr">
        <is>
          <t>Нетипова ціна за одиницю</t>
        </is>
      </c>
      <c r="D1116" t="inlineStr">
        <is>
          <t>4 358,00 грн, відхилення 3.9σ (медіана 27 550,00 грн)</t>
        </is>
      </c>
      <c r="E1116" t="inlineStr">
        <is>
          <t>залишено</t>
        </is>
      </c>
    </row>
    <row r="1117">
      <c r="A1117" t="inlineStr">
        <is>
          <t>Номенклатура</t>
        </is>
      </c>
      <c r="B1117" t="inlineStr">
        <is>
          <t>ДК 021:2015: 30210000-4 Машини для обробки даних (апаратна ч</t>
        </is>
      </c>
      <c r="C1117" t="inlineStr">
        <is>
          <t>Нетипова ціна за одиницю</t>
        </is>
      </c>
      <c r="D1117" t="inlineStr">
        <is>
          <t>150 000,00 грн, відхилення 3.6σ (медіана 27 550,00 грн)</t>
        </is>
      </c>
      <c r="E1117" t="inlineStr">
        <is>
          <t>залишено</t>
        </is>
      </c>
    </row>
    <row r="1118">
      <c r="A1118" t="inlineStr">
        <is>
          <t>Номенклатура</t>
        </is>
      </c>
      <c r="B1118" t="inlineStr">
        <is>
          <t>SSD-накопичувач USB 4TB Samsung T7 (Шв. читання 1050 МБ/с, Ш</t>
        </is>
      </c>
      <c r="C1118" t="inlineStr">
        <is>
          <t>Нетипова ціна за одиницю</t>
        </is>
      </c>
      <c r="D1118" t="inlineStr">
        <is>
          <t>1 373 999,91 грн, відхилення 8.2σ (медіана 27 550,00 грн)</t>
        </is>
      </c>
      <c r="E1118" t="inlineStr">
        <is>
          <t>залишено</t>
        </is>
      </c>
    </row>
    <row r="1119">
      <c r="A1119" t="inlineStr">
        <is>
          <t>Номенклатура</t>
        </is>
      </c>
      <c r="B1119" t="inlineStr">
        <is>
          <t>Ноутбуки</t>
        </is>
      </c>
      <c r="C1119" t="inlineStr">
        <is>
          <t>Нетипова ціна за одиницю</t>
        </is>
      </c>
      <c r="D1119" t="inlineStr">
        <is>
          <t>233 500,00 грн, відхилення 4.5σ (медіана 27 550,00 грн)</t>
        </is>
      </c>
      <c r="E1119" t="inlineStr">
        <is>
          <t>залишено</t>
        </is>
      </c>
    </row>
    <row r="1120">
      <c r="A1120" t="inlineStr">
        <is>
          <t>Номенклатура</t>
        </is>
      </c>
      <c r="B1120" t="inlineStr">
        <is>
          <t>Папір плотерний А1+ 610мм 80г/м² 50м</t>
        </is>
      </c>
      <c r="C1120" t="inlineStr">
        <is>
          <t>Нетипова ціна за одиницю</t>
        </is>
      </c>
      <c r="D1120" t="inlineStr">
        <is>
          <t>17 998,00 грн, відхилення 4.5σ (медіана 179 980,00 грн)</t>
        </is>
      </c>
      <c r="E1120" t="inlineStr">
        <is>
          <t>залишено</t>
        </is>
      </c>
    </row>
    <row r="1121">
      <c r="A1121" t="inlineStr">
        <is>
          <t>Номенклатура</t>
        </is>
      </c>
      <c r="B1121" t="inlineStr">
        <is>
          <t>Чорнило Barva Canon PFI-050 4x70 мл, special, pigmented BK/C</t>
        </is>
      </c>
      <c r="C1121" t="inlineStr">
        <is>
          <t>Нетипова ціна за одиницю</t>
        </is>
      </c>
      <c r="D1121" t="inlineStr">
        <is>
          <t>17 998,00 грн, відхилення 4.5σ (медіана 179 980,00 грн)</t>
        </is>
      </c>
      <c r="E1121" t="inlineStr">
        <is>
          <t>залишено</t>
        </is>
      </c>
    </row>
    <row r="1122">
      <c r="A1122" t="inlineStr">
        <is>
          <t>Номенклатура</t>
        </is>
      </c>
      <c r="B1122" t="inlineStr">
        <is>
          <t>Папір плотерний А1+ 610мм 80г/м² 50м</t>
        </is>
      </c>
      <c r="C1122" t="inlineStr">
        <is>
          <t>Нетипова ціна за одиницю</t>
        </is>
      </c>
      <c r="D1122" t="inlineStr">
        <is>
          <t>7 199,20 грн, відхилення 6.3σ (медіана 179 980,00 грн)</t>
        </is>
      </c>
      <c r="E1122" t="inlineStr">
        <is>
          <t>залишено</t>
        </is>
      </c>
    </row>
    <row r="1123">
      <c r="A1123" t="inlineStr">
        <is>
          <t>Номенклатура</t>
        </is>
      </c>
      <c r="B1123" t="inlineStr">
        <is>
          <t>Конверти для дисків паперові, з вікном, 100 шт</t>
        </is>
      </c>
      <c r="C1123" t="inlineStr">
        <is>
          <t>Нетипова ціна за одиницю</t>
        </is>
      </c>
      <c r="D1123" t="inlineStr">
        <is>
          <t>9,42 грн, відхилення 3.5σ (медіана 5 377,32 грн)</t>
        </is>
      </c>
      <c r="E1123" t="inlineStr">
        <is>
          <t>залишено</t>
        </is>
      </c>
    </row>
    <row r="1124">
      <c r="A1124" t="inlineStr">
        <is>
          <t>Номенклатура</t>
        </is>
      </c>
      <c r="B1124" t="inlineStr">
        <is>
          <t>Оптичні диски DVD-R, 4.7 Гб, 16x, 50 шт</t>
        </is>
      </c>
      <c r="C1124" t="inlineStr">
        <is>
          <t>Нетипова ціна за одиницю</t>
        </is>
      </c>
      <c r="D1124" t="inlineStr">
        <is>
          <t>9,42 грн, відхилення 3.5σ (медіана 5 377,32 грн)</t>
        </is>
      </c>
      <c r="E1124" t="inlineStr">
        <is>
          <t>залишено</t>
        </is>
      </c>
    </row>
    <row r="1125">
      <c r="A1125" t="inlineStr">
        <is>
          <t>Номенклатура</t>
        </is>
      </c>
      <c r="B1125" t="inlineStr">
        <is>
          <t>Персональний комп'ютер Prologix E400 (I5-12400F/16GBDDR4/SSD</t>
        </is>
      </c>
      <c r="C1125" t="inlineStr">
        <is>
          <t>Нетипова ціна за одиницю</t>
        </is>
      </c>
      <c r="D1125" t="inlineStr">
        <is>
          <t>1,00 грн, відхилення 4.8σ (медіана 5 377,32 грн)</t>
        </is>
      </c>
      <c r="E1125" t="inlineStr">
        <is>
          <t>залишено</t>
        </is>
      </c>
    </row>
    <row r="1126">
      <c r="A1126" t="inlineStr">
        <is>
          <t>Номенклатура</t>
        </is>
      </c>
      <c r="B1126" t="inlineStr">
        <is>
          <t>IP-камера Imou BuLLet 2 E 5 MP (IPC-K3DP-5H0WF)</t>
        </is>
      </c>
      <c r="C1126" t="inlineStr">
        <is>
          <t>Нетипова ціна за одиницю</t>
        </is>
      </c>
      <c r="D1126" t="inlineStr">
        <is>
          <t>1,48 грн, відхилення 4.5σ (медіана 5 377,32 грн)</t>
        </is>
      </c>
      <c r="E1126" t="inlineStr">
        <is>
          <t>залишено</t>
        </is>
      </c>
    </row>
    <row r="1127">
      <c r="A1127" t="inlineStr">
        <is>
          <t>Номенклатура</t>
        </is>
      </c>
      <c r="B1127" t="inlineStr">
        <is>
          <t>Картка пам'яті Immou MicroSD 64 Gb ST2-64 S1</t>
        </is>
      </c>
      <c r="C1127" t="inlineStr">
        <is>
          <t>Нетипова ціна за одиницю</t>
        </is>
      </c>
      <c r="D1127" t="inlineStr">
        <is>
          <t>3,08 грн, відхилення 4.1σ (медіана 5 377,32 грн)</t>
        </is>
      </c>
      <c r="E1127" t="inlineStr">
        <is>
          <t>залишено</t>
        </is>
      </c>
    </row>
    <row r="1128">
      <c r="A1128" t="inlineStr">
        <is>
          <t>Номенклатура</t>
        </is>
      </c>
      <c r="B1128" t="inlineStr">
        <is>
          <t>комп’ютерне обладнання, аксесуари та приладдя для комп’ютері</t>
        </is>
      </c>
      <c r="C1128" t="inlineStr">
        <is>
          <t>Нетипова ціна за одиницю</t>
        </is>
      </c>
      <c r="D1128" t="inlineStr">
        <is>
          <t>0,09 грн, відхилення 6.1σ (медіана 5 377,32 грн)</t>
        </is>
      </c>
      <c r="E1128" t="inlineStr">
        <is>
          <t>залишено</t>
        </is>
      </c>
    </row>
    <row r="1129">
      <c r="A1129" t="inlineStr">
        <is>
          <t>Номенклатура</t>
        </is>
      </c>
      <c r="B1129" t="inlineStr">
        <is>
          <t>CD-R</t>
        </is>
      </c>
      <c r="C1129" t="inlineStr">
        <is>
          <t>Нетипова ціна за одиницю</t>
        </is>
      </c>
      <c r="D1129" t="inlineStr">
        <is>
          <t>8,73 грн, відхилення 3.6σ (медіана 5 377,32 грн)</t>
        </is>
      </c>
      <c r="E1129" t="inlineStr">
        <is>
          <t>залишено</t>
        </is>
      </c>
    </row>
    <row r="1130">
      <c r="A1130" t="inlineStr">
        <is>
          <t>Номенклатура</t>
        </is>
      </c>
      <c r="B1130" t="inlineStr">
        <is>
          <t>Монітор</t>
        </is>
      </c>
      <c r="C1130" t="inlineStr">
        <is>
          <t>Нетипова ціна за одиницю</t>
        </is>
      </c>
      <c r="D1130" t="inlineStr">
        <is>
          <t>163 869,67 грн, відхилення 11.6σ (медіана 4 800,00 грн)</t>
        </is>
      </c>
      <c r="E1130" t="inlineStr">
        <is>
          <t>залишено</t>
        </is>
      </c>
    </row>
    <row r="1131">
      <c r="A1131" t="inlineStr">
        <is>
          <t>Номенклатура</t>
        </is>
      </c>
      <c r="B1131" t="inlineStr">
        <is>
          <t>Монітор</t>
        </is>
      </c>
      <c r="C1131" t="inlineStr">
        <is>
          <t>Нетипова ціна за одиницю</t>
        </is>
      </c>
      <c r="D1131" t="inlineStr">
        <is>
          <t>144 955,98 грн, відхилення 11.2σ (медіана 4 800,00 грн)</t>
        </is>
      </c>
      <c r="E1131" t="inlineStr">
        <is>
          <t>залишено</t>
        </is>
      </c>
    </row>
    <row r="1132">
      <c r="A1132" t="inlineStr">
        <is>
          <t>Номенклатура</t>
        </is>
      </c>
      <c r="B1132" t="inlineStr">
        <is>
          <t>Комп'ютерне обладнання (монітор)</t>
        </is>
      </c>
      <c r="C1132" t="inlineStr">
        <is>
          <t>Нетипова ціна за одиницю</t>
        </is>
      </c>
      <c r="D1132" t="inlineStr">
        <is>
          <t>19 620,00 грн, відхилення 4.6σ (медіана 4 800,00 грн)</t>
        </is>
      </c>
      <c r="E1132" t="inlineStr">
        <is>
          <t>залишено</t>
        </is>
      </c>
    </row>
    <row r="1133">
      <c r="A1133" t="inlineStr">
        <is>
          <t>Номенклатура</t>
        </is>
      </c>
      <c r="B1133" t="inlineStr">
        <is>
          <t>Багатофункціональний пристрій з кольоровим дисплеєм</t>
        </is>
      </c>
      <c r="C1133" t="inlineStr">
        <is>
          <t>Нетипова ціна за одиницю</t>
        </is>
      </c>
      <c r="D1133" t="inlineStr">
        <is>
          <t>230 000,00 грн, відхилення 4.9σ (медіана 13 700,00 грн)</t>
        </is>
      </c>
      <c r="E1133" t="inlineStr">
        <is>
          <t>залишено</t>
        </is>
      </c>
    </row>
    <row r="1134">
      <c r="A1134" t="inlineStr">
        <is>
          <t>Номенклатура</t>
        </is>
      </c>
      <c r="B1134" t="inlineStr">
        <is>
          <t>Комплект обладнання для 3D-друку для STEM-лабораторії</t>
        </is>
      </c>
      <c r="C1134" t="inlineStr">
        <is>
          <t>Нетипова ціна за одиницю</t>
        </is>
      </c>
      <c r="D1134" t="inlineStr">
        <is>
          <t>321 083,33 грн, відхилення 4.3σ (медіана 16 265,50 грн)</t>
        </is>
      </c>
      <c r="E1134" t="inlineStr">
        <is>
          <t>залишено</t>
        </is>
      </c>
    </row>
    <row r="1135">
      <c r="A1135" t="inlineStr">
        <is>
          <t>Номенклатура</t>
        </is>
      </c>
      <c r="B1135" t="inlineStr">
        <is>
          <t>Комплект обладнання для 3D-друку для STEM-лабораторії</t>
        </is>
      </c>
      <c r="C1135" t="inlineStr">
        <is>
          <t>Нетипова ціна за одиницю</t>
        </is>
      </c>
      <c r="D1135" t="inlineStr">
        <is>
          <t>321 083,33 грн, відхилення 4.3σ (медіана 16 265,50 грн)</t>
        </is>
      </c>
      <c r="E1135" t="inlineStr">
        <is>
          <t>залишено</t>
        </is>
      </c>
    </row>
    <row r="1136">
      <c r="A1136" t="inlineStr">
        <is>
          <t>Номенклатура</t>
        </is>
      </c>
      <c r="B1136" t="inlineStr">
        <is>
          <t>Принтер лазерний</t>
        </is>
      </c>
      <c r="C1136" t="inlineStr">
        <is>
          <t>Нетипова ціна за одиницю</t>
        </is>
      </c>
      <c r="D1136" t="inlineStr">
        <is>
          <t>230 000,00 грн, відхилення 9.3σ (медіана 13 450,00 грн)</t>
        </is>
      </c>
      <c r="E1136" t="inlineStr">
        <is>
          <t>залишено</t>
        </is>
      </c>
    </row>
    <row r="1137">
      <c r="A1137" t="inlineStr">
        <is>
          <t>Номенклатура</t>
        </is>
      </c>
      <c r="B1137" t="inlineStr">
        <is>
          <t>Накопичувач SSD M.2 2280 1 TB 990 PRO Samsung</t>
        </is>
      </c>
      <c r="C1137" t="inlineStr">
        <is>
          <t>Нетипова ціна за одиницю</t>
        </is>
      </c>
      <c r="D1137" t="inlineStr">
        <is>
          <t>12 399,00 грн, відхилення 3.8σ (медіана 1 896,00 грн)</t>
        </is>
      </c>
      <c r="E1137" t="inlineStr">
        <is>
          <t>залишено</t>
        </is>
      </c>
    </row>
    <row r="1138">
      <c r="A1138" t="inlineStr">
        <is>
          <t>Номенклатура</t>
        </is>
      </c>
      <c r="B1138" t="inlineStr">
        <is>
          <t>Карта пам’яті на 256 ГБ</t>
        </is>
      </c>
      <c r="C1138" t="inlineStr">
        <is>
          <t>Нетипова ціна за одиницю</t>
        </is>
      </c>
      <c r="D1138" t="inlineStr">
        <is>
          <t>496 364,00 грн, відхилення 11.3σ (медіана 1 896,00 грн)</t>
        </is>
      </c>
      <c r="E1138" t="inlineStr">
        <is>
          <t>залишено</t>
        </is>
      </c>
    </row>
    <row r="1139">
      <c r="A1139" t="inlineStr">
        <is>
          <t>Номенклатура</t>
        </is>
      </c>
      <c r="B1139" t="inlineStr">
        <is>
          <t>Карта пам’яті 32 Гб</t>
        </is>
      </c>
      <c r="C1139" t="inlineStr">
        <is>
          <t>Нетипова ціна за одиницю</t>
        </is>
      </c>
      <c r="D1139" t="inlineStr">
        <is>
          <t>49 636,40 грн, відхилення 6.6σ (медіана 1 896,00 грн)</t>
        </is>
      </c>
      <c r="E1139" t="inlineStr">
        <is>
          <t>залишено</t>
        </is>
      </c>
    </row>
    <row r="1140">
      <c r="A1140" t="inlineStr">
        <is>
          <t>Номенклатура</t>
        </is>
      </c>
      <c r="B1140" t="inlineStr">
        <is>
          <t>накопичувач SSD 2.5 960GB Kingston A400 SATAIII 3D V-NAND (3</t>
        </is>
      </c>
      <c r="C1140" t="inlineStr">
        <is>
          <t>Нетипова ціна за одиницю</t>
        </is>
      </c>
      <c r="D1140" t="inlineStr">
        <is>
          <t>16 159,00 грн, відхилення 4.4σ (медіана 1 896,00 грн)</t>
        </is>
      </c>
      <c r="E1140" t="inlineStr">
        <is>
          <t>залишено</t>
        </is>
      </c>
    </row>
    <row r="1141">
      <c r="A1141" t="inlineStr">
        <is>
          <t>Номенклатура</t>
        </is>
      </c>
      <c r="B1141" t="inlineStr">
        <is>
          <t>Зовнішній HDD Seagate Basic 2TB Gray</t>
        </is>
      </c>
      <c r="C1141" t="inlineStr">
        <is>
          <t>Нетипова ціна за одиницю</t>
        </is>
      </c>
      <c r="D1141" t="inlineStr">
        <is>
          <t>4 500,00 грн, відхилення 3.5σ (медіана 300,00 грн)</t>
        </is>
      </c>
      <c r="E1141" t="inlineStr">
        <is>
          <t>залишено</t>
        </is>
      </c>
    </row>
    <row r="1142">
      <c r="A1142" t="inlineStr">
        <is>
          <t>Номенклатура</t>
        </is>
      </c>
      <c r="B1142" t="inlineStr">
        <is>
          <t>Накопичувач USB</t>
        </is>
      </c>
      <c r="C1142" t="inlineStr">
        <is>
          <t>Нетипова ціна за одиницю</t>
        </is>
      </c>
      <c r="D1142" t="inlineStr">
        <is>
          <t>14 846,00 грн, відхилення 5.1σ (медіана 300,00 грн)</t>
        </is>
      </c>
      <c r="E1142" t="inlineStr">
        <is>
          <t>залишено</t>
        </is>
      </c>
    </row>
    <row r="1143">
      <c r="A1143" t="inlineStr">
        <is>
          <t>Номенклатура</t>
        </is>
      </c>
      <c r="B1143" t="inlineStr">
        <is>
          <t>Накопичувач USB</t>
        </is>
      </c>
      <c r="C1143" t="inlineStr">
        <is>
          <t>Нетипова ціна за одиницю</t>
        </is>
      </c>
      <c r="D1143" t="inlineStr">
        <is>
          <t>8 930,00 грн, відхилення 4.4σ (медіана 300,00 грн)</t>
        </is>
      </c>
      <c r="E1143" t="inlineStr">
        <is>
          <t>залишено</t>
        </is>
      </c>
    </row>
    <row r="1144">
      <c r="A1144" t="inlineStr">
        <is>
          <t>Номенклатура</t>
        </is>
      </c>
      <c r="B1144" t="inlineStr">
        <is>
          <t>карта пам’яті 16 Gb</t>
        </is>
      </c>
      <c r="C1144" t="inlineStr">
        <is>
          <t>Нетипова ціна за одиницю</t>
        </is>
      </c>
      <c r="D1144" t="inlineStr">
        <is>
          <t>470,00 грн, відхилення 6.6σ (медіана 1 584,00 грн)</t>
        </is>
      </c>
      <c r="E1144" t="inlineStr">
        <is>
          <t>залишено</t>
        </is>
      </c>
    </row>
    <row r="1145">
      <c r="A1145" t="inlineStr">
        <is>
          <t>Номенклатура</t>
        </is>
      </c>
      <c r="B1145" t="inlineStr">
        <is>
          <t>карта пам’яті 32 Gb</t>
        </is>
      </c>
      <c r="C1145" t="inlineStr">
        <is>
          <t>Нетипова ціна за одиницю</t>
        </is>
      </c>
      <c r="D1145" t="inlineStr">
        <is>
          <t>313,33 грн, відхилення 8.8σ (медіана 1 584,00 грн)</t>
        </is>
      </c>
      <c r="E1145" t="inlineStr">
        <is>
          <t>залишено</t>
        </is>
      </c>
    </row>
    <row r="1146">
      <c r="A1146" t="inlineStr">
        <is>
          <t>Номенклатура</t>
        </is>
      </c>
      <c r="B1146" t="inlineStr">
        <is>
          <t>Портативний SSD накопичувач 2 ТВ</t>
        </is>
      </c>
      <c r="C1146" t="inlineStr">
        <is>
          <t>Нетипова ціна за одиницю</t>
        </is>
      </c>
      <c r="D1146" t="inlineStr">
        <is>
          <t>496 364,00 грн, відхилення 5.3σ (медіана 4 820,00 грн)</t>
        </is>
      </c>
      <c r="E1146" t="inlineStr">
        <is>
          <t>залишено</t>
        </is>
      </c>
    </row>
    <row r="1147">
      <c r="A1147" t="inlineStr">
        <is>
          <t>Номенклатура</t>
        </is>
      </c>
      <c r="B1147" t="inlineStr">
        <is>
          <t>Флешка</t>
        </is>
      </c>
      <c r="C1147" t="inlineStr">
        <is>
          <t>Нетипова ціна за одиницю</t>
        </is>
      </c>
      <c r="D1147" t="inlineStr">
        <is>
          <t>19 090,92 грн, відхилення 4.9σ (медіана 478,80 грн)</t>
        </is>
      </c>
      <c r="E1147" t="inlineStr">
        <is>
          <t>залишено</t>
        </is>
      </c>
    </row>
    <row r="1148">
      <c r="A1148" t="inlineStr">
        <is>
          <t>Номенклатура</t>
        </is>
      </c>
      <c r="B1148" t="inlineStr">
        <is>
          <t>Веб-камера</t>
        </is>
      </c>
      <c r="C1148" t="inlineStr">
        <is>
          <t>Нетипова ціна за одиницю</t>
        </is>
      </c>
      <c r="D1148" t="inlineStr">
        <is>
          <t>1 870,00 грн, відхилення 3.7σ (медіана 1 300,00 грн)</t>
        </is>
      </c>
      <c r="E1148" t="inlineStr">
        <is>
          <t>залишено</t>
        </is>
      </c>
    </row>
    <row r="1149">
      <c r="A1149" t="inlineStr">
        <is>
          <t>Номенклатура</t>
        </is>
      </c>
      <c r="B1149" t="inlineStr">
        <is>
          <t>Веб камера Anker PowerConf C200</t>
        </is>
      </c>
      <c r="C1149" t="inlineStr">
        <is>
          <t>Нетипова ціна за одиницю</t>
        </is>
      </c>
      <c r="D1149" t="inlineStr">
        <is>
          <t>3 484,00 грн, відхилення 9.9σ (медіана 1 300,00 грн)</t>
        </is>
      </c>
      <c r="E1149" t="inlineStr">
        <is>
          <t>залишено</t>
        </is>
      </c>
    </row>
    <row r="1150">
      <c r="A1150" t="inlineStr">
        <is>
          <t>Номенклатура</t>
        </is>
      </c>
      <c r="B1150" t="inlineStr">
        <is>
          <t>Веб-камера Logitech QuickCam c270 HD (30237240-3)</t>
        </is>
      </c>
      <c r="C1150" t="inlineStr">
        <is>
          <t>Нетипова ціна за одиницю</t>
        </is>
      </c>
      <c r="D1150" t="inlineStr">
        <is>
          <t>8 079,50 грн, відхилення 18.4σ (медіана 1 300,00 грн)</t>
        </is>
      </c>
      <c r="E1150" t="inlineStr">
        <is>
          <t>залишено</t>
        </is>
      </c>
    </row>
    <row r="1151">
      <c r="A1151" t="inlineStr">
        <is>
          <t>Номенклатура</t>
        </is>
      </c>
      <c r="B1151" t="inlineStr">
        <is>
          <t>Веб-камери А4 Tech PK-810P Black</t>
        </is>
      </c>
      <c r="C1151" t="inlineStr">
        <is>
          <t>Нетипова ціна за одиницю</t>
        </is>
      </c>
      <c r="D1151" t="inlineStr">
        <is>
          <t>850,00 грн, відхилення 4.3σ (медіана 1 300,00 грн)</t>
        </is>
      </c>
      <c r="E1151" t="inlineStr">
        <is>
          <t>залишено</t>
        </is>
      </c>
    </row>
    <row r="1152">
      <c r="A1152" t="inlineStr">
        <is>
          <t>Номенклатура</t>
        </is>
      </c>
      <c r="B1152" t="inlineStr">
        <is>
          <t>Мишка</t>
        </is>
      </c>
      <c r="C1152" t="inlineStr">
        <is>
          <t>Нетипова ціна за одиницю</t>
        </is>
      </c>
      <c r="D1152" t="inlineStr">
        <is>
          <t>13 684,00 грн, відхилення 5.4σ (медіана 320,00 грн)</t>
        </is>
      </c>
      <c r="E1152" t="inlineStr">
        <is>
          <t>залишено</t>
        </is>
      </c>
    </row>
    <row r="1153">
      <c r="A1153" t="inlineStr">
        <is>
          <t>Номенклатура</t>
        </is>
      </c>
      <c r="B1153" t="inlineStr">
        <is>
          <t>Миша комп’ютерна дротова</t>
        </is>
      </c>
      <c r="C1153" t="inlineStr">
        <is>
          <t>Нетипова ціна за одиницю</t>
        </is>
      </c>
      <c r="D1153" t="inlineStr">
        <is>
          <t>8 863,64 грн, відхилення 4.8σ (медіана 320,00 грн)</t>
        </is>
      </c>
      <c r="E1153" t="inlineStr">
        <is>
          <t>залишено</t>
        </is>
      </c>
    </row>
    <row r="1154">
      <c r="A1154" t="inlineStr">
        <is>
          <t>Номенклатура</t>
        </is>
      </c>
      <c r="B1154" t="inlineStr">
        <is>
          <t>Диск СD-R</t>
        </is>
      </c>
      <c r="C1154" t="inlineStr">
        <is>
          <t>Нетипова ціна за одиницю</t>
        </is>
      </c>
      <c r="D1154" t="inlineStr">
        <is>
          <t>12,00 грн, відхилення 3.9σ (медіана 8 079,50 грн)</t>
        </is>
      </c>
      <c r="E1154" t="inlineStr">
        <is>
          <t>залишено</t>
        </is>
      </c>
    </row>
    <row r="1155">
      <c r="A1155" t="inlineStr">
        <is>
          <t>Номенклатура</t>
        </is>
      </c>
      <c r="B1155" t="inlineStr">
        <is>
          <t>CD-R диск з конвертом (30234300-1) (код ДК 021:2015:30230000</t>
        </is>
      </c>
      <c r="C1155" t="inlineStr">
        <is>
          <t>Нетипова ціна за одиницю</t>
        </is>
      </c>
      <c r="D1155" t="inlineStr">
        <is>
          <t>18,20 грн, відхилення 3.7σ (медіана 8 079,50 грн)</t>
        </is>
      </c>
      <c r="E1155" t="inlineStr">
        <is>
          <t>залишено</t>
        </is>
      </c>
    </row>
    <row r="1156">
      <c r="A1156" t="inlineStr">
        <is>
          <t>Закупівлі</t>
        </is>
      </c>
      <c r="B1156" t="inlineStr">
        <is>
          <t>UA-2026-08-03-004932-a, UA-2026-08-03-002538-a</t>
        </is>
      </c>
      <c r="C1156" t="inlineStr">
        <is>
          <t>Схожі закупівлі одного дня</t>
        </is>
      </c>
      <c r="D1156" t="inlineStr">
        <is>
          <t>2 шт.: Моноблок ARTLINE Business M61 (M61v34)</t>
        </is>
      </c>
      <c r="E1156" t="inlineStr">
        <is>
          <t>залишено</t>
        </is>
      </c>
    </row>
    <row r="1157">
      <c r="A1157" t="inlineStr">
        <is>
          <t>Закупівлі</t>
        </is>
      </c>
      <c r="B1157" t="inlineStr">
        <is>
          <t>UA-2026-06-16-012498-a, UA-2026-06-16-010028-a</t>
        </is>
      </c>
      <c r="C1157" t="inlineStr">
        <is>
          <t>Схожі закупівлі одного дня</t>
        </is>
      </c>
      <c r="D1157" t="inlineStr">
        <is>
          <t>2 шт.: Багатофункціональний пристрій Canon i-SENSYS MF461</t>
        </is>
      </c>
      <c r="E1157" t="inlineStr">
        <is>
          <t>залишено</t>
        </is>
      </c>
    </row>
    <row r="1158">
      <c r="A1158" t="inlineStr">
        <is>
          <t>Закупівлі</t>
        </is>
      </c>
      <c r="B1158" t="inlineStr">
        <is>
          <t>UA-2026-05-15-003885-a, UA-2026-05-15-002411-a</t>
        </is>
      </c>
      <c r="C1158" t="inlineStr">
        <is>
          <t>Схожі закупівлі одного дня</t>
        </is>
      </c>
      <c r="D1158" t="inlineStr">
        <is>
          <t>2 шт.: Флешка USB 3,2 Wibrand 128 GB Grey.</t>
        </is>
      </c>
      <c r="E1158" t="inlineStr">
        <is>
          <t>залишено</t>
        </is>
      </c>
    </row>
    <row r="1159">
      <c r="A1159" t="inlineStr">
        <is>
          <t>Закупівлі</t>
        </is>
      </c>
      <c r="B1159" t="inlineStr">
        <is>
          <t>UA-2026-04-21-005323-a, UA-2026-04-21-002861-a</t>
        </is>
      </c>
      <c r="C1159" t="inlineStr">
        <is>
          <t>Схожі закупівлі одного дня</t>
        </is>
      </c>
      <c r="D1159" t="inlineStr">
        <is>
          <t>2 шт.: Комп’ютерне обладнання</t>
        </is>
      </c>
      <c r="E1159" t="inlineStr">
        <is>
          <t>залишено</t>
        </is>
      </c>
    </row>
    <row r="1160">
      <c r="A1160" t="inlineStr">
        <is>
          <t>Закупівлі</t>
        </is>
      </c>
      <c r="B1160" t="inlineStr">
        <is>
          <t>UA-2026-04-06-007529-a, UA-2026-04-06-006378-a</t>
        </is>
      </c>
      <c r="C1160" t="inlineStr">
        <is>
          <t>Схожі закупівлі одного дня</t>
        </is>
      </c>
      <c r="D1160" t="inlineStr">
        <is>
          <t>2 шт.: Машини для обробки даних (апаратна частина) (Моніт</t>
        </is>
      </c>
      <c r="E1160" t="inlineStr">
        <is>
          <t>залишено</t>
        </is>
      </c>
    </row>
    <row r="1161">
      <c r="A1161" t="inlineStr">
        <is>
          <t>Закупівлі</t>
        </is>
      </c>
      <c r="B1161" t="inlineStr">
        <is>
          <t>UA-2025-12-18-013333-a, UA-2025-12-18-012215-a</t>
        </is>
      </c>
      <c r="C1161" t="inlineStr">
        <is>
          <t>Схожі закупівлі одного дня</t>
        </is>
      </c>
      <c r="D1161" t="inlineStr">
        <is>
          <t>2 шт.: Комп'ютерне обладнання (принтер Epson M1120)</t>
        </is>
      </c>
      <c r="E1161" t="inlineStr">
        <is>
          <t>залишено</t>
        </is>
      </c>
    </row>
    <row r="1162">
      <c r="A1162" t="inlineStr">
        <is>
          <t>Закупівлі</t>
        </is>
      </c>
      <c r="B1162" t="inlineStr">
        <is>
          <t>UA-2025-12-16-024065-a, UA-2025-12-16-023887-a</t>
        </is>
      </c>
      <c r="C1162" t="inlineStr">
        <is>
          <t>Схожі закупівлі одного дня</t>
        </is>
      </c>
      <c r="D1162" t="inlineStr">
        <is>
          <t>2 шт.: придбання комп'ютерного обладнання для організації</t>
        </is>
      </c>
      <c r="E1162" t="inlineStr">
        <is>
          <t>залишено</t>
        </is>
      </c>
    </row>
    <row r="1163">
      <c r="A1163" t="inlineStr">
        <is>
          <t>Закупівлі</t>
        </is>
      </c>
      <c r="B1163" t="inlineStr">
        <is>
          <t>UA-2025-12-05-013265-a, UA-2025-12-05-012758-a</t>
        </is>
      </c>
      <c r="C1163" t="inlineStr">
        <is>
          <t>Схожі закупівлі одного дня</t>
        </is>
      </c>
      <c r="D1163" t="inlineStr">
        <is>
          <t>2 шт.: Комп’ютерне обладнання</t>
        </is>
      </c>
      <c r="E1163" t="inlineStr">
        <is>
          <t>залишено</t>
        </is>
      </c>
    </row>
    <row r="1164">
      <c r="A1164" t="inlineStr">
        <is>
          <t>Закупівлі</t>
        </is>
      </c>
      <c r="B1164" t="inlineStr">
        <is>
          <t>UA-2025-12-03-000557-a, UA-2025-12-03-000488-a</t>
        </is>
      </c>
      <c r="C1164" t="inlineStr">
        <is>
          <t>Схожі закупівлі одного дня</t>
        </is>
      </c>
      <c r="D1164" t="inlineStr">
        <is>
          <t>2 шт.: Ноутбук HP Laptop</t>
        </is>
      </c>
      <c r="E1164" t="inlineStr">
        <is>
          <t>залишено</t>
        </is>
      </c>
    </row>
    <row r="1165">
      <c r="A1165" t="inlineStr">
        <is>
          <t>Закупівлі</t>
        </is>
      </c>
      <c r="B1165" t="inlineStr">
        <is>
          <t>UA-2025-10-24-007977-a, UA-2025-10-24-006892-a</t>
        </is>
      </c>
      <c r="C1165" t="inlineStr">
        <is>
          <t>Схожі закупівлі одного дня</t>
        </is>
      </c>
      <c r="D1165" t="inlineStr">
        <is>
          <t>2 шт.: Монітор Lenovo 24</t>
        </is>
      </c>
      <c r="E1165" t="inlineStr">
        <is>
          <t>залишено</t>
        </is>
      </c>
    </row>
    <row r="1167">
      <c r="A1167" s="2" t="inlineStr">
        <is>
          <t>Розподіл сум за галузями</t>
        </is>
      </c>
    </row>
    <row r="1168">
      <c r="A1168" s="11" t="inlineStr">
        <is>
          <t>Код ДК021</t>
        </is>
      </c>
      <c r="B1168" s="11" t="inlineStr">
        <is>
          <t>Назва</t>
        </is>
      </c>
      <c r="C1168" s="11" t="inlineStr">
        <is>
          <t>Угод</t>
        </is>
      </c>
      <c r="D1168" s="11" t="inlineStr">
        <is>
          <t>Медіана</t>
        </is>
      </c>
      <c r="E1168" s="11" t="inlineStr">
        <is>
          <t>Нижній квартиль</t>
        </is>
      </c>
      <c r="F1168" s="11" t="inlineStr">
        <is>
          <t>Верхній квартиль</t>
        </is>
      </c>
      <c r="G1168" s="11" t="inlineStr">
        <is>
          <t>Мінімум</t>
        </is>
      </c>
      <c r="H1168" s="11" t="inlineStr">
        <is>
          <t>Максимум</t>
        </is>
      </c>
      <c r="I1168" s="11" t="inlineStr">
        <is>
          <t>Викидів</t>
        </is>
      </c>
    </row>
    <row r="1169">
      <c r="A1169" t="inlineStr">
        <is>
          <t>30230000-0</t>
        </is>
      </c>
      <c r="B1169" t="inlineStr">
        <is>
          <t>Комп’ютерне обладнання</t>
        </is>
      </c>
      <c r="C1169" s="5" t="n">
        <v>13</v>
      </c>
      <c r="D1169" s="5" t="n">
        <v>41510</v>
      </c>
      <c r="E1169" s="5" t="n">
        <v>3960</v>
      </c>
      <c r="F1169" s="5" t="n">
        <v>57200</v>
      </c>
      <c r="G1169" s="13" t="n">
        <v>2010.48</v>
      </c>
      <c r="H1169" s="5" t="n">
        <v>102800</v>
      </c>
      <c r="I1169" s="5" t="n">
        <v>3</v>
      </c>
    </row>
    <row r="1170">
      <c r="A1170" t="inlineStr">
        <is>
          <t>_інші</t>
        </is>
      </c>
      <c r="B1170" t="inlineStr">
        <is>
          <t>дрібні групи разом</t>
        </is>
      </c>
      <c r="C1170" s="5" t="n">
        <v>1</v>
      </c>
      <c r="D1170" s="5" t="n">
        <v>48900</v>
      </c>
      <c r="E1170" s="5" t="n">
        <v>48900</v>
      </c>
      <c r="F1170" s="5" t="n">
        <v>48900</v>
      </c>
      <c r="G1170" s="13" t="n">
        <v>48900</v>
      </c>
      <c r="H1170" s="5" t="n">
        <v>48900</v>
      </c>
      <c r="I1170" s="5" t="n">
        <v>0</v>
      </c>
    </row>
    <row r="1172">
      <c r="A1172" s="2" t="inlineStr">
        <is>
          <t>Розподіл цін за одиницю</t>
        </is>
      </c>
    </row>
    <row r="1173">
      <c r="A1173" s="11" t="inlineStr">
        <is>
          <t>Код ДК021</t>
        </is>
      </c>
      <c r="B1173" s="11" t="inlineStr">
        <is>
          <t>Назва</t>
        </is>
      </c>
      <c r="C1173" s="11" t="inlineStr">
        <is>
          <t>Позицій</t>
        </is>
      </c>
      <c r="D1173" s="11" t="inlineStr">
        <is>
          <t>Медіана</t>
        </is>
      </c>
      <c r="E1173" s="11" t="inlineStr">
        <is>
          <t>Нижній квартиль</t>
        </is>
      </c>
      <c r="F1173" s="11" t="inlineStr">
        <is>
          <t>Верхній квартиль</t>
        </is>
      </c>
      <c r="G1173" s="11" t="inlineStr">
        <is>
          <t>Мінімум</t>
        </is>
      </c>
      <c r="H1173" s="11" t="inlineStr">
        <is>
          <t>Максимум</t>
        </is>
      </c>
      <c r="I1173" s="11" t="inlineStr">
        <is>
          <t>Викидів</t>
        </is>
      </c>
    </row>
    <row r="1174">
      <c r="A1174" t="inlineStr">
        <is>
          <t>30200000-1</t>
        </is>
      </c>
      <c r="B1174" t="inlineStr">
        <is>
          <t>Комп’ютерне обладнання та приладдя</t>
        </is>
      </c>
      <c r="C1174" s="5" t="n">
        <v>45</v>
      </c>
      <c r="D1174" s="13" t="n">
        <v>7500</v>
      </c>
      <c r="E1174" s="13" t="n">
        <v>2600</v>
      </c>
      <c r="F1174" s="13" t="n">
        <v>20045</v>
      </c>
      <c r="G1174" s="13" t="n">
        <v>129</v>
      </c>
      <c r="H1174" s="13" t="n">
        <v>44000</v>
      </c>
      <c r="I1174" s="5" t="n">
        <v>0</v>
      </c>
    </row>
    <row r="1175">
      <c r="A1175" t="inlineStr">
        <is>
          <t>30210000-4</t>
        </is>
      </c>
      <c r="B1175" t="inlineStr">
        <is>
          <t>Машини для обробки даних (апаратна частина)</t>
        </is>
      </c>
      <c r="C1175" s="5" t="n">
        <v>606</v>
      </c>
      <c r="D1175" s="13" t="n">
        <v>27550</v>
      </c>
      <c r="E1175" s="13" t="n">
        <v>19899.25</v>
      </c>
      <c r="F1175" s="13" t="n">
        <v>37207</v>
      </c>
      <c r="G1175" s="13" t="n">
        <v>250</v>
      </c>
      <c r="H1175" s="13" t="n">
        <v>1373999.91</v>
      </c>
      <c r="I1175" s="5" t="n">
        <v>36</v>
      </c>
    </row>
    <row r="1176">
      <c r="A1176" t="inlineStr">
        <is>
          <t>30213000-5</t>
        </is>
      </c>
      <c r="B1176" t="inlineStr">
        <is>
          <t>Персональні комп’ютери</t>
        </is>
      </c>
      <c r="C1176" s="5" t="n">
        <v>56</v>
      </c>
      <c r="D1176" s="13" t="n">
        <v>26500</v>
      </c>
      <c r="E1176" s="13" t="n">
        <v>19996</v>
      </c>
      <c r="F1176" s="13" t="n">
        <v>35209.75</v>
      </c>
      <c r="G1176" s="13" t="n">
        <v>10000</v>
      </c>
      <c r="H1176" s="13" t="n">
        <v>106333.33</v>
      </c>
      <c r="I1176" s="5" t="n">
        <v>0</v>
      </c>
    </row>
    <row r="1177">
      <c r="A1177" t="inlineStr">
        <is>
          <t>30213100-6</t>
        </is>
      </c>
      <c r="B1177" t="inlineStr">
        <is>
          <t>Портативні комп’ютери</t>
        </is>
      </c>
      <c r="C1177" s="5" t="n">
        <v>21</v>
      </c>
      <c r="D1177" s="13" t="n">
        <v>29999</v>
      </c>
      <c r="E1177" s="13" t="n">
        <v>24408</v>
      </c>
      <c r="F1177" s="13" t="n">
        <v>42000</v>
      </c>
      <c r="G1177" s="13" t="n">
        <v>21000</v>
      </c>
      <c r="H1177" s="13" t="n">
        <v>146895</v>
      </c>
      <c r="I1177" s="5" t="n">
        <v>0</v>
      </c>
    </row>
    <row r="1178">
      <c r="A1178" t="inlineStr">
        <is>
          <t>30213200-7</t>
        </is>
      </c>
      <c r="B1178" t="inlineStr">
        <is>
          <t>Планшетні комп’ютери</t>
        </is>
      </c>
      <c r="C1178" s="5" t="n">
        <v>9</v>
      </c>
      <c r="D1178" s="13" t="n">
        <v>15000</v>
      </c>
      <c r="E1178" s="13" t="n">
        <v>12998</v>
      </c>
      <c r="F1178" s="13" t="n">
        <v>18000</v>
      </c>
      <c r="G1178" s="13" t="n">
        <v>9550</v>
      </c>
      <c r="H1178" s="13" t="n">
        <v>28000</v>
      </c>
      <c r="I1178" s="5" t="n">
        <v>0</v>
      </c>
    </row>
    <row r="1179">
      <c r="A1179" t="inlineStr">
        <is>
          <t>30213300-8</t>
        </is>
      </c>
      <c r="B1179" t="inlineStr">
        <is>
          <t>Настільні комп’ютери</t>
        </is>
      </c>
      <c r="C1179" s="5" t="n">
        <v>10</v>
      </c>
      <c r="D1179" s="13" t="n">
        <v>28175.84</v>
      </c>
      <c r="E1179" s="13" t="n">
        <v>21600</v>
      </c>
      <c r="F1179" s="13" t="n">
        <v>34042.82</v>
      </c>
      <c r="G1179" s="13" t="n">
        <v>19370</v>
      </c>
      <c r="H1179" s="13" t="n">
        <v>90000</v>
      </c>
      <c r="I1179" s="5" t="n">
        <v>0</v>
      </c>
    </row>
    <row r="1180">
      <c r="A1180" t="inlineStr">
        <is>
          <t>30220000-7</t>
        </is>
      </c>
      <c r="B1180" t="inlineStr">
        <is>
          <t>Цифрове картографічне обладнання</t>
        </is>
      </c>
      <c r="C1180" s="5" t="n">
        <v>13</v>
      </c>
      <c r="D1180" s="13" t="n">
        <v>179980</v>
      </c>
      <c r="E1180" s="13" t="n">
        <v>89990</v>
      </c>
      <c r="F1180" s="13" t="n">
        <v>179980</v>
      </c>
      <c r="G1180" s="13" t="n">
        <v>7199.2</v>
      </c>
      <c r="H1180" s="13" t="n">
        <v>179980</v>
      </c>
      <c r="I1180" s="5" t="n">
        <v>3</v>
      </c>
    </row>
    <row r="1181">
      <c r="A1181" t="inlineStr">
        <is>
          <t>30230000-0</t>
        </is>
      </c>
      <c r="B1181" t="inlineStr">
        <is>
          <t>Комп’ютерне обладнання</t>
        </is>
      </c>
      <c r="C1181" s="5" t="n">
        <v>1629</v>
      </c>
      <c r="D1181" s="13" t="n">
        <v>5377.32</v>
      </c>
      <c r="E1181" s="13" t="n">
        <v>1470</v>
      </c>
      <c r="F1181" s="13" t="n">
        <v>16760</v>
      </c>
      <c r="G1181" s="13" t="n">
        <v>0.09</v>
      </c>
      <c r="H1181" s="13" t="n">
        <v>333333.33</v>
      </c>
      <c r="I1181" s="5" t="n">
        <v>7</v>
      </c>
    </row>
    <row r="1182">
      <c r="A1182" t="inlineStr">
        <is>
          <t>30231000-7</t>
        </is>
      </c>
      <c r="B1182" t="inlineStr">
        <is>
          <t>Екрани комп’ютерних моніторів та консолі</t>
        </is>
      </c>
      <c r="C1182" s="5" t="n">
        <v>21</v>
      </c>
      <c r="D1182" s="13" t="n">
        <v>4800</v>
      </c>
      <c r="E1182" s="13" t="n">
        <v>4200</v>
      </c>
      <c r="F1182" s="13" t="n">
        <v>6942.33</v>
      </c>
      <c r="G1182" s="13" t="n">
        <v>3338</v>
      </c>
      <c r="H1182" s="13" t="n">
        <v>163869.67</v>
      </c>
      <c r="I1182" s="5" t="n">
        <v>3</v>
      </c>
    </row>
    <row r="1183">
      <c r="A1183" t="inlineStr">
        <is>
          <t>30232000-4</t>
        </is>
      </c>
      <c r="B1183" t="inlineStr">
        <is>
          <t>Периферійне обладнання</t>
        </is>
      </c>
      <c r="C1183" s="5" t="n">
        <v>10</v>
      </c>
      <c r="D1183" s="13" t="n">
        <v>13700</v>
      </c>
      <c r="E1183" s="13" t="n">
        <v>11758</v>
      </c>
      <c r="F1183" s="13" t="n">
        <v>28312.5</v>
      </c>
      <c r="G1183" s="13" t="n">
        <v>8500</v>
      </c>
      <c r="H1183" s="13" t="n">
        <v>230000</v>
      </c>
      <c r="I1183" s="5" t="n">
        <v>1</v>
      </c>
    </row>
    <row r="1184">
      <c r="A1184" t="inlineStr">
        <is>
          <t>30232100-5</t>
        </is>
      </c>
      <c r="B1184" t="inlineStr">
        <is>
          <t>Принтери та плотери</t>
        </is>
      </c>
      <c r="C1184" s="5" t="n">
        <v>24</v>
      </c>
      <c r="D1184" s="13" t="n">
        <v>16265.5</v>
      </c>
      <c r="E1184" s="13" t="n">
        <v>11100</v>
      </c>
      <c r="F1184" s="13" t="n">
        <v>29373</v>
      </c>
      <c r="G1184" s="13" t="n">
        <v>8500</v>
      </c>
      <c r="H1184" s="13" t="n">
        <v>321083.33</v>
      </c>
      <c r="I1184" s="5" t="n">
        <v>2</v>
      </c>
    </row>
    <row r="1185">
      <c r="A1185" t="inlineStr">
        <is>
          <t>30232110-8</t>
        </is>
      </c>
      <c r="B1185" t="inlineStr">
        <is>
          <t>Лазерні принтери</t>
        </is>
      </c>
      <c r="C1185" s="5" t="n">
        <v>19</v>
      </c>
      <c r="D1185" s="13" t="n">
        <v>13450</v>
      </c>
      <c r="E1185" s="13" t="n">
        <v>10975</v>
      </c>
      <c r="F1185" s="13" t="n">
        <v>15525</v>
      </c>
      <c r="G1185" s="13" t="n">
        <v>5000</v>
      </c>
      <c r="H1185" s="13" t="n">
        <v>230000</v>
      </c>
      <c r="I1185" s="5" t="n">
        <v>1</v>
      </c>
    </row>
    <row r="1186">
      <c r="A1186" t="inlineStr">
        <is>
          <t>30233000-1</t>
        </is>
      </c>
      <c r="B1186" t="inlineStr">
        <is>
          <t>Пристрої для зберігання та зчитування даних</t>
        </is>
      </c>
      <c r="C1186" s="5" t="n">
        <v>16</v>
      </c>
      <c r="D1186" s="13" t="n">
        <v>1896</v>
      </c>
      <c r="E1186" s="13" t="n">
        <v>1389.25</v>
      </c>
      <c r="F1186" s="13" t="n">
        <v>5357.25</v>
      </c>
      <c r="G1186" s="13" t="n">
        <v>363.85</v>
      </c>
      <c r="H1186" s="13" t="n">
        <v>496364</v>
      </c>
      <c r="I1186" s="5" t="n">
        <v>4</v>
      </c>
    </row>
    <row r="1187">
      <c r="A1187" t="inlineStr">
        <is>
          <t>30233180-6</t>
        </is>
      </c>
      <c r="B1187" t="inlineStr">
        <is>
          <t>Флеш-накопичувачі</t>
        </is>
      </c>
      <c r="C1187" s="5" t="n">
        <v>17</v>
      </c>
      <c r="D1187" s="13" t="n">
        <v>300</v>
      </c>
      <c r="E1187" s="13" t="n">
        <v>192</v>
      </c>
      <c r="F1187" s="13" t="n">
        <v>715</v>
      </c>
      <c r="G1187" s="13" t="n">
        <v>135</v>
      </c>
      <c r="H1187" s="13" t="n">
        <v>14846</v>
      </c>
      <c r="I1187" s="5" t="n">
        <v>3</v>
      </c>
    </row>
    <row r="1188">
      <c r="A1188" t="inlineStr">
        <is>
          <t>30234000-8</t>
        </is>
      </c>
      <c r="B1188" t="inlineStr">
        <is>
          <t>Носії інформації</t>
        </is>
      </c>
      <c r="C1188" s="5" t="n">
        <v>9</v>
      </c>
      <c r="D1188" s="13" t="n">
        <v>1584</v>
      </c>
      <c r="E1188" s="13" t="n">
        <v>1398.96</v>
      </c>
      <c r="F1188" s="13" t="n">
        <v>1665</v>
      </c>
      <c r="G1188" s="13" t="n">
        <v>313.33</v>
      </c>
      <c r="H1188" s="13" t="n">
        <v>1940</v>
      </c>
      <c r="I1188" s="5" t="n">
        <v>2</v>
      </c>
    </row>
    <row r="1189">
      <c r="A1189" t="inlineStr">
        <is>
          <t>30234500-3</t>
        </is>
      </c>
      <c r="B1189" t="inlineStr">
        <is>
          <t>Зовнішні запам’ятовувальні пристрої</t>
        </is>
      </c>
      <c r="C1189" s="5" t="n">
        <v>9</v>
      </c>
      <c r="D1189" s="13" t="n">
        <v>4820</v>
      </c>
      <c r="E1189" s="13" t="n">
        <v>2675</v>
      </c>
      <c r="F1189" s="13" t="n">
        <v>9554</v>
      </c>
      <c r="G1189" s="13" t="n">
        <v>307.98</v>
      </c>
      <c r="H1189" s="13" t="n">
        <v>496364</v>
      </c>
      <c r="I1189" s="5" t="n">
        <v>1</v>
      </c>
    </row>
    <row r="1190">
      <c r="A1190" t="inlineStr">
        <is>
          <t>30234600-4</t>
        </is>
      </c>
      <c r="B1190" t="inlineStr">
        <is>
          <t>Флеш-пам’ять</t>
        </is>
      </c>
      <c r="C1190" s="5" t="n">
        <v>13</v>
      </c>
      <c r="D1190" s="13" t="n">
        <v>478.8</v>
      </c>
      <c r="E1190" s="13" t="n">
        <v>419</v>
      </c>
      <c r="F1190" s="13" t="n">
        <v>840</v>
      </c>
      <c r="G1190" s="13" t="n">
        <v>109</v>
      </c>
      <c r="H1190" s="13" t="n">
        <v>19090.92</v>
      </c>
      <c r="I1190" s="5" t="n">
        <v>1</v>
      </c>
    </row>
    <row r="1191">
      <c r="A1191" t="inlineStr">
        <is>
          <t>30236000-2</t>
        </is>
      </c>
      <c r="B1191" t="inlineStr">
        <is>
          <t>Комп’ютерне обладнання різне</t>
        </is>
      </c>
      <c r="C1191" s="5" t="n">
        <v>34</v>
      </c>
      <c r="D1191" s="13" t="n">
        <v>7890</v>
      </c>
      <c r="E1191" s="13" t="n">
        <v>2889.85</v>
      </c>
      <c r="F1191" s="13" t="n">
        <v>15271</v>
      </c>
      <c r="G1191" s="13" t="n">
        <v>274</v>
      </c>
      <c r="H1191" s="13" t="n">
        <v>24967</v>
      </c>
      <c r="I1191" s="5" t="n">
        <v>0</v>
      </c>
    </row>
    <row r="1192">
      <c r="A1192" t="inlineStr">
        <is>
          <t>30237000-9</t>
        </is>
      </c>
      <c r="B1192" t="inlineStr">
        <is>
          <t>Частини, аксесуари та приладдя до комп’ютерів</t>
        </is>
      </c>
      <c r="C1192" s="5" t="n">
        <v>9</v>
      </c>
      <c r="D1192" s="13" t="n">
        <v>1900</v>
      </c>
      <c r="E1192" s="13" t="n">
        <v>500</v>
      </c>
      <c r="F1192" s="13" t="n">
        <v>4201</v>
      </c>
      <c r="G1192" s="13" t="n">
        <v>224</v>
      </c>
      <c r="H1192" s="13" t="n">
        <v>60400</v>
      </c>
      <c r="I1192" s="5" t="n">
        <v>0</v>
      </c>
    </row>
    <row r="1193">
      <c r="A1193" t="inlineStr">
        <is>
          <t>30237240-3</t>
        </is>
      </c>
      <c r="B1193" t="inlineStr">
        <is>
          <t>Веб-камери</t>
        </is>
      </c>
      <c r="C1193" s="5" t="n">
        <v>9</v>
      </c>
      <c r="D1193" s="13" t="n">
        <v>1300</v>
      </c>
      <c r="E1193" s="13" t="n">
        <v>1299</v>
      </c>
      <c r="F1193" s="13" t="n">
        <v>1870</v>
      </c>
      <c r="G1193" s="13" t="n">
        <v>850</v>
      </c>
      <c r="H1193" s="13" t="n">
        <v>8079.5</v>
      </c>
      <c r="I1193" s="5" t="n">
        <v>4</v>
      </c>
    </row>
    <row r="1194">
      <c r="A1194" t="inlineStr">
        <is>
          <t>30237410-6</t>
        </is>
      </c>
      <c r="B1194" t="inlineStr">
        <is>
          <t>Комп’ютерні миші</t>
        </is>
      </c>
      <c r="C1194" s="5" t="n">
        <v>23</v>
      </c>
      <c r="D1194" s="13" t="n">
        <v>320</v>
      </c>
      <c r="E1194" s="13" t="n">
        <v>250</v>
      </c>
      <c r="F1194" s="13" t="n">
        <v>599.25</v>
      </c>
      <c r="G1194" s="13" t="n">
        <v>164</v>
      </c>
      <c r="H1194" s="13" t="n">
        <v>13684</v>
      </c>
      <c r="I1194" s="5" t="n">
        <v>2</v>
      </c>
    </row>
    <row r="1195">
      <c r="A1195" t="inlineStr">
        <is>
          <t>30237460-1</t>
        </is>
      </c>
      <c r="B1195" t="inlineStr">
        <is>
          <t>Комп’ютерні клавіатури</t>
        </is>
      </c>
      <c r="C1195" s="5" t="n">
        <v>12</v>
      </c>
      <c r="D1195" s="13" t="n">
        <v>516</v>
      </c>
      <c r="E1195" s="13" t="n">
        <v>332.9</v>
      </c>
      <c r="F1195" s="13" t="n">
        <v>1111.75</v>
      </c>
      <c r="G1195" s="13" t="n">
        <v>200</v>
      </c>
      <c r="H1195" s="13" t="n">
        <v>8863.639999999999</v>
      </c>
      <c r="I1195" s="5" t="n">
        <v>0</v>
      </c>
    </row>
    <row r="1196">
      <c r="A1196" t="inlineStr">
        <is>
          <t>_інші</t>
        </is>
      </c>
      <c r="B1196" t="inlineStr">
        <is>
          <t>дрібні групи разом</t>
        </is>
      </c>
      <c r="C1196" s="5" t="n">
        <v>69</v>
      </c>
      <c r="D1196" s="13" t="n">
        <v>8079.5</v>
      </c>
      <c r="E1196" s="13" t="n">
        <v>1546.44</v>
      </c>
      <c r="F1196" s="13" t="n">
        <v>18762</v>
      </c>
      <c r="G1196" s="13" t="n">
        <v>12</v>
      </c>
      <c r="H1196" s="13" t="n">
        <v>496364</v>
      </c>
      <c r="I1196" s="5" t="n">
        <v>2</v>
      </c>
    </row>
  </sheetData>
  <hyperlinks>
    <hyperlink xmlns:r="http://schemas.openxmlformats.org/officeDocument/2006/relationships" ref="B1081" r:id="rId1"/>
    <hyperlink xmlns:r="http://schemas.openxmlformats.org/officeDocument/2006/relationships" ref="B1082" r:id="rId2"/>
    <hyperlink xmlns:r="http://schemas.openxmlformats.org/officeDocument/2006/relationships" ref="B1083" r:id="rId3"/>
  </hyperlinks>
  <pageMargins left="0.75" right="0.75" top="1" bottom="1" header="0.5" footer="0.5"/>
  <drawing xmlns:r="http://schemas.openxmlformats.org/officeDocument/2006/relationships" r:id="rId4"/>
  <tableParts count="4">
    <tablePart xmlns:r="http://schemas.openxmlformats.org/officeDocument/2006/relationships" r:id="rId5"/>
    <tablePart xmlns:r="http://schemas.openxmlformats.org/officeDocument/2006/relationships" r:id="rId6"/>
    <tablePart xmlns:r="http://schemas.openxmlformats.org/officeDocument/2006/relationships" r:id="rId7"/>
    <tablePart xmlns:r="http://schemas.openxmlformats.org/officeDocument/2006/relationships" r:id="rId8"/>
  </tableParts>
</worksheet>
</file>

<file path=xl/worksheets/sheet5.xml><?xml version="1.0" encoding="utf-8"?>
<worksheet xmlns="http://schemas.openxmlformats.org/spreadsheetml/2006/main">
  <sheetPr>
    <outlinePr summaryBelow="1" summaryRight="1"/>
    <pageSetUpPr/>
  </sheetPr>
  <dimension ref="A1:O978"/>
  <sheetViews>
    <sheetView showGridLines="0" workbookViewId="0">
      <selection activeCell="A1" sqref="A1"/>
    </sheetView>
  </sheetViews>
  <sheetFormatPr baseColWidth="8" defaultRowHeight="15"/>
  <cols>
    <col width="51" customWidth="1" min="1" max="1"/>
    <col width="60" customWidth="1" min="2" max="2"/>
    <col width="60" customWidth="1" min="3" max="3"/>
    <col width="16" customWidth="1" min="4" max="4"/>
    <col width="28" customWidth="1" min="5" max="5"/>
    <col width="18" customWidth="1" min="6" max="6"/>
    <col width="19" customWidth="1" min="7" max="7"/>
    <col width="16" customWidth="1" min="8" max="8"/>
    <col width="20" customWidth="1" min="9" max="9"/>
    <col width="21" customWidth="1" min="10" max="10"/>
    <col width="12" customWidth="1" min="11" max="11"/>
    <col width="10" customWidth="1" min="12" max="12"/>
    <col width="45" customWidth="1" min="13" max="13"/>
    <col width="13" customWidth="1" min="14" max="14"/>
    <col width="15" customWidth="1" min="15" max="15"/>
  </cols>
  <sheetData>
    <row r="1">
      <c r="A1" s="1" t="inlineStr">
        <is>
          <t>Ринок</t>
        </is>
      </c>
    </row>
    <row r="3">
      <c r="A3" s="7" t="inlineStr">
        <is>
          <t>Ринок у цілому</t>
        </is>
      </c>
    </row>
    <row r="4">
      <c r="A4" s="6" t="inlineStr">
        <is>
          <t>Гроші ринку — це підписані договори; там, де договору ще немає, береться чинне рішення про переможця, щоб свіжі закупівлі не зникали з картини.</t>
        </is>
      </c>
    </row>
    <row r="6">
      <c r="A6" s="8" t="inlineStr">
        <is>
          <t>Показники</t>
        </is>
      </c>
    </row>
    <row r="7">
      <c r="A7" s="9" t="inlineStr">
        <is>
          <t>Період</t>
        </is>
      </c>
      <c r="B7" s="10" t="inlineStr">
        <is>
          <t>2025-09-02 — 2026-09-02</t>
        </is>
      </c>
    </row>
    <row r="8">
      <c r="A8" s="9" t="inlineStr">
        <is>
          <t>Закупівель</t>
        </is>
      </c>
      <c r="B8" s="10" t="inlineStr">
        <is>
          <t>1 992</t>
        </is>
      </c>
    </row>
    <row r="9">
      <c r="A9" s="9" t="inlineStr">
        <is>
          <t>Очікувана вартість</t>
        </is>
      </c>
      <c r="B9" s="10" t="inlineStr">
        <is>
          <t>170,6 млн грн</t>
        </is>
      </c>
    </row>
    <row r="10">
      <c r="A10" s="9" t="inlineStr">
        <is>
          <t>Сума угод</t>
        </is>
      </c>
      <c r="B10" s="10" t="inlineStr">
        <is>
          <t>118,7 млн грн</t>
        </is>
      </c>
    </row>
    <row r="11">
      <c r="A11" s="9" t="inlineStr">
        <is>
          <t>Угод</t>
        </is>
      </c>
      <c r="B11" s="10" t="inlineStr">
        <is>
          <t>1 753</t>
        </is>
      </c>
    </row>
    <row r="12">
      <c r="A12" s="9" t="inlineStr">
        <is>
          <t>Постачальників</t>
        </is>
      </c>
      <c r="B12" s="10" t="inlineStr">
        <is>
          <t>352</t>
        </is>
      </c>
    </row>
    <row r="13">
      <c r="A13" s="9" t="inlineStr">
        <is>
          <t>Замовників</t>
        </is>
      </c>
      <c r="B13" s="10" t="inlineStr">
        <is>
          <t>368</t>
        </is>
      </c>
    </row>
    <row r="14">
      <c r="A14" s="9" t="inlineStr">
        <is>
          <t>Середня угода</t>
        </is>
      </c>
      <c r="B14" s="10" t="inlineStr">
        <is>
          <t>67,7 тис. грн</t>
        </is>
      </c>
    </row>
    <row r="15">
      <c r="A15" s="9" t="inlineStr">
        <is>
          <t>Медіанна угода</t>
        </is>
      </c>
      <c r="B15" s="10" t="inlineStr">
        <is>
          <t>18,2 тис. грн</t>
        </is>
      </c>
    </row>
    <row r="16">
      <c r="A16" s="9" t="inlineStr">
        <is>
          <t>HHI</t>
        </is>
      </c>
      <c r="B16" s="10" t="inlineStr">
        <is>
          <t>174 — низько концентрований</t>
        </is>
      </c>
    </row>
    <row r="17">
      <c r="A17" s="9" t="inlineStr">
        <is>
          <t>CR3 / CR5 / CR10</t>
        </is>
      </c>
      <c r="B17" s="10" t="inlineStr">
        <is>
          <t>15% / 21% / 31%</t>
        </is>
      </c>
    </row>
    <row r="18">
      <c r="A18" s="9" t="inlineStr">
        <is>
          <t>80% обороту дають</t>
        </is>
      </c>
      <c r="B18" s="10" t="inlineStr">
        <is>
          <t>87 компаній</t>
        </is>
      </c>
    </row>
    <row r="19">
      <c r="A19" s="9" t="inlineStr">
        <is>
          <t>Нерівність (Джині)</t>
        </is>
      </c>
      <c r="B19" s="10" t="inlineStr">
        <is>
          <t>0,773</t>
        </is>
      </c>
    </row>
    <row r="20">
      <c r="A20" s="9" t="inlineStr">
        <is>
          <t>Середньо учасників</t>
        </is>
      </c>
      <c r="B20" s="10" t="inlineStr">
        <is>
          <t>3,43</t>
        </is>
      </c>
    </row>
    <row r="21">
      <c r="A21" s="9" t="inlineStr">
        <is>
          <t>Закупівель з одним учасником</t>
        </is>
      </c>
      <c r="B21" s="10" t="inlineStr">
        <is>
          <t>34,2%</t>
        </is>
      </c>
    </row>
    <row r="22">
      <c r="A22" s="9" t="inlineStr">
        <is>
          <t>Економія на торгах</t>
        </is>
      </c>
      <c r="B22" s="10" t="inlineStr">
        <is>
          <t>8,3%</t>
        </is>
      </c>
    </row>
    <row r="23">
      <c r="A23" s="9" t="inlineStr">
        <is>
          <t>Зекономлено на ринку</t>
        </is>
      </c>
      <c r="B23" s="10" t="inlineStr">
        <is>
          <t>7,1 млн грн</t>
        </is>
      </c>
    </row>
    <row r="25">
      <c r="A25" s="8" t="inlineStr">
        <is>
          <t>Висновки</t>
        </is>
      </c>
    </row>
    <row r="26">
      <c r="A26" t="inlineStr">
        <is>
          <t>•  Ринок низько концентрований (HHI 174): трійка лідерів тримає 14,8% обороту, а 87 компаній — 80%.</t>
        </is>
      </c>
    </row>
    <row r="27">
      <c r="A27" t="inlineStr">
        <is>
          <t>•  Конкуренція: у середньому 3,43 учасника на закупівлю, 34,2% закупівель розігруються без боротьби (один учасник).</t>
        </is>
      </c>
    </row>
    <row r="28">
      <c r="A28" t="inlineStr">
        <is>
          <t>•  Конкуренція окупається: у закупівлях «троє і більше» медіанна економія 9,2%, а там, де конкуренції немає, — 0,0%. Разом на ринку зекономлено 7,1 млн грн від очікуваної вартості.</t>
        </is>
      </c>
    </row>
    <row r="30">
      <c r="A30" s="8" t="inlineStr">
        <is>
          <t>Графіки</t>
        </is>
      </c>
    </row>
    <row r="32">
      <c r="A32" s="2" t="inlineStr">
        <is>
          <t>Динаміка ринку по місяцях</t>
        </is>
      </c>
    </row>
    <row r="33">
      <c r="A33" s="6" t="inlineStr">
        <is>
          <t>Обидва ряди — за місяцем оприлюднення закупівлі, тож план і факт стосуються тих самих закупівель. Зірочкою позначені неповні місяці — вибірка починається й закінчується посеред місяця.</t>
        </is>
      </c>
    </row>
    <row r="34">
      <c r="A34" s="3" t="inlineStr">
        <is>
          <t>Період</t>
        </is>
      </c>
      <c r="B34" s="3" t="inlineStr">
        <is>
          <t>Очікувана вартість, грн</t>
        </is>
      </c>
      <c r="C34" s="3" t="inlineStr">
        <is>
          <t>Сума угод, грн</t>
        </is>
      </c>
    </row>
    <row r="35">
      <c r="A35" t="inlineStr">
        <is>
          <t>2025-09 *</t>
        </is>
      </c>
      <c r="B35" s="5" t="n">
        <v>15523185.76</v>
      </c>
      <c r="C35" s="5" t="n">
        <v>11563064.43</v>
      </c>
    </row>
    <row r="36">
      <c r="A36" t="inlineStr">
        <is>
          <t>2025-10</t>
        </is>
      </c>
      <c r="B36" s="5" t="n">
        <v>30620699.8</v>
      </c>
      <c r="C36" s="5" t="n">
        <v>20692419.51</v>
      </c>
    </row>
    <row r="37">
      <c r="A37" t="inlineStr">
        <is>
          <t>2025-11</t>
        </is>
      </c>
      <c r="B37" s="5" t="n">
        <v>24428989.57</v>
      </c>
      <c r="C37" s="5" t="n">
        <v>17443458.37</v>
      </c>
    </row>
    <row r="38">
      <c r="A38" t="inlineStr">
        <is>
          <t>2025-12</t>
        </is>
      </c>
      <c r="B38" s="5" t="n">
        <v>15188370.92</v>
      </c>
      <c r="C38" s="5" t="n">
        <v>11925310.44</v>
      </c>
    </row>
    <row r="39">
      <c r="A39" t="inlineStr">
        <is>
          <t>2026-01</t>
        </is>
      </c>
      <c r="B39" s="5" t="n">
        <v>2634426.4</v>
      </c>
      <c r="C39" s="5" t="n">
        <v>2391256.88</v>
      </c>
    </row>
    <row r="40">
      <c r="A40" t="inlineStr">
        <is>
          <t>2026-02</t>
        </is>
      </c>
      <c r="B40" s="5" t="n">
        <v>4736855.39</v>
      </c>
      <c r="C40" s="5" t="n">
        <v>4063778</v>
      </c>
    </row>
    <row r="41">
      <c r="A41" t="inlineStr">
        <is>
          <t>2026-03</t>
        </is>
      </c>
      <c r="B41" s="5" t="n">
        <v>11709227.97</v>
      </c>
      <c r="C41" s="5" t="n">
        <v>7665282.61</v>
      </c>
    </row>
    <row r="42">
      <c r="A42" t="inlineStr">
        <is>
          <t>2026-04</t>
        </is>
      </c>
      <c r="B42" s="5" t="n">
        <v>10520468.4</v>
      </c>
      <c r="C42" s="5" t="n">
        <v>6553133.04</v>
      </c>
    </row>
    <row r="43">
      <c r="A43" t="inlineStr">
        <is>
          <t>2026-05</t>
        </is>
      </c>
      <c r="B43" s="5" t="n">
        <v>9533724.99</v>
      </c>
      <c r="C43" s="5" t="n">
        <v>6929667.07</v>
      </c>
    </row>
    <row r="44">
      <c r="A44" t="inlineStr">
        <is>
          <t>2026-06</t>
        </is>
      </c>
      <c r="B44" s="5" t="n">
        <v>16645965.18</v>
      </c>
      <c r="C44" s="5" t="n">
        <v>12332629.09</v>
      </c>
    </row>
    <row r="45">
      <c r="A45" t="inlineStr">
        <is>
          <t>2026-07</t>
        </is>
      </c>
      <c r="B45" s="5" t="n">
        <v>10696589.41</v>
      </c>
      <c r="C45" s="5" t="n">
        <v>8810389.59</v>
      </c>
    </row>
    <row r="46">
      <c r="A46" t="inlineStr">
        <is>
          <t>2026-08</t>
        </is>
      </c>
      <c r="B46" s="5" t="n">
        <v>11896675.45</v>
      </c>
      <c r="C46" s="5" t="n">
        <v>8271126.36</v>
      </c>
    </row>
    <row r="47">
      <c r="A47" t="inlineStr">
        <is>
          <t>2026-09 *</t>
        </is>
      </c>
      <c r="B47" s="5" t="n">
        <v>6416298.35</v>
      </c>
      <c r="C47" s="5" t="n">
        <v>49800</v>
      </c>
    </row>
    <row r="52">
      <c r="A52" s="2" t="inlineStr">
        <is>
          <t>Коли гроші розійшлися</t>
        </is>
      </c>
    </row>
    <row r="53">
      <c r="A53" s="6" t="inlineStr">
        <is>
          <t>Той самий обсяг, але за датою підписання договору. Різниця з попереднім графіком — це затримка між торгами й договором.</t>
        </is>
      </c>
    </row>
    <row r="54">
      <c r="A54" s="3" t="inlineStr">
        <is>
          <t>Період</t>
        </is>
      </c>
      <c r="B54" s="3" t="inlineStr">
        <is>
          <t>Сума за датою підпису, грн</t>
        </is>
      </c>
    </row>
    <row r="55">
      <c r="A55" t="inlineStr">
        <is>
          <t>2025-09 *</t>
        </is>
      </c>
      <c r="B55" s="5" t="n">
        <v>7725716.53</v>
      </c>
    </row>
    <row r="56">
      <c r="A56" t="inlineStr">
        <is>
          <t>2025-10</t>
        </is>
      </c>
      <c r="B56" s="5" t="n">
        <v>8424422.51</v>
      </c>
    </row>
    <row r="57">
      <c r="A57" t="inlineStr">
        <is>
          <t>2025-11</t>
        </is>
      </c>
      <c r="B57" s="5" t="n">
        <v>27825877.39</v>
      </c>
    </row>
    <row r="58">
      <c r="A58" t="inlineStr">
        <is>
          <t>2025-12</t>
        </is>
      </c>
      <c r="B58" s="5" t="n">
        <v>17616131.32</v>
      </c>
    </row>
    <row r="59">
      <c r="A59" t="inlineStr">
        <is>
          <t>2026-01</t>
        </is>
      </c>
      <c r="B59" s="5" t="n">
        <v>1291737.4</v>
      </c>
    </row>
    <row r="60">
      <c r="A60" t="inlineStr">
        <is>
          <t>2026-02</t>
        </is>
      </c>
      <c r="B60" s="5" t="n">
        <v>3380762.24</v>
      </c>
    </row>
    <row r="61">
      <c r="A61" t="inlineStr">
        <is>
          <t>2026-03</t>
        </is>
      </c>
      <c r="B61" s="5" t="n">
        <v>5157102.51</v>
      </c>
    </row>
    <row r="62">
      <c r="A62" t="inlineStr">
        <is>
          <t>2026-04</t>
        </is>
      </c>
      <c r="B62" s="5" t="n">
        <v>9082394.48</v>
      </c>
    </row>
    <row r="63">
      <c r="A63" t="inlineStr">
        <is>
          <t>2026-05</t>
        </is>
      </c>
      <c r="B63" s="5" t="n">
        <v>5551486.13</v>
      </c>
    </row>
    <row r="64">
      <c r="A64" t="inlineStr">
        <is>
          <t>2026-06</t>
        </is>
      </c>
      <c r="B64" s="5" t="n">
        <v>11432631.31</v>
      </c>
    </row>
    <row r="65">
      <c r="A65" t="inlineStr">
        <is>
          <t>2026-07</t>
        </is>
      </c>
      <c r="B65" s="5" t="n">
        <v>8968564.42</v>
      </c>
    </row>
    <row r="66">
      <c r="A66" t="inlineStr">
        <is>
          <t>2026-08</t>
        </is>
      </c>
      <c r="B66" s="5" t="n">
        <v>11008712.4</v>
      </c>
    </row>
    <row r="67">
      <c r="A67" t="inlineStr">
        <is>
          <t>2026-09 *</t>
        </is>
      </c>
      <c r="B67" s="5" t="n">
        <v>1225776.75</v>
      </c>
    </row>
    <row r="72">
      <c r="A72" s="2" t="inlineStr">
        <is>
          <t>Кількість закупівель по місяцях</t>
        </is>
      </c>
    </row>
    <row r="73">
      <c r="A73" s="6" t="inlineStr">
        <is>
          <t>Зірочкою позначені неповні місяці — вибірка починається й закінчується посеред місяця.</t>
        </is>
      </c>
    </row>
    <row r="74">
      <c r="A74" s="3" t="inlineStr">
        <is>
          <t>Категорія</t>
        </is>
      </c>
      <c r="B74" s="3" t="inlineStr">
        <is>
          <t>Закупівель, шт</t>
        </is>
      </c>
    </row>
    <row r="75">
      <c r="A75" t="inlineStr">
        <is>
          <t>2025-09 *</t>
        </is>
      </c>
      <c r="B75" s="5" t="n">
        <v>177</v>
      </c>
    </row>
    <row r="76">
      <c r="A76" t="inlineStr">
        <is>
          <t>2025-10</t>
        </is>
      </c>
      <c r="B76" s="5" t="n">
        <v>220</v>
      </c>
    </row>
    <row r="77">
      <c r="A77" t="inlineStr">
        <is>
          <t>2025-11</t>
        </is>
      </c>
      <c r="B77" s="5" t="n">
        <v>209</v>
      </c>
    </row>
    <row r="78">
      <c r="A78" t="inlineStr">
        <is>
          <t>2025-12</t>
        </is>
      </c>
      <c r="B78" s="5" t="n">
        <v>306</v>
      </c>
    </row>
    <row r="79">
      <c r="A79" t="inlineStr">
        <is>
          <t>2026-01</t>
        </is>
      </c>
      <c r="B79" s="5" t="n">
        <v>61</v>
      </c>
    </row>
    <row r="80">
      <c r="A80" t="inlineStr">
        <is>
          <t>2026-02</t>
        </is>
      </c>
      <c r="B80" s="5" t="n">
        <v>112</v>
      </c>
    </row>
    <row r="81">
      <c r="A81" t="inlineStr">
        <is>
          <t>2026-03</t>
        </is>
      </c>
      <c r="B81" s="5" t="n">
        <v>153</v>
      </c>
    </row>
    <row r="82">
      <c r="A82" t="inlineStr">
        <is>
          <t>2026-04</t>
        </is>
      </c>
      <c r="B82" s="5" t="n">
        <v>154</v>
      </c>
    </row>
    <row r="83">
      <c r="A83" t="inlineStr">
        <is>
          <t>2026-05</t>
        </is>
      </c>
      <c r="B83" s="5" t="n">
        <v>150</v>
      </c>
    </row>
    <row r="84">
      <c r="A84" t="inlineStr">
        <is>
          <t>2026-06</t>
        </is>
      </c>
      <c r="B84" s="5" t="n">
        <v>170</v>
      </c>
    </row>
    <row r="85">
      <c r="A85" t="inlineStr">
        <is>
          <t>2026-07</t>
        </is>
      </c>
      <c r="B85" s="5" t="n">
        <v>121</v>
      </c>
    </row>
    <row r="86">
      <c r="A86" t="inlineStr">
        <is>
          <t>2026-08</t>
        </is>
      </c>
      <c r="B86" s="5" t="n">
        <v>154</v>
      </c>
    </row>
    <row r="87">
      <c r="A87" t="inlineStr">
        <is>
          <t>2026-09 *</t>
        </is>
      </c>
      <c r="B87" s="5" t="n">
        <v>5</v>
      </c>
    </row>
    <row r="92">
      <c r="A92" s="2" t="inlineStr">
        <is>
          <t>Топ-15 постачальників за сумою угод</t>
        </is>
      </c>
    </row>
    <row r="93">
      <c r="A93" s="6" t="inlineStr">
        <is>
          <t>Наші ТОВ виділені кольором і показані завжди. Те, що не ввійшло до топ-15, дописане в кінець із номером свого місця в рейтингу.</t>
        </is>
      </c>
    </row>
    <row r="94">
      <c r="A94" s="3" t="inlineStr">
        <is>
          <t>Категорія</t>
        </is>
      </c>
      <c r="B94" s="3" t="inlineStr">
        <is>
          <t>Сума угод, грн</t>
        </is>
      </c>
    </row>
    <row r="95">
      <c r="A95" t="inlineStr">
        <is>
          <t>Технології для бізнесу</t>
        </is>
      </c>
      <c r="B95" s="5" t="n">
        <v>9792379.5</v>
      </c>
    </row>
    <row r="96">
      <c r="A96" t="inlineStr">
        <is>
          <t>ЕМЕНС</t>
        </is>
      </c>
      <c r="B96" s="5" t="n">
        <v>4116900</v>
      </c>
    </row>
    <row r="97">
      <c r="A97" t="inlineStr">
        <is>
          <t>ТОРГОВИЙ ДІМ "ПАРТНЕР АЙ ТІ</t>
        </is>
      </c>
      <c r="B97" s="5" t="n">
        <v>3625405.8</v>
      </c>
    </row>
    <row r="98">
      <c r="A98" t="inlineStr">
        <is>
          <t>ПОРТАЛ АРЕНА</t>
        </is>
      </c>
      <c r="B98" s="5" t="n">
        <v>3597812.4</v>
      </c>
    </row>
    <row r="99">
      <c r="A99" t="inlineStr">
        <is>
          <t>ПБГ19</t>
        </is>
      </c>
      <c r="B99" s="5" t="n">
        <v>3383565.2</v>
      </c>
    </row>
    <row r="100">
      <c r="A100" t="inlineStr">
        <is>
          <t>ДАВИДЕНКО ПАВЛО АНДРІЙОВИЧ</t>
        </is>
      </c>
      <c r="B100" s="5" t="n">
        <v>2855900</v>
      </c>
    </row>
    <row r="101">
      <c r="A101" t="inlineStr">
        <is>
          <t>ЮДІТРЕЙД</t>
        </is>
      </c>
      <c r="B101" s="5" t="n">
        <v>2504219.64</v>
      </c>
    </row>
    <row r="102">
      <c r="A102" t="inlineStr">
        <is>
          <t>ТІНОС-Д</t>
        </is>
      </c>
      <c r="B102" s="5" t="n">
        <v>2232222</v>
      </c>
    </row>
    <row r="103">
      <c r="A103" t="inlineStr">
        <is>
          <t>ТЕХНО ГАЛАКТИКА</t>
        </is>
      </c>
      <c r="B103" s="5" t="n">
        <v>2199480</v>
      </c>
    </row>
    <row r="104">
      <c r="A104" t="inlineStr">
        <is>
          <t>ДІСТРІ ІНВАЙТ ІТ</t>
        </is>
      </c>
      <c r="B104" s="5" t="n">
        <v>2180234.28</v>
      </c>
    </row>
    <row r="105">
      <c r="A105" t="inlineStr">
        <is>
          <t>ПАРСЕРС</t>
        </is>
      </c>
      <c r="B105" s="5" t="n">
        <v>2175077.85</v>
      </c>
    </row>
    <row r="106">
      <c r="A106" t="inlineStr">
        <is>
          <t>СИСТЕМАТИКА УКРАЇНА</t>
        </is>
      </c>
      <c r="B106" s="5" t="n">
        <v>2154480</v>
      </c>
    </row>
    <row r="107">
      <c r="A107" t="inlineStr">
        <is>
          <t>КОРВЕТ</t>
        </is>
      </c>
      <c r="B107" s="5" t="n">
        <v>2059501.99</v>
      </c>
    </row>
    <row r="108">
      <c r="A108" t="inlineStr">
        <is>
          <t>ІНТЕРАКТИВНІ СИСТЕМИ НАВЧАННЯ</t>
        </is>
      </c>
      <c r="B108" s="5" t="n">
        <v>1861920</v>
      </c>
    </row>
    <row r="109">
      <c r="A109" t="inlineStr">
        <is>
          <t>ІВАНЧЕНКО МИКОЛА ІВАНОВИЧ</t>
        </is>
      </c>
      <c r="B109" s="5" t="n">
        <v>1856200</v>
      </c>
    </row>
    <row r="110">
      <c r="A110" t="inlineStr">
        <is>
          <t>РЕФОРМА СИСТЕМЗ (№41)</t>
        </is>
      </c>
      <c r="B110" s="5" t="n">
        <v>744540</v>
      </c>
    </row>
    <row r="117">
      <c r="A117" s="2" t="inlineStr">
        <is>
          <t>Структура ринку за процедурами</t>
        </is>
      </c>
    </row>
    <row r="118">
      <c r="A118" s="3" t="inlineStr">
        <is>
          <t>Категорія</t>
        </is>
      </c>
      <c r="B118" s="3" t="inlineStr">
        <is>
          <t>Сума, грн</t>
        </is>
      </c>
    </row>
    <row r="119">
      <c r="A119" t="inlineStr">
        <is>
          <t>Відкриті торги (нові)</t>
        </is>
      </c>
      <c r="B119" s="5" t="n">
        <v>46604429.34</v>
      </c>
    </row>
    <row r="120">
      <c r="A120" t="inlineStr">
        <is>
          <t>Запит пропозицій</t>
        </is>
      </c>
      <c r="B120" s="5" t="n">
        <v>38519850.67</v>
      </c>
    </row>
    <row r="121">
      <c r="A121" t="inlineStr">
        <is>
          <t>Звіт про договір</t>
        </is>
      </c>
      <c r="B121" s="5" t="n">
        <v>29273823.39000002</v>
      </c>
    </row>
    <row r="122">
      <c r="A122" t="inlineStr">
        <is>
          <t>Допорогова</t>
        </is>
      </c>
      <c r="B122" s="5" t="n">
        <v>4293211.99</v>
      </c>
    </row>
    <row r="137">
      <c r="A137" s="2" t="inlineStr">
        <is>
          <t>Структура ринку за галузями ДК021</t>
        </is>
      </c>
    </row>
    <row r="138">
      <c r="A138" s="3" t="inlineStr">
        <is>
          <t>Категорія</t>
        </is>
      </c>
      <c r="B138" s="3" t="inlineStr">
        <is>
          <t>Сума, грн</t>
        </is>
      </c>
    </row>
    <row r="139">
      <c r="A139" t="inlineStr">
        <is>
          <t>Машини для обробки даних (апаратна частина)</t>
        </is>
      </c>
      <c r="B139" s="5" t="n">
        <v>76901586.20999998</v>
      </c>
    </row>
    <row r="140">
      <c r="A140" t="inlineStr">
        <is>
          <t>Комп’ютерне обладнання</t>
        </is>
      </c>
      <c r="B140" s="5" t="n">
        <v>41086753.17999999</v>
      </c>
    </row>
    <row r="141">
      <c r="A141" t="inlineStr">
        <is>
          <t>Комп’ютерне обладнання та приладдя</t>
        </is>
      </c>
      <c r="B141" s="5" t="n">
        <v>702976</v>
      </c>
    </row>
    <row r="157">
      <c r="A157" s="2" t="inlineStr">
        <is>
          <t>Географія ринку</t>
        </is>
      </c>
    </row>
    <row r="158">
      <c r="A158" s="3" t="inlineStr">
        <is>
          <t>Категорія</t>
        </is>
      </c>
      <c r="B158" s="3" t="inlineStr">
        <is>
          <t>Сума, грн</t>
        </is>
      </c>
    </row>
    <row r="159">
      <c r="A159" t="inlineStr">
        <is>
          <t>Волинська область</t>
        </is>
      </c>
      <c r="B159" s="5" t="n">
        <v>118691315.39</v>
      </c>
    </row>
    <row r="173">
      <c r="A173" s="2" t="inlineStr">
        <is>
          <t>Розподіл економії на конкурентних закупівлях</t>
        </is>
      </c>
    </row>
    <row r="174">
      <c r="A174" s="6" t="inlineStr">
        <is>
          <t>Різниця між очікуваною вартістю та сумою угоди там, де на закупівлю прийшов більше ніж один учасник. У прямих договорах ця різниця нульова за побудовою.</t>
        </is>
      </c>
    </row>
    <row r="175">
      <c r="A175" s="3" t="inlineStr">
        <is>
          <t>Категорія</t>
        </is>
      </c>
      <c r="B175" s="3" t="inlineStr">
        <is>
          <t>Закупівель, шт</t>
        </is>
      </c>
    </row>
    <row r="176">
      <c r="A176" t="inlineStr">
        <is>
          <t>0%</t>
        </is>
      </c>
      <c r="B176" s="5" t="n">
        <v>10</v>
      </c>
    </row>
    <row r="177">
      <c r="A177" t="inlineStr">
        <is>
          <t>до 2%</t>
        </is>
      </c>
      <c r="B177" s="5" t="n">
        <v>26</v>
      </c>
    </row>
    <row r="178">
      <c r="A178" t="inlineStr">
        <is>
          <t>2–5%</t>
        </is>
      </c>
      <c r="B178" s="5" t="n">
        <v>52</v>
      </c>
    </row>
    <row r="179">
      <c r="A179" t="inlineStr">
        <is>
          <t>5–10%</t>
        </is>
      </c>
      <c r="B179" s="5" t="n">
        <v>82</v>
      </c>
    </row>
    <row r="180">
      <c r="A180" t="inlineStr">
        <is>
          <t>10–20%</t>
        </is>
      </c>
      <c r="B180" s="5" t="n">
        <v>84</v>
      </c>
    </row>
    <row r="181">
      <c r="A181" t="inlineStr">
        <is>
          <t>20–30%</t>
        </is>
      </c>
      <c r="B181" s="5" t="n">
        <v>37</v>
      </c>
    </row>
    <row r="182">
      <c r="A182" t="inlineStr">
        <is>
          <t>понад 30%</t>
        </is>
      </c>
      <c r="B182" s="5" t="n">
        <v>26</v>
      </c>
    </row>
    <row r="193">
      <c r="A193" s="2" t="inlineStr">
        <is>
          <t>Економія за рівнем конкуренції</t>
        </is>
      </c>
    </row>
    <row r="194">
      <c r="A194" s="6" t="inlineStr">
        <is>
          <t>Скільки замовник виграє від того, що на закупівлю прийшов не один постачальник.</t>
        </is>
      </c>
    </row>
    <row r="195">
      <c r="A195" s="3" t="inlineStr">
        <is>
          <t>Категорія</t>
        </is>
      </c>
      <c r="B195" s="3" t="inlineStr">
        <is>
          <t>Медіанна економія, %</t>
        </is>
      </c>
    </row>
    <row r="196">
      <c r="A196" t="inlineStr">
        <is>
          <t>Без конкуренції</t>
        </is>
      </c>
      <c r="B196" s="14" t="n">
        <v>0</v>
      </c>
    </row>
    <row r="197">
      <c r="A197" t="inlineStr">
        <is>
          <t>Двоє учасників</t>
        </is>
      </c>
      <c r="B197" s="14" t="n">
        <v>5.567500000000003</v>
      </c>
    </row>
    <row r="198">
      <c r="A198" t="inlineStr">
        <is>
          <t>Троє і більше</t>
        </is>
      </c>
      <c r="B198" s="14" t="n">
        <v>9.189189189189184</v>
      </c>
    </row>
    <row r="213">
      <c r="A213" s="8" t="inlineStr">
        <is>
          <t>Таблиці</t>
        </is>
      </c>
    </row>
    <row r="215">
      <c r="A215" s="2" t="inlineStr">
        <is>
          <t>Економія та конкуренція</t>
        </is>
      </c>
    </row>
    <row r="216">
      <c r="A216" s="11" t="inlineStr">
        <is>
          <t>Рівень конкуренції</t>
        </is>
      </c>
      <c r="B216" s="11" t="inlineStr">
        <is>
          <t>Закупівель</t>
        </is>
      </c>
      <c r="C216" s="11" t="inlineStr">
        <is>
          <t>Очікувана вартість, грн</t>
        </is>
      </c>
      <c r="D216" s="11" t="inlineStr">
        <is>
          <t>Сума угод, грн</t>
        </is>
      </c>
      <c r="E216" s="11" t="inlineStr">
        <is>
          <t>Зекономлено, грн</t>
        </is>
      </c>
      <c r="F216" s="11" t="inlineStr">
        <is>
          <t>Зважена економія</t>
        </is>
      </c>
      <c r="G216" s="11" t="inlineStr">
        <is>
          <t>Медіанна економія</t>
        </is>
      </c>
    </row>
    <row r="217">
      <c r="A217" t="inlineStr">
        <is>
          <t>Без конкуренції (прямий договір або один учасник)</t>
        </is>
      </c>
      <c r="B217" s="5" t="n">
        <v>1390</v>
      </c>
      <c r="C217" s="13" t="n">
        <v>67498126.7</v>
      </c>
      <c r="D217" s="13" t="n">
        <v>66999938.05</v>
      </c>
      <c r="E217" s="13" t="n">
        <v>498188.65</v>
      </c>
      <c r="F217" s="12" t="n">
        <v>0.0074</v>
      </c>
      <c r="G217" s="12" t="n">
        <v>0</v>
      </c>
    </row>
    <row r="218">
      <c r="A218" t="inlineStr">
        <is>
          <t>Двоє учасників</t>
        </is>
      </c>
      <c r="B218" s="5" t="n">
        <v>82</v>
      </c>
      <c r="C218" s="13" t="n">
        <v>21316453.67</v>
      </c>
      <c r="D218" s="13" t="n">
        <v>19620731.55</v>
      </c>
      <c r="E218" s="13" t="n">
        <v>1695722.12</v>
      </c>
      <c r="F218" s="12" t="n">
        <v>0.0795</v>
      </c>
      <c r="G218" s="12" t="n">
        <v>0.0557</v>
      </c>
    </row>
    <row r="219">
      <c r="A219" t="inlineStr">
        <is>
          <t>Троє і більше</t>
        </is>
      </c>
      <c r="B219" s="5" t="n">
        <v>259</v>
      </c>
      <c r="C219" s="13" t="n">
        <v>36392764.01</v>
      </c>
      <c r="D219" s="13" t="n">
        <v>31535458.31</v>
      </c>
      <c r="E219" s="13" t="n">
        <v>4857305.7</v>
      </c>
      <c r="F219" s="12" t="n">
        <v>0.1335</v>
      </c>
      <c r="G219" s="12" t="n">
        <v>0.0919</v>
      </c>
    </row>
    <row r="221">
      <c r="A221" s="2" t="inlineStr">
        <is>
          <t>Рейтинг постачальників</t>
        </is>
      </c>
    </row>
    <row r="222">
      <c r="A222" s="11" t="inlineStr">
        <is>
          <t>Місце</t>
        </is>
      </c>
      <c r="B222" s="11" t="inlineStr">
        <is>
          <t>ЄДРПОУ</t>
        </is>
      </c>
      <c r="C222" s="11" t="inlineStr">
        <is>
          <t>Компанія</t>
        </is>
      </c>
      <c r="D222" s="11" t="inlineStr">
        <is>
          <t>Наша</t>
        </is>
      </c>
      <c r="E222" s="11" t="inlineStr">
        <is>
          <t>Угод</t>
        </is>
      </c>
      <c r="F222" s="11" t="inlineStr">
        <is>
          <t>Закупівель</t>
        </is>
      </c>
      <c r="G222" s="11" t="inlineStr">
        <is>
          <t>Сума угод, грн</t>
        </is>
      </c>
      <c r="H222" s="11" t="inlineStr">
        <is>
          <t>Частка ринку</t>
        </is>
      </c>
      <c r="I222" s="11" t="inlineStr">
        <is>
          <t>Середня угода, грн</t>
        </is>
      </c>
      <c r="J222" s="11" t="inlineStr">
        <is>
          <t>Медіанна угода, грн</t>
        </is>
      </c>
      <c r="K222" s="11" t="inlineStr">
        <is>
          <t>Замовників</t>
        </is>
      </c>
      <c r="L222" s="11" t="inlineStr">
        <is>
          <t>Областей</t>
        </is>
      </c>
      <c r="M222" s="11" t="inlineStr">
        <is>
          <t>Основна галузь</t>
        </is>
      </c>
      <c r="N222" s="11" t="inlineStr">
        <is>
          <t>Перша угода</t>
        </is>
      </c>
      <c r="O222" s="11" t="inlineStr">
        <is>
          <t>Остання угода</t>
        </is>
      </c>
    </row>
    <row r="223">
      <c r="A223" s="5" t="n">
        <v>1</v>
      </c>
      <c r="B223" t="inlineStr">
        <is>
          <t>19331194</t>
        </is>
      </c>
      <c r="C223" t="inlineStr">
        <is>
          <t>ТОВ "Технології для бізнесу"</t>
        </is>
      </c>
      <c r="D223" t="inlineStr"/>
      <c r="E223" s="5" t="n">
        <v>2</v>
      </c>
      <c r="F223" s="5" t="n">
        <v>2</v>
      </c>
      <c r="G223" s="13" t="n">
        <v>9792379.5</v>
      </c>
      <c r="H223" s="12" t="n">
        <v>0.0825</v>
      </c>
      <c r="I223" s="13" t="n">
        <v>4896189.75</v>
      </c>
      <c r="J223" s="13" t="n">
        <v>4896189.75</v>
      </c>
      <c r="K223" s="5" t="n">
        <v>2</v>
      </c>
      <c r="L223" s="5" t="n">
        <v>1</v>
      </c>
      <c r="M223" t="inlineStr">
        <is>
          <t>Машини для обробки даних (апаратна частина)</t>
        </is>
      </c>
      <c r="N223" t="inlineStr">
        <is>
          <t>2025-11-04</t>
        </is>
      </c>
      <c r="O223" t="inlineStr">
        <is>
          <t>2025-11-27</t>
        </is>
      </c>
    </row>
    <row r="224">
      <c r="A224" s="5" t="n">
        <v>2</v>
      </c>
      <c r="B224" t="inlineStr">
        <is>
          <t>42647754</t>
        </is>
      </c>
      <c r="C224" t="inlineStr">
        <is>
          <t>ТОВ "ЕМЕНС"</t>
        </is>
      </c>
      <c r="D224" t="inlineStr"/>
      <c r="E224" s="5" t="n">
        <v>1</v>
      </c>
      <c r="F224" s="5" t="n">
        <v>1</v>
      </c>
      <c r="G224" s="13" t="n">
        <v>4116900</v>
      </c>
      <c r="H224" s="12" t="n">
        <v>0.0347</v>
      </c>
      <c r="I224" s="13" t="n">
        <v>4116900</v>
      </c>
      <c r="J224" s="13" t="n">
        <v>4116900</v>
      </c>
      <c r="K224" s="5" t="n">
        <v>1</v>
      </c>
      <c r="L224" s="5" t="n">
        <v>1</v>
      </c>
      <c r="M224" t="inlineStr">
        <is>
          <t>Машини для обробки даних (апаратна частина)</t>
        </is>
      </c>
      <c r="N224" t="inlineStr">
        <is>
          <t>2026-06-15</t>
        </is>
      </c>
      <c r="O224" t="inlineStr">
        <is>
          <t>2026-06-15</t>
        </is>
      </c>
    </row>
    <row r="225">
      <c r="A225" s="5" t="n">
        <v>3</v>
      </c>
      <c r="B225" t="inlineStr">
        <is>
          <t>41263186</t>
        </is>
      </c>
      <c r="C225" t="inlineStr">
        <is>
          <t>ТОВ "ТОРГОВИЙ ДІМ "ПАРТНЕР АЙ ТІ"</t>
        </is>
      </c>
      <c r="D225" t="inlineStr">
        <is>
          <t>так</t>
        </is>
      </c>
      <c r="E225" s="5" t="n">
        <v>13</v>
      </c>
      <c r="F225" s="5" t="n">
        <v>12</v>
      </c>
      <c r="G225" s="13" t="n">
        <v>3625405.8</v>
      </c>
      <c r="H225" s="12" t="n">
        <v>0.0305</v>
      </c>
      <c r="I225" s="13" t="n">
        <v>278877.37</v>
      </c>
      <c r="J225" s="13" t="n">
        <v>298122</v>
      </c>
      <c r="K225" s="5" t="n">
        <v>10</v>
      </c>
      <c r="L225" s="5" t="n">
        <v>1</v>
      </c>
      <c r="M225" t="inlineStr">
        <is>
          <t>Машини для обробки даних (апаратна частина)</t>
        </is>
      </c>
      <c r="N225" t="inlineStr">
        <is>
          <t>2025-09-22</t>
        </is>
      </c>
      <c r="O225" t="inlineStr">
        <is>
          <t>2026-07-20</t>
        </is>
      </c>
    </row>
    <row r="226">
      <c r="A226" s="5" t="n">
        <v>4</v>
      </c>
      <c r="B226" t="inlineStr">
        <is>
          <t>45119322</t>
        </is>
      </c>
      <c r="C226" t="inlineStr">
        <is>
          <t>ТОВ «ПОРТАЛ АРЕНА»</t>
        </is>
      </c>
      <c r="D226" t="inlineStr"/>
      <c r="E226" s="5" t="n">
        <v>9</v>
      </c>
      <c r="F226" s="5" t="n">
        <v>9</v>
      </c>
      <c r="G226" s="13" t="n">
        <v>3597812.4</v>
      </c>
      <c r="H226" s="12" t="n">
        <v>0.0303</v>
      </c>
      <c r="I226" s="13" t="n">
        <v>399756.93</v>
      </c>
      <c r="J226" s="13" t="n">
        <v>273600</v>
      </c>
      <c r="K226" s="5" t="n">
        <v>8</v>
      </c>
      <c r="L226" s="5" t="n">
        <v>1</v>
      </c>
      <c r="M226" t="inlineStr">
        <is>
          <t>Машини для обробки даних (апаратна частина)</t>
        </is>
      </c>
      <c r="N226" t="inlineStr">
        <is>
          <t>2026-04-10</t>
        </is>
      </c>
      <c r="O226" t="inlineStr">
        <is>
          <t>2026-08-25</t>
        </is>
      </c>
    </row>
    <row r="227">
      <c r="A227" s="5" t="n">
        <v>5</v>
      </c>
      <c r="B227" t="inlineStr">
        <is>
          <t>45701274</t>
        </is>
      </c>
      <c r="C227" t="inlineStr">
        <is>
          <t>ТОВ «ПБГ19»</t>
        </is>
      </c>
      <c r="D227" t="inlineStr"/>
      <c r="E227" s="5" t="n">
        <v>5</v>
      </c>
      <c r="F227" s="5" t="n">
        <v>5</v>
      </c>
      <c r="G227" s="13" t="n">
        <v>3383565.2</v>
      </c>
      <c r="H227" s="12" t="n">
        <v>0.0285</v>
      </c>
      <c r="I227" s="13" t="n">
        <v>676713.04</v>
      </c>
      <c r="J227" s="13" t="n">
        <v>444000</v>
      </c>
      <c r="K227" s="5" t="n">
        <v>5</v>
      </c>
      <c r="L227" s="5" t="n">
        <v>1</v>
      </c>
      <c r="M227" t="inlineStr">
        <is>
          <t>Машини для обробки даних (апаратна частина)</t>
        </is>
      </c>
      <c r="N227" t="inlineStr">
        <is>
          <t>2025-09-16</t>
        </is>
      </c>
      <c r="O227" t="inlineStr">
        <is>
          <t>2025-12-19</t>
        </is>
      </c>
    </row>
    <row r="228">
      <c r="A228" s="5" t="n">
        <v>6</v>
      </c>
      <c r="B228" t="inlineStr">
        <is>
          <t>2381207253</t>
        </is>
      </c>
      <c r="C228" t="inlineStr">
        <is>
          <t>ФОП ДАВИДЕНКО ПАВЛО АНДРІЙОВИЧ</t>
        </is>
      </c>
      <c r="D228" t="inlineStr"/>
      <c r="E228" s="5" t="n">
        <v>2</v>
      </c>
      <c r="F228" s="5" t="n">
        <v>2</v>
      </c>
      <c r="G228" s="13" t="n">
        <v>2855900</v>
      </c>
      <c r="H228" s="12" t="n">
        <v>0.0241</v>
      </c>
      <c r="I228" s="13" t="n">
        <v>1427950</v>
      </c>
      <c r="J228" s="13" t="n">
        <v>1427950</v>
      </c>
      <c r="K228" s="5" t="n">
        <v>1</v>
      </c>
      <c r="L228" s="5" t="n">
        <v>1</v>
      </c>
      <c r="M228" t="inlineStr">
        <is>
          <t>Комп’ютерне обладнання</t>
        </is>
      </c>
      <c r="N228" t="inlineStr">
        <is>
          <t>2025-11-18</t>
        </is>
      </c>
      <c r="O228" t="inlineStr">
        <is>
          <t>2025-11-26</t>
        </is>
      </c>
    </row>
    <row r="229">
      <c r="A229" s="5" t="n">
        <v>7</v>
      </c>
      <c r="B229" t="inlineStr">
        <is>
          <t>42036301</t>
        </is>
      </c>
      <c r="C229" t="inlineStr">
        <is>
          <t>ТОВ «ЮДІТРЕЙД»</t>
        </is>
      </c>
      <c r="D229" t="inlineStr"/>
      <c r="E229" s="5" t="n">
        <v>10</v>
      </c>
      <c r="F229" s="5" t="n">
        <v>10</v>
      </c>
      <c r="G229" s="13" t="n">
        <v>2504219.64</v>
      </c>
      <c r="H229" s="12" t="n">
        <v>0.0211</v>
      </c>
      <c r="I229" s="13" t="n">
        <v>250421.96</v>
      </c>
      <c r="J229" s="13" t="n">
        <v>184684.35</v>
      </c>
      <c r="K229" s="5" t="n">
        <v>10</v>
      </c>
      <c r="L229" s="5" t="n">
        <v>1</v>
      </c>
      <c r="M229" t="inlineStr">
        <is>
          <t>Машини для обробки даних (апаратна частина)</t>
        </is>
      </c>
      <c r="N229" t="inlineStr">
        <is>
          <t>2025-10-08</t>
        </is>
      </c>
      <c r="O229" t="inlineStr">
        <is>
          <t>2026-08-25</t>
        </is>
      </c>
    </row>
    <row r="230">
      <c r="A230" s="5" t="n">
        <v>8</v>
      </c>
      <c r="B230" t="inlineStr">
        <is>
          <t>42289645</t>
        </is>
      </c>
      <c r="C230" t="inlineStr">
        <is>
          <t>ТОВ "ТІНОС-Д"</t>
        </is>
      </c>
      <c r="D230" t="inlineStr"/>
      <c r="E230" s="5" t="n">
        <v>13</v>
      </c>
      <c r="F230" s="5" t="n">
        <v>13</v>
      </c>
      <c r="G230" s="13" t="n">
        <v>2232222</v>
      </c>
      <c r="H230" s="12" t="n">
        <v>0.0188</v>
      </c>
      <c r="I230" s="13" t="n">
        <v>171709.38</v>
      </c>
      <c r="J230" s="13" t="n">
        <v>109074</v>
      </c>
      <c r="K230" s="5" t="n">
        <v>7</v>
      </c>
      <c r="L230" s="5" t="n">
        <v>1</v>
      </c>
      <c r="M230" t="inlineStr">
        <is>
          <t>Машини для обробки даних (апаратна частина)</t>
        </is>
      </c>
      <c r="N230" t="inlineStr">
        <is>
          <t>2025-10-01</t>
        </is>
      </c>
      <c r="O230" t="inlineStr">
        <is>
          <t>2026-08-25</t>
        </is>
      </c>
    </row>
    <row r="231">
      <c r="A231" s="5" t="n">
        <v>9</v>
      </c>
      <c r="B231" t="inlineStr">
        <is>
          <t>45884059</t>
        </is>
      </c>
      <c r="C231" t="inlineStr">
        <is>
          <t>ТОВ "ТЕХНО ГАЛАКТИКА"</t>
        </is>
      </c>
      <c r="D231" t="inlineStr"/>
      <c r="E231" s="5" t="n">
        <v>2</v>
      </c>
      <c r="F231" s="5" t="n">
        <v>2</v>
      </c>
      <c r="G231" s="13" t="n">
        <v>2199480</v>
      </c>
      <c r="H231" s="12" t="n">
        <v>0.0185</v>
      </c>
      <c r="I231" s="13" t="n">
        <v>1099740</v>
      </c>
      <c r="J231" s="13" t="n">
        <v>1099740</v>
      </c>
      <c r="K231" s="5" t="n">
        <v>1</v>
      </c>
      <c r="L231" s="5" t="n">
        <v>1</v>
      </c>
      <c r="M231" t="inlineStr">
        <is>
          <t>Машини для обробки даних (апаратна частина)</t>
        </is>
      </c>
      <c r="N231" t="inlineStr">
        <is>
          <t>2026-08-10</t>
        </is>
      </c>
      <c r="O231" t="inlineStr">
        <is>
          <t>2026-08-14</t>
        </is>
      </c>
    </row>
    <row r="232">
      <c r="A232" s="5" t="n">
        <v>10</v>
      </c>
      <c r="B232" t="inlineStr">
        <is>
          <t>40955533</t>
        </is>
      </c>
      <c r="C232" t="inlineStr">
        <is>
          <t>ТОВ "ДІСТРІ ІНВАЙТ ІТ"</t>
        </is>
      </c>
      <c r="D232" t="inlineStr"/>
      <c r="E232" s="5" t="n">
        <v>11</v>
      </c>
      <c r="F232" s="5" t="n">
        <v>11</v>
      </c>
      <c r="G232" s="13" t="n">
        <v>2180234.28</v>
      </c>
      <c r="H232" s="12" t="n">
        <v>0.0184</v>
      </c>
      <c r="I232" s="13" t="n">
        <v>198203.12</v>
      </c>
      <c r="J232" s="13" t="n">
        <v>79913.64</v>
      </c>
      <c r="K232" s="5" t="n">
        <v>7</v>
      </c>
      <c r="L232" s="5" t="n">
        <v>1</v>
      </c>
      <c r="M232" t="inlineStr">
        <is>
          <t>Машини для обробки даних (апаратна частина)</t>
        </is>
      </c>
      <c r="N232" t="inlineStr">
        <is>
          <t>2025-10-27</t>
        </is>
      </c>
      <c r="O232" t="inlineStr">
        <is>
          <t>2026-07-22</t>
        </is>
      </c>
    </row>
    <row r="233">
      <c r="A233" s="5" t="n">
        <v>11</v>
      </c>
      <c r="B233" t="inlineStr">
        <is>
          <t>35893554</t>
        </is>
      </c>
      <c r="C233" t="inlineStr">
        <is>
          <t>ТОВ "ПАРСЕРС"</t>
        </is>
      </c>
      <c r="D233" t="inlineStr"/>
      <c r="E233" s="5" t="n">
        <v>7</v>
      </c>
      <c r="F233" s="5" t="n">
        <v>7</v>
      </c>
      <c r="G233" s="13" t="n">
        <v>2175077.85</v>
      </c>
      <c r="H233" s="12" t="n">
        <v>0.0183</v>
      </c>
      <c r="I233" s="13" t="n">
        <v>310725.41</v>
      </c>
      <c r="J233" s="13" t="n">
        <v>183999.98</v>
      </c>
      <c r="K233" s="5" t="n">
        <v>5</v>
      </c>
      <c r="L233" s="5" t="n">
        <v>1</v>
      </c>
      <c r="M233" t="inlineStr">
        <is>
          <t>Машини для обробки даних (апаратна частина)</t>
        </is>
      </c>
      <c r="N233" t="inlineStr">
        <is>
          <t>2025-09-18</t>
        </is>
      </c>
      <c r="O233" t="inlineStr">
        <is>
          <t>2026-08-25</t>
        </is>
      </c>
    </row>
    <row r="234">
      <c r="A234" s="5" t="n">
        <v>12</v>
      </c>
      <c r="B234" t="inlineStr">
        <is>
          <t>40175293</t>
        </is>
      </c>
      <c r="C234" t="inlineStr">
        <is>
          <t>ТОВ "СИСТЕМАТИКА УКРАЇНА"</t>
        </is>
      </c>
      <c r="D234" t="inlineStr"/>
      <c r="E234" s="5" t="n">
        <v>12</v>
      </c>
      <c r="F234" s="5" t="n">
        <v>12</v>
      </c>
      <c r="G234" s="13" t="n">
        <v>2154480</v>
      </c>
      <c r="H234" s="12" t="n">
        <v>0.0182</v>
      </c>
      <c r="I234" s="13" t="n">
        <v>179540</v>
      </c>
      <c r="J234" s="13" t="n">
        <v>142296</v>
      </c>
      <c r="K234" s="5" t="n">
        <v>7</v>
      </c>
      <c r="L234" s="5" t="n">
        <v>1</v>
      </c>
      <c r="M234" t="inlineStr">
        <is>
          <t>Машини для обробки даних (апаратна частина)</t>
        </is>
      </c>
      <c r="N234" t="inlineStr">
        <is>
          <t>2025-10-03</t>
        </is>
      </c>
      <c r="O234" t="inlineStr">
        <is>
          <t>2026-04-21</t>
        </is>
      </c>
    </row>
    <row r="235">
      <c r="A235" s="5" t="n">
        <v>13</v>
      </c>
      <c r="B235" t="inlineStr">
        <is>
          <t>21337459</t>
        </is>
      </c>
      <c r="C235" t="inlineStr">
        <is>
          <t>ТОВ "КОРВЕТ"</t>
        </is>
      </c>
      <c r="D235" t="inlineStr"/>
      <c r="E235" s="5" t="n">
        <v>20</v>
      </c>
      <c r="F235" s="5" t="n">
        <v>20</v>
      </c>
      <c r="G235" s="13" t="n">
        <v>2059501.99</v>
      </c>
      <c r="H235" s="12" t="n">
        <v>0.0174</v>
      </c>
      <c r="I235" s="13" t="n">
        <v>102975.1</v>
      </c>
      <c r="J235" s="13" t="n">
        <v>32165.55</v>
      </c>
      <c r="K235" s="5" t="n">
        <v>12</v>
      </c>
      <c r="L235" s="5" t="n">
        <v>1</v>
      </c>
      <c r="M235" t="inlineStr">
        <is>
          <t>Комп’ютерне обладнання</t>
        </is>
      </c>
      <c r="N235" t="inlineStr">
        <is>
          <t>2025-09-18</t>
        </is>
      </c>
      <c r="O235" t="inlineStr">
        <is>
          <t>2026-09-02</t>
        </is>
      </c>
    </row>
    <row r="236">
      <c r="A236" s="5" t="n">
        <v>14</v>
      </c>
      <c r="B236" t="inlineStr">
        <is>
          <t>42216158</t>
        </is>
      </c>
      <c r="C236" t="inlineStr">
        <is>
          <t>ТОВ "ІНТЕРАКТИВНІ СИСТЕМИ НАВЧАННЯ"</t>
        </is>
      </c>
      <c r="D236" t="inlineStr"/>
      <c r="E236" s="5" t="n">
        <v>1</v>
      </c>
      <c r="F236" s="5" t="n">
        <v>1</v>
      </c>
      <c r="G236" s="13" t="n">
        <v>1861920</v>
      </c>
      <c r="H236" s="12" t="n">
        <v>0.0157</v>
      </c>
      <c r="I236" s="13" t="n">
        <v>1861920</v>
      </c>
      <c r="J236" s="13" t="n">
        <v>1861920</v>
      </c>
      <c r="K236" s="5" t="n">
        <v>1</v>
      </c>
      <c r="L236" s="5" t="n">
        <v>1</v>
      </c>
      <c r="M236" t="inlineStr">
        <is>
          <t>Машини для обробки даних (апаратна частина)</t>
        </is>
      </c>
      <c r="N236" t="inlineStr">
        <is>
          <t>2025-11-26</t>
        </is>
      </c>
      <c r="O236" t="inlineStr">
        <is>
          <t>2025-11-26</t>
        </is>
      </c>
    </row>
    <row r="237">
      <c r="A237" s="5" t="n">
        <v>15</v>
      </c>
      <c r="B237" t="inlineStr">
        <is>
          <t>2235409477</t>
        </is>
      </c>
      <c r="C237" t="inlineStr">
        <is>
          <t>ФОП ІВАНЧЕНКО МИКОЛА ІВАНОВИЧ</t>
        </is>
      </c>
      <c r="D237" t="inlineStr"/>
      <c r="E237" s="5" t="n">
        <v>3</v>
      </c>
      <c r="F237" s="5" t="n">
        <v>3</v>
      </c>
      <c r="G237" s="13" t="n">
        <v>1856200</v>
      </c>
      <c r="H237" s="12" t="n">
        <v>0.0156</v>
      </c>
      <c r="I237" s="13" t="n">
        <v>618733.33</v>
      </c>
      <c r="J237" s="13" t="n">
        <v>310500</v>
      </c>
      <c r="K237" s="5" t="n">
        <v>3</v>
      </c>
      <c r="L237" s="5" t="n">
        <v>1</v>
      </c>
      <c r="M237" t="inlineStr">
        <is>
          <t>Комп’ютерне обладнання</t>
        </is>
      </c>
      <c r="N237" t="inlineStr">
        <is>
          <t>2025-09-24</t>
        </is>
      </c>
      <c r="O237" t="inlineStr">
        <is>
          <t>2026-04-09</t>
        </is>
      </c>
    </row>
    <row r="238">
      <c r="A238" s="5" t="n">
        <v>16</v>
      </c>
      <c r="B238" t="inlineStr">
        <is>
          <t>30126040</t>
        </is>
      </c>
      <c r="C238" t="inlineStr">
        <is>
          <t>ТОВ "САНТАРЕКС"</t>
        </is>
      </c>
      <c r="D238" t="inlineStr"/>
      <c r="E238" s="5" t="n">
        <v>60</v>
      </c>
      <c r="F238" s="5" t="n">
        <v>60</v>
      </c>
      <c r="G238" s="13" t="n">
        <v>1704807.32</v>
      </c>
      <c r="H238" s="12" t="n">
        <v>0.0144</v>
      </c>
      <c r="I238" s="13" t="n">
        <v>28413.46</v>
      </c>
      <c r="J238" s="13" t="n">
        <v>19383</v>
      </c>
      <c r="K238" s="5" t="n">
        <v>30</v>
      </c>
      <c r="L238" s="5" t="n">
        <v>1</v>
      </c>
      <c r="M238" t="inlineStr">
        <is>
          <t>Комп’ютерне обладнання</t>
        </is>
      </c>
      <c r="N238" t="inlineStr">
        <is>
          <t>2025-09-15</t>
        </is>
      </c>
      <c r="O238" t="inlineStr">
        <is>
          <t>2026-08-25</t>
        </is>
      </c>
    </row>
    <row r="239">
      <c r="A239" s="5" t="n">
        <v>17</v>
      </c>
      <c r="B239" t="inlineStr">
        <is>
          <t>40733799</t>
        </is>
      </c>
      <c r="C239" t="inlineStr">
        <is>
          <t>ТОВ "АРТЛАЙН ІНТЕГРАЦІЯ"</t>
        </is>
      </c>
      <c r="D239" t="inlineStr"/>
      <c r="E239" s="5" t="n">
        <v>15</v>
      </c>
      <c r="F239" s="5" t="n">
        <v>15</v>
      </c>
      <c r="G239" s="13" t="n">
        <v>1563391.5</v>
      </c>
      <c r="H239" s="12" t="n">
        <v>0.0132</v>
      </c>
      <c r="I239" s="13" t="n">
        <v>104226.1</v>
      </c>
      <c r="J239" s="13" t="n">
        <v>44994</v>
      </c>
      <c r="K239" s="5" t="n">
        <v>6</v>
      </c>
      <c r="L239" s="5" t="n">
        <v>1</v>
      </c>
      <c r="M239" t="inlineStr">
        <is>
          <t>Машини для обробки даних (апаратна частина)</t>
        </is>
      </c>
      <c r="N239" t="inlineStr">
        <is>
          <t>2025-09-22</t>
        </is>
      </c>
      <c r="O239" t="inlineStr">
        <is>
          <t>2026-08-11</t>
        </is>
      </c>
    </row>
    <row r="240">
      <c r="A240" s="5" t="n">
        <v>18</v>
      </c>
      <c r="B240" t="inlineStr">
        <is>
          <t>37570093</t>
        </is>
      </c>
      <c r="C240" t="inlineStr">
        <is>
          <t>ТОВ "СМАРТ ТЕХНОЛОГІЇ В ОСВІТІ"</t>
        </is>
      </c>
      <c r="D240" t="inlineStr"/>
      <c r="E240" s="5" t="n">
        <v>2</v>
      </c>
      <c r="F240" s="5" t="n">
        <v>2</v>
      </c>
      <c r="G240" s="13" t="n">
        <v>1418350</v>
      </c>
      <c r="H240" s="12" t="n">
        <v>0.0119</v>
      </c>
      <c r="I240" s="13" t="n">
        <v>709175</v>
      </c>
      <c r="J240" s="13" t="n">
        <v>709175</v>
      </c>
      <c r="K240" s="5" t="n">
        <v>2</v>
      </c>
      <c r="L240" s="5" t="n">
        <v>1</v>
      </c>
      <c r="M240" t="inlineStr">
        <is>
          <t>Машини для обробки даних (апаратна частина)</t>
        </is>
      </c>
      <c r="N240" t="inlineStr">
        <is>
          <t>2026-07-30</t>
        </is>
      </c>
      <c r="O240" t="inlineStr">
        <is>
          <t>2026-09-01</t>
        </is>
      </c>
    </row>
    <row r="241">
      <c r="A241" s="5" t="n">
        <v>19</v>
      </c>
      <c r="B241" t="inlineStr">
        <is>
          <t>1620205276</t>
        </is>
      </c>
      <c r="C241" t="inlineStr">
        <is>
          <t>ФОП "ВАЙДА ГАВРИЛО ІВАНОВИЧ"</t>
        </is>
      </c>
      <c r="D241" t="inlineStr"/>
      <c r="E241" s="5" t="n">
        <v>2</v>
      </c>
      <c r="F241" s="5" t="n">
        <v>2</v>
      </c>
      <c r="G241" s="13" t="n">
        <v>1399000</v>
      </c>
      <c r="H241" s="12" t="n">
        <v>0.0118</v>
      </c>
      <c r="I241" s="13" t="n">
        <v>699500</v>
      </c>
      <c r="J241" s="13" t="n">
        <v>699500</v>
      </c>
      <c r="K241" s="5" t="n">
        <v>1</v>
      </c>
      <c r="L241" s="5" t="n">
        <v>1</v>
      </c>
      <c r="M241" t="inlineStr">
        <is>
          <t>Машини для обробки даних (апаратна частина)</t>
        </is>
      </c>
      <c r="N241" t="inlineStr">
        <is>
          <t>2026-06-25</t>
        </is>
      </c>
      <c r="O241" t="inlineStr">
        <is>
          <t>2026-07-16</t>
        </is>
      </c>
    </row>
    <row r="242">
      <c r="A242" s="5" t="n">
        <v>20</v>
      </c>
      <c r="B242" t="inlineStr">
        <is>
          <t>2145216995</t>
        </is>
      </c>
      <c r="C242" t="inlineStr">
        <is>
          <t>ФОП Цяк Валерій Михайлович</t>
        </is>
      </c>
      <c r="D242" t="inlineStr"/>
      <c r="E242" s="5" t="n">
        <v>54</v>
      </c>
      <c r="F242" s="5" t="n">
        <v>54</v>
      </c>
      <c r="G242" s="13" t="n">
        <v>1396374</v>
      </c>
      <c r="H242" s="12" t="n">
        <v>0.0118</v>
      </c>
      <c r="I242" s="13" t="n">
        <v>25858.78</v>
      </c>
      <c r="J242" s="13" t="n">
        <v>20300</v>
      </c>
      <c r="K242" s="5" t="n">
        <v>18</v>
      </c>
      <c r="L242" s="5" t="n">
        <v>1</v>
      </c>
      <c r="M242" t="inlineStr">
        <is>
          <t>Комп’ютерне обладнання</t>
        </is>
      </c>
      <c r="N242" t="inlineStr">
        <is>
          <t>2025-09-11</t>
        </is>
      </c>
      <c r="O242" t="inlineStr">
        <is>
          <t>2026-08-27</t>
        </is>
      </c>
    </row>
    <row r="243">
      <c r="A243" s="5" t="n">
        <v>21</v>
      </c>
      <c r="B243" t="inlineStr">
        <is>
          <t>42831727</t>
        </is>
      </c>
      <c r="C243" t="inlineStr">
        <is>
          <t>ТОВ "ДИДАКТИКЛАБ"</t>
        </is>
      </c>
      <c r="D243" t="inlineStr"/>
      <c r="E243" s="5" t="n">
        <v>9</v>
      </c>
      <c r="F243" s="5" t="n">
        <v>9</v>
      </c>
      <c r="G243" s="13" t="n">
        <v>1395166.66</v>
      </c>
      <c r="H243" s="12" t="n">
        <v>0.0118</v>
      </c>
      <c r="I243" s="13" t="n">
        <v>155018.52</v>
      </c>
      <c r="J243" s="13" t="n">
        <v>70000</v>
      </c>
      <c r="K243" s="5" t="n">
        <v>9</v>
      </c>
      <c r="L243" s="5" t="n">
        <v>1</v>
      </c>
      <c r="M243" t="inlineStr">
        <is>
          <t>Машини для обробки даних (апаратна частина)</t>
        </is>
      </c>
      <c r="N243" t="inlineStr">
        <is>
          <t>2025-10-17</t>
        </is>
      </c>
      <c r="O243" t="inlineStr">
        <is>
          <t>2026-07-15</t>
        </is>
      </c>
    </row>
    <row r="244">
      <c r="A244" s="5" t="n">
        <v>22</v>
      </c>
      <c r="B244" t="inlineStr">
        <is>
          <t>45949901</t>
        </is>
      </c>
      <c r="C244" t="inlineStr">
        <is>
          <t>ТОВ "МАКСИМВІСІМ"</t>
        </is>
      </c>
      <c r="D244" t="inlineStr"/>
      <c r="E244" s="5" t="n">
        <v>3</v>
      </c>
      <c r="F244" s="5" t="n">
        <v>3</v>
      </c>
      <c r="G244" s="13" t="n">
        <v>1360842.6</v>
      </c>
      <c r="H244" s="12" t="n">
        <v>0.0115</v>
      </c>
      <c r="I244" s="13" t="n">
        <v>453614.2</v>
      </c>
      <c r="J244" s="13" t="n">
        <v>375435</v>
      </c>
      <c r="K244" s="5" t="n">
        <v>3</v>
      </c>
      <c r="L244" s="5" t="n">
        <v>1</v>
      </c>
      <c r="M244" t="inlineStr">
        <is>
          <t>Машини для обробки даних (апаратна частина)</t>
        </is>
      </c>
      <c r="N244" t="inlineStr">
        <is>
          <t>2026-03-24</t>
        </is>
      </c>
      <c r="O244" t="inlineStr">
        <is>
          <t>2026-07-31</t>
        </is>
      </c>
    </row>
    <row r="245">
      <c r="A245" s="5" t="n">
        <v>23</v>
      </c>
      <c r="B245" t="inlineStr">
        <is>
          <t>2517301759</t>
        </is>
      </c>
      <c r="C245" t="inlineStr">
        <is>
          <t>ПП КЛІМУК ЮРІЙ ВАЛЕНТИНОВИЧ, Інформація про кінцевого бенефіціарта власника Клімук Юрій Валентинович, громадянство Україна, місцезнакходження 45000 м.Ковель, уиця Затишна буд. 3Б, кв. 4</t>
        </is>
      </c>
      <c r="D245" t="inlineStr"/>
      <c r="E245" s="5" t="n">
        <v>75</v>
      </c>
      <c r="F245" s="5" t="n">
        <v>75</v>
      </c>
      <c r="G245" s="13" t="n">
        <v>1146482</v>
      </c>
      <c r="H245" s="12" t="n">
        <v>0.0097</v>
      </c>
      <c r="I245" s="13" t="n">
        <v>15286.43</v>
      </c>
      <c r="J245" s="13" t="n">
        <v>12720</v>
      </c>
      <c r="K245" s="5" t="n">
        <v>15</v>
      </c>
      <c r="L245" s="5" t="n">
        <v>1</v>
      </c>
      <c r="M245" t="inlineStr">
        <is>
          <t>Машини для обробки даних (апаратна частина)</t>
        </is>
      </c>
      <c r="N245" t="inlineStr">
        <is>
          <t>2025-09-09</t>
        </is>
      </c>
      <c r="O245" t="inlineStr">
        <is>
          <t>2026-08-21</t>
        </is>
      </c>
    </row>
    <row r="246">
      <c r="A246" s="5" t="n">
        <v>24</v>
      </c>
      <c r="B246" t="inlineStr">
        <is>
          <t>45065141</t>
        </is>
      </c>
      <c r="C246" t="inlineStr">
        <is>
          <t>ТОВ "БЕСТТЕХНОПОСТАЧ"</t>
        </is>
      </c>
      <c r="D246" t="inlineStr"/>
      <c r="E246" s="5" t="n">
        <v>3</v>
      </c>
      <c r="F246" s="5" t="n">
        <v>3</v>
      </c>
      <c r="G246" s="13" t="n">
        <v>1144428</v>
      </c>
      <c r="H246" s="12" t="n">
        <v>0.009599999999999999</v>
      </c>
      <c r="I246" s="13" t="n">
        <v>381476</v>
      </c>
      <c r="J246" s="13" t="n">
        <v>294984</v>
      </c>
      <c r="K246" s="5" t="n">
        <v>2</v>
      </c>
      <c r="L246" s="5" t="n">
        <v>1</v>
      </c>
      <c r="M246" t="inlineStr">
        <is>
          <t>Комп’ютерне обладнання</t>
        </is>
      </c>
      <c r="N246" t="inlineStr">
        <is>
          <t>2025-10-09</t>
        </is>
      </c>
      <c r="O246" t="inlineStr">
        <is>
          <t>2026-04-24</t>
        </is>
      </c>
    </row>
    <row r="247">
      <c r="A247" s="5" t="n">
        <v>25</v>
      </c>
      <c r="B247" t="inlineStr">
        <is>
          <t>3943709988</t>
        </is>
      </c>
      <c r="C247" t="inlineStr">
        <is>
          <t>ФОП Нодь Каріна Юріївна</t>
        </is>
      </c>
      <c r="D247" t="inlineStr"/>
      <c r="E247" s="5" t="n">
        <v>3</v>
      </c>
      <c r="F247" s="5" t="n">
        <v>3</v>
      </c>
      <c r="G247" s="13" t="n">
        <v>1120364</v>
      </c>
      <c r="H247" s="12" t="n">
        <v>0.0094</v>
      </c>
      <c r="I247" s="13" t="n">
        <v>373454.67</v>
      </c>
      <c r="J247" s="13" t="n">
        <v>319600</v>
      </c>
      <c r="K247" s="5" t="n">
        <v>2</v>
      </c>
      <c r="L247" s="5" t="n">
        <v>1</v>
      </c>
      <c r="M247" t="inlineStr">
        <is>
          <t>Комп’ютерне обладнання</t>
        </is>
      </c>
      <c r="N247" t="inlineStr">
        <is>
          <t>2025-12-16</t>
        </is>
      </c>
      <c r="O247" t="inlineStr">
        <is>
          <t>2026-06-02</t>
        </is>
      </c>
    </row>
    <row r="248">
      <c r="A248" s="5" t="n">
        <v>26</v>
      </c>
      <c r="B248" t="inlineStr">
        <is>
          <t>43120417</t>
        </is>
      </c>
      <c r="C248" t="inlineStr">
        <is>
          <t>ТОВ "ПАВЕРТРЕЙД"</t>
        </is>
      </c>
      <c r="D248" t="inlineStr"/>
      <c r="E248" s="5" t="n">
        <v>16</v>
      </c>
      <c r="F248" s="5" t="n">
        <v>16</v>
      </c>
      <c r="G248" s="13" t="n">
        <v>1100188.2</v>
      </c>
      <c r="H248" s="12" t="n">
        <v>0.009299999999999999</v>
      </c>
      <c r="I248" s="13" t="n">
        <v>68761.75999999999</v>
      </c>
      <c r="J248" s="13" t="n">
        <v>30537</v>
      </c>
      <c r="K248" s="5" t="n">
        <v>11</v>
      </c>
      <c r="L248" s="5" t="n">
        <v>1</v>
      </c>
      <c r="M248" t="inlineStr">
        <is>
          <t>Комп’ютерне обладнання</t>
        </is>
      </c>
      <c r="N248" t="inlineStr">
        <is>
          <t>2025-10-28</t>
        </is>
      </c>
      <c r="O248" t="inlineStr">
        <is>
          <t>2026-08-25</t>
        </is>
      </c>
    </row>
    <row r="249">
      <c r="A249" s="5" t="n">
        <v>27</v>
      </c>
      <c r="B249" t="inlineStr">
        <is>
          <t>46046622</t>
        </is>
      </c>
      <c r="C249" t="inlineStr">
        <is>
          <t>ТОВ "НАДІЙНІ ІТ РІШЕННЯ"</t>
        </is>
      </c>
      <c r="D249" t="inlineStr"/>
      <c r="E249" s="5" t="n">
        <v>2</v>
      </c>
      <c r="F249" s="5" t="n">
        <v>2</v>
      </c>
      <c r="G249" s="13" t="n">
        <v>1093944</v>
      </c>
      <c r="H249" s="12" t="n">
        <v>0.0092</v>
      </c>
      <c r="I249" s="13" t="n">
        <v>546972</v>
      </c>
      <c r="J249" s="13" t="n">
        <v>546972</v>
      </c>
      <c r="K249" s="5" t="n">
        <v>1</v>
      </c>
      <c r="L249" s="5" t="n">
        <v>1</v>
      </c>
      <c r="M249" t="inlineStr">
        <is>
          <t>Машини для обробки даних (апаратна частина)</t>
        </is>
      </c>
      <c r="N249" t="inlineStr">
        <is>
          <t>2026-06-05</t>
        </is>
      </c>
      <c r="O249" t="inlineStr">
        <is>
          <t>2026-06-05</t>
        </is>
      </c>
    </row>
    <row r="250">
      <c r="A250" s="5" t="n">
        <v>28</v>
      </c>
      <c r="B250" t="inlineStr">
        <is>
          <t>2989009351</t>
        </is>
      </c>
      <c r="C250" t="inlineStr">
        <is>
          <t>ФО-П ТАРАСОВ ОЛЕКСАНДР ОЛЕГОВИЧ</t>
        </is>
      </c>
      <c r="D250" t="inlineStr"/>
      <c r="E250" s="5" t="n">
        <v>36</v>
      </c>
      <c r="F250" s="5" t="n">
        <v>36</v>
      </c>
      <c r="G250" s="13" t="n">
        <v>1044254</v>
      </c>
      <c r="H250" s="12" t="n">
        <v>0.008800000000000001</v>
      </c>
      <c r="I250" s="13" t="n">
        <v>29007.06</v>
      </c>
      <c r="J250" s="13" t="n">
        <v>10999.5</v>
      </c>
      <c r="K250" s="5" t="n">
        <v>12</v>
      </c>
      <c r="L250" s="5" t="n">
        <v>1</v>
      </c>
      <c r="M250" t="inlineStr">
        <is>
          <t>Машини для обробки даних (апаратна частина)</t>
        </is>
      </c>
      <c r="N250" t="inlineStr">
        <is>
          <t>2025-09-05</t>
        </is>
      </c>
      <c r="O250" t="inlineStr">
        <is>
          <t>2026-08-19</t>
        </is>
      </c>
    </row>
    <row r="251">
      <c r="A251" s="5" t="n">
        <v>29</v>
      </c>
      <c r="B251" t="inlineStr">
        <is>
          <t>3943709920</t>
        </is>
      </c>
      <c r="C251" t="inlineStr">
        <is>
          <t>ФОП Нодь Аліна Юріївна</t>
        </is>
      </c>
      <c r="D251" t="inlineStr"/>
      <c r="E251" s="5" t="n">
        <v>4</v>
      </c>
      <c r="F251" s="5" t="n">
        <v>4</v>
      </c>
      <c r="G251" s="13" t="n">
        <v>987000</v>
      </c>
      <c r="H251" s="12" t="n">
        <v>0.0083</v>
      </c>
      <c r="I251" s="13" t="n">
        <v>246750</v>
      </c>
      <c r="J251" s="13" t="n">
        <v>237600</v>
      </c>
      <c r="K251" s="5" t="n">
        <v>2</v>
      </c>
      <c r="L251" s="5" t="n">
        <v>1</v>
      </c>
      <c r="M251" t="inlineStr">
        <is>
          <t>Комп’ютерне обладнання</t>
        </is>
      </c>
      <c r="N251" t="inlineStr">
        <is>
          <t>2025-10-27</t>
        </is>
      </c>
      <c r="O251" t="inlineStr">
        <is>
          <t>2025-12-18</t>
        </is>
      </c>
    </row>
    <row r="252">
      <c r="A252" s="5" t="n">
        <v>30</v>
      </c>
      <c r="B252" t="inlineStr">
        <is>
          <t>21550555</t>
        </is>
      </c>
      <c r="C252" t="inlineStr">
        <is>
          <t>ТзОВ "ПРИВАТІНВЕСТ"</t>
        </is>
      </c>
      <c r="D252" t="inlineStr"/>
      <c r="E252" s="5" t="n">
        <v>41</v>
      </c>
      <c r="F252" s="5" t="n">
        <v>41</v>
      </c>
      <c r="G252" s="13" t="n">
        <v>979421.05</v>
      </c>
      <c r="H252" s="12" t="n">
        <v>0.0083</v>
      </c>
      <c r="I252" s="13" t="n">
        <v>23888.32</v>
      </c>
      <c r="J252" s="13" t="n">
        <v>21596.94</v>
      </c>
      <c r="K252" s="5" t="n">
        <v>9</v>
      </c>
      <c r="L252" s="5" t="n">
        <v>1</v>
      </c>
      <c r="M252" t="inlineStr">
        <is>
          <t>Комп’ютерне обладнання</t>
        </is>
      </c>
      <c r="N252" t="inlineStr">
        <is>
          <t>2025-09-08</t>
        </is>
      </c>
      <c r="O252" t="inlineStr">
        <is>
          <t>2026-08-27</t>
        </is>
      </c>
    </row>
    <row r="253">
      <c r="A253" s="5" t="n">
        <v>31</v>
      </c>
      <c r="B253" t="inlineStr">
        <is>
          <t>2948314313</t>
        </is>
      </c>
      <c r="C253" t="inlineStr">
        <is>
          <t>ФОП Козловський Сергій Павлович</t>
        </is>
      </c>
      <c r="D253" t="inlineStr"/>
      <c r="E253" s="5" t="n">
        <v>7</v>
      </c>
      <c r="F253" s="5" t="n">
        <v>7</v>
      </c>
      <c r="G253" s="13" t="n">
        <v>972579.8199999999</v>
      </c>
      <c r="H253" s="12" t="n">
        <v>0.008200000000000001</v>
      </c>
      <c r="I253" s="13" t="n">
        <v>138939.97</v>
      </c>
      <c r="J253" s="13" t="n">
        <v>89922.67999999999</v>
      </c>
      <c r="K253" s="5" t="n">
        <v>4</v>
      </c>
      <c r="L253" s="5" t="n">
        <v>1</v>
      </c>
      <c r="M253" t="inlineStr">
        <is>
          <t>Комп’ютерне обладнання</t>
        </is>
      </c>
      <c r="N253" t="inlineStr">
        <is>
          <t>2025-11-05</t>
        </is>
      </c>
      <c r="O253" t="inlineStr">
        <is>
          <t>2026-02-20</t>
        </is>
      </c>
    </row>
    <row r="254">
      <c r="A254" s="5" t="n">
        <v>32</v>
      </c>
      <c r="B254" t="inlineStr">
        <is>
          <t>45596933</t>
        </is>
      </c>
      <c r="C254" t="inlineStr">
        <is>
          <t>ТОВ "КОМПАКОМ"</t>
        </is>
      </c>
      <c r="D254" t="inlineStr"/>
      <c r="E254" s="5" t="n">
        <v>9</v>
      </c>
      <c r="F254" s="5" t="n">
        <v>8</v>
      </c>
      <c r="G254" s="13" t="n">
        <v>946700</v>
      </c>
      <c r="H254" s="12" t="n">
        <v>0.008</v>
      </c>
      <c r="I254" s="13" t="n">
        <v>105188.89</v>
      </c>
      <c r="J254" s="13" t="n">
        <v>99600</v>
      </c>
      <c r="K254" s="5" t="n">
        <v>7</v>
      </c>
      <c r="L254" s="5" t="n">
        <v>1</v>
      </c>
      <c r="M254" t="inlineStr">
        <is>
          <t>Машини для обробки даних (апаратна частина)</t>
        </is>
      </c>
      <c r="N254" t="inlineStr">
        <is>
          <t>2025-09-15</t>
        </is>
      </c>
      <c r="O254" t="inlineStr">
        <is>
          <t>2026-08-31</t>
        </is>
      </c>
    </row>
    <row r="255">
      <c r="A255" s="5" t="n">
        <v>33</v>
      </c>
      <c r="B255" t="inlineStr">
        <is>
          <t>42893689</t>
        </is>
      </c>
      <c r="C255" t="inlineStr">
        <is>
          <t>ТОВ "НАВІГАТОР СИСТЕМ"</t>
        </is>
      </c>
      <c r="D255" t="inlineStr"/>
      <c r="E255" s="5" t="n">
        <v>6</v>
      </c>
      <c r="F255" s="5" t="n">
        <v>6</v>
      </c>
      <c r="G255" s="13" t="n">
        <v>855573</v>
      </c>
      <c r="H255" s="12" t="n">
        <v>0.0072</v>
      </c>
      <c r="I255" s="13" t="n">
        <v>142595.5</v>
      </c>
      <c r="J255" s="13" t="n">
        <v>115455</v>
      </c>
      <c r="K255" s="5" t="n">
        <v>4</v>
      </c>
      <c r="L255" s="5" t="n">
        <v>1</v>
      </c>
      <c r="M255" t="inlineStr">
        <is>
          <t>Машини для обробки даних (апаратна частина)</t>
        </is>
      </c>
      <c r="N255" t="inlineStr">
        <is>
          <t>2026-05-01</t>
        </is>
      </c>
      <c r="O255" t="inlineStr">
        <is>
          <t>2026-08-28</t>
        </is>
      </c>
    </row>
    <row r="256">
      <c r="A256" s="5" t="n">
        <v>34</v>
      </c>
      <c r="B256" t="inlineStr">
        <is>
          <t>3127410563</t>
        </is>
      </c>
      <c r="C256" t="inlineStr">
        <is>
          <t>ФОП Артюшенко Ірина Миколаївна</t>
        </is>
      </c>
      <c r="D256" t="inlineStr"/>
      <c r="E256" s="5" t="n">
        <v>33</v>
      </c>
      <c r="F256" s="5" t="n">
        <v>33</v>
      </c>
      <c r="G256" s="13" t="n">
        <v>853547</v>
      </c>
      <c r="H256" s="12" t="n">
        <v>0.0072</v>
      </c>
      <c r="I256" s="13" t="n">
        <v>25865.06</v>
      </c>
      <c r="J256" s="13" t="n">
        <v>20000</v>
      </c>
      <c r="K256" s="5" t="n">
        <v>12</v>
      </c>
      <c r="L256" s="5" t="n">
        <v>1</v>
      </c>
      <c r="M256" t="inlineStr">
        <is>
          <t>Машини для обробки даних (апаратна частина)</t>
        </is>
      </c>
      <c r="N256" t="inlineStr">
        <is>
          <t>2025-09-03</t>
        </is>
      </c>
      <c r="O256" t="inlineStr">
        <is>
          <t>2026-08-19</t>
        </is>
      </c>
    </row>
    <row r="257">
      <c r="A257" s="5" t="n">
        <v>35</v>
      </c>
      <c r="B257" t="inlineStr">
        <is>
          <t>40098570</t>
        </is>
      </c>
      <c r="C257" t="inlineStr">
        <is>
          <t>ТзОВ "Поділля Фінанс"</t>
        </is>
      </c>
      <c r="D257" t="inlineStr"/>
      <c r="E257" s="5" t="n">
        <v>7</v>
      </c>
      <c r="F257" s="5" t="n">
        <v>7</v>
      </c>
      <c r="G257" s="13" t="n">
        <v>804096</v>
      </c>
      <c r="H257" s="12" t="n">
        <v>0.0068</v>
      </c>
      <c r="I257" s="13" t="n">
        <v>114870.86</v>
      </c>
      <c r="J257" s="13" t="n">
        <v>60312</v>
      </c>
      <c r="K257" s="5" t="n">
        <v>5</v>
      </c>
      <c r="L257" s="5" t="n">
        <v>1</v>
      </c>
      <c r="M257" t="inlineStr">
        <is>
          <t>Машини для обробки даних (апаратна частина)</t>
        </is>
      </c>
      <c r="N257" t="inlineStr">
        <is>
          <t>2025-12-09</t>
        </is>
      </c>
      <c r="O257" t="inlineStr">
        <is>
          <t>2026-09-01</t>
        </is>
      </c>
    </row>
    <row r="258">
      <c r="A258" s="5" t="n">
        <v>36</v>
      </c>
      <c r="B258" t="inlineStr">
        <is>
          <t>3193710139</t>
        </is>
      </c>
      <c r="C258" t="inlineStr">
        <is>
          <t>ФОП Кушнір Віктор Вікторович</t>
        </is>
      </c>
      <c r="D258" t="inlineStr"/>
      <c r="E258" s="5" t="n">
        <v>5</v>
      </c>
      <c r="F258" s="5" t="n">
        <v>5</v>
      </c>
      <c r="G258" s="13" t="n">
        <v>791298</v>
      </c>
      <c r="H258" s="12" t="n">
        <v>0.0067</v>
      </c>
      <c r="I258" s="13" t="n">
        <v>158259.6</v>
      </c>
      <c r="J258" s="13" t="n">
        <v>63000</v>
      </c>
      <c r="K258" s="5" t="n">
        <v>4</v>
      </c>
      <c r="L258" s="5" t="n">
        <v>1</v>
      </c>
      <c r="M258" t="inlineStr">
        <is>
          <t>Машини для обробки даних (апаратна частина)</t>
        </is>
      </c>
      <c r="N258" t="inlineStr">
        <is>
          <t>2025-10-07</t>
        </is>
      </c>
      <c r="O258" t="inlineStr">
        <is>
          <t>2025-10-21</t>
        </is>
      </c>
    </row>
    <row r="259">
      <c r="A259" s="5" t="n">
        <v>37</v>
      </c>
      <c r="B259" t="inlineStr">
        <is>
          <t>3158309697</t>
        </is>
      </c>
      <c r="C259" t="inlineStr">
        <is>
          <t>ФОП Масюк Володимир Миколайович</t>
        </is>
      </c>
      <c r="D259" t="inlineStr"/>
      <c r="E259" s="5" t="n">
        <v>51</v>
      </c>
      <c r="F259" s="5" t="n">
        <v>51</v>
      </c>
      <c r="G259" s="13" t="n">
        <v>780199</v>
      </c>
      <c r="H259" s="12" t="n">
        <v>0.0066</v>
      </c>
      <c r="I259" s="13" t="n">
        <v>15298.02</v>
      </c>
      <c r="J259" s="13" t="n">
        <v>5893</v>
      </c>
      <c r="K259" s="5" t="n">
        <v>15</v>
      </c>
      <c r="L259" s="5" t="n">
        <v>1</v>
      </c>
      <c r="M259" t="inlineStr">
        <is>
          <t>Машини для обробки даних (апаратна частина)</t>
        </is>
      </c>
      <c r="N259" t="inlineStr">
        <is>
          <t>2025-09-22</t>
        </is>
      </c>
      <c r="O259" t="inlineStr">
        <is>
          <t>2026-08-31</t>
        </is>
      </c>
    </row>
    <row r="260">
      <c r="A260" s="5" t="n">
        <v>38</v>
      </c>
      <c r="B260" t="inlineStr">
        <is>
          <t>2910505414</t>
        </is>
      </c>
      <c r="C260" t="inlineStr">
        <is>
          <t>ФОП Томчик Євгеній Вікторович</t>
        </is>
      </c>
      <c r="D260" t="inlineStr"/>
      <c r="E260" s="5" t="n">
        <v>43</v>
      </c>
      <c r="F260" s="5" t="n">
        <v>43</v>
      </c>
      <c r="G260" s="13" t="n">
        <v>767098</v>
      </c>
      <c r="H260" s="12" t="n">
        <v>0.0065</v>
      </c>
      <c r="I260" s="13" t="n">
        <v>17839.49</v>
      </c>
      <c r="J260" s="13" t="n">
        <v>12100</v>
      </c>
      <c r="K260" s="5" t="n">
        <v>20</v>
      </c>
      <c r="L260" s="5" t="n">
        <v>1</v>
      </c>
      <c r="M260" t="inlineStr">
        <is>
          <t>Комп’ютерне обладнання</t>
        </is>
      </c>
      <c r="N260" t="inlineStr">
        <is>
          <t>2025-09-11</t>
        </is>
      </c>
      <c r="O260" t="inlineStr">
        <is>
          <t>2026-08-27</t>
        </is>
      </c>
    </row>
    <row r="261">
      <c r="A261" s="5" t="n">
        <v>39</v>
      </c>
      <c r="B261" t="inlineStr">
        <is>
          <t>2844504980</t>
        </is>
      </c>
      <c r="C261" t="inlineStr">
        <is>
          <t>Полешко Валентина Володимирівна</t>
        </is>
      </c>
      <c r="D261" t="inlineStr"/>
      <c r="E261" s="5" t="n">
        <v>1</v>
      </c>
      <c r="F261" s="5" t="n">
        <v>1</v>
      </c>
      <c r="G261" s="13" t="n">
        <v>755580</v>
      </c>
      <c r="H261" s="12" t="n">
        <v>0.0064</v>
      </c>
      <c r="I261" s="13" t="n">
        <v>755580</v>
      </c>
      <c r="J261" s="13" t="n">
        <v>755580</v>
      </c>
      <c r="K261" s="5" t="n">
        <v>1</v>
      </c>
      <c r="L261" s="5" t="n">
        <v>1</v>
      </c>
      <c r="M261" t="inlineStr">
        <is>
          <t>Машини для обробки даних (апаратна частина)</t>
        </is>
      </c>
      <c r="N261" t="inlineStr">
        <is>
          <t>2026-04-15</t>
        </is>
      </c>
      <c r="O261" t="inlineStr">
        <is>
          <t>2026-04-15</t>
        </is>
      </c>
    </row>
    <row r="262">
      <c r="A262" s="5" t="n">
        <v>40</v>
      </c>
      <c r="B262" t="inlineStr">
        <is>
          <t>37610680</t>
        </is>
      </c>
      <c r="C262" t="inlineStr">
        <is>
          <t>ТОВ "ЄВРОФЕСТ"</t>
        </is>
      </c>
      <c r="D262" t="inlineStr"/>
      <c r="E262" s="5" t="n">
        <v>3</v>
      </c>
      <c r="F262" s="5" t="n">
        <v>3</v>
      </c>
      <c r="G262" s="13" t="n">
        <v>751850</v>
      </c>
      <c r="H262" s="12" t="n">
        <v>0.0063</v>
      </c>
      <c r="I262" s="13" t="n">
        <v>250616.67</v>
      </c>
      <c r="J262" s="13" t="n">
        <v>90000</v>
      </c>
      <c r="K262" s="5" t="n">
        <v>2</v>
      </c>
      <c r="L262" s="5" t="n">
        <v>1</v>
      </c>
      <c r="M262" t="inlineStr">
        <is>
          <t>Комп’ютерне обладнання</t>
        </is>
      </c>
      <c r="N262" t="inlineStr">
        <is>
          <t>2026-01-05</t>
        </is>
      </c>
      <c r="O262" t="inlineStr">
        <is>
          <t>2026-05-28</t>
        </is>
      </c>
    </row>
    <row r="263">
      <c r="A263" s="5" t="n">
        <v>41</v>
      </c>
      <c r="B263" t="inlineStr">
        <is>
          <t>44728541</t>
        </is>
      </c>
      <c r="C263" t="inlineStr">
        <is>
          <t>ТОВ "РЕФОРМА СИСТЕМЗ"</t>
        </is>
      </c>
      <c r="D263" t="inlineStr">
        <is>
          <t>так</t>
        </is>
      </c>
      <c r="E263" s="5" t="n">
        <v>2</v>
      </c>
      <c r="F263" s="5" t="n">
        <v>2</v>
      </c>
      <c r="G263" s="13" t="n">
        <v>744540</v>
      </c>
      <c r="H263" s="12" t="n">
        <v>0.0063</v>
      </c>
      <c r="I263" s="13" t="n">
        <v>372270</v>
      </c>
      <c r="J263" s="13" t="n">
        <v>372270</v>
      </c>
      <c r="K263" s="5" t="n">
        <v>1</v>
      </c>
      <c r="L263" s="5" t="n">
        <v>1</v>
      </c>
      <c r="M263" t="inlineStr">
        <is>
          <t>Машини для обробки даних (апаратна частина)</t>
        </is>
      </c>
      <c r="N263" t="inlineStr">
        <is>
          <t>2026-03-17</t>
        </is>
      </c>
      <c r="O263" t="inlineStr">
        <is>
          <t>2026-06-25</t>
        </is>
      </c>
    </row>
    <row r="264">
      <c r="A264" s="5" t="n">
        <v>42</v>
      </c>
      <c r="B264" t="inlineStr">
        <is>
          <t>44361974</t>
        </is>
      </c>
      <c r="C264" t="inlineStr">
        <is>
          <t>ТОВ "АРСЕНАЛ-ПОСТАЧ"</t>
        </is>
      </c>
      <c r="D264" t="inlineStr"/>
      <c r="E264" s="5" t="n">
        <v>1</v>
      </c>
      <c r="F264" s="5" t="n">
        <v>1</v>
      </c>
      <c r="G264" s="13" t="n">
        <v>715920</v>
      </c>
      <c r="H264" s="12" t="n">
        <v>0.006</v>
      </c>
      <c r="I264" s="13" t="n">
        <v>715920</v>
      </c>
      <c r="J264" s="13" t="n">
        <v>715920</v>
      </c>
      <c r="K264" s="5" t="n">
        <v>1</v>
      </c>
      <c r="L264" s="5" t="n">
        <v>1</v>
      </c>
      <c r="M264" t="inlineStr">
        <is>
          <t>Комп’ютерне обладнання</t>
        </is>
      </c>
      <c r="N264" t="inlineStr">
        <is>
          <t>2025-09-12</t>
        </is>
      </c>
      <c r="O264" t="inlineStr">
        <is>
          <t>2025-09-12</t>
        </is>
      </c>
    </row>
    <row r="265">
      <c r="A265" s="5" t="n">
        <v>43</v>
      </c>
      <c r="B265" t="inlineStr">
        <is>
          <t>2737409359</t>
        </is>
      </c>
      <c r="C265" t="inlineStr">
        <is>
          <t>ФО-підприємець Пасічник Андрій Володимирович</t>
        </is>
      </c>
      <c r="D265" t="inlineStr"/>
      <c r="E265" s="5" t="n">
        <v>20</v>
      </c>
      <c r="F265" s="5" t="n">
        <v>20</v>
      </c>
      <c r="G265" s="13" t="n">
        <v>692085</v>
      </c>
      <c r="H265" s="12" t="n">
        <v>0.0058</v>
      </c>
      <c r="I265" s="13" t="n">
        <v>34604.25</v>
      </c>
      <c r="J265" s="13" t="n">
        <v>16482</v>
      </c>
      <c r="K265" s="5" t="n">
        <v>11</v>
      </c>
      <c r="L265" s="5" t="n">
        <v>1</v>
      </c>
      <c r="M265" t="inlineStr">
        <is>
          <t>Машини для обробки даних (апаратна частина)</t>
        </is>
      </c>
      <c r="N265" t="inlineStr">
        <is>
          <t>2025-09-04</t>
        </is>
      </c>
      <c r="O265" t="inlineStr">
        <is>
          <t>2026-08-21</t>
        </is>
      </c>
    </row>
    <row r="266">
      <c r="A266" s="5" t="n">
        <v>44</v>
      </c>
      <c r="B266" t="inlineStr">
        <is>
          <t>2182417109</t>
        </is>
      </c>
      <c r="C266" t="inlineStr">
        <is>
          <t>ФОП "Павлюк Леся Миколаївна"</t>
        </is>
      </c>
      <c r="D266" t="inlineStr"/>
      <c r="E266" s="5" t="n">
        <v>1</v>
      </c>
      <c r="F266" s="5" t="n">
        <v>1</v>
      </c>
      <c r="G266" s="13" t="n">
        <v>648933.3</v>
      </c>
      <c r="H266" s="12" t="n">
        <v>0.0055</v>
      </c>
      <c r="I266" s="13" t="n">
        <v>648933.3</v>
      </c>
      <c r="J266" s="13" t="n">
        <v>648933.3</v>
      </c>
      <c r="K266" s="5" t="n">
        <v>1</v>
      </c>
      <c r="L266" s="5" t="n">
        <v>1</v>
      </c>
      <c r="M266" t="inlineStr">
        <is>
          <t>Машини для обробки даних (апаратна частина)</t>
        </is>
      </c>
      <c r="N266" t="inlineStr">
        <is>
          <t>2026-04-09</t>
        </is>
      </c>
      <c r="O266" t="inlineStr">
        <is>
          <t>2026-04-09</t>
        </is>
      </c>
    </row>
    <row r="267">
      <c r="A267" s="5" t="n">
        <v>45</v>
      </c>
      <c r="B267" t="inlineStr">
        <is>
          <t>46323904</t>
        </is>
      </c>
      <c r="C267" t="inlineStr">
        <is>
          <t>ТОВ "АЙВІКС ТЕХ"</t>
        </is>
      </c>
      <c r="D267" t="inlineStr"/>
      <c r="E267" s="5" t="n">
        <v>1</v>
      </c>
      <c r="F267" s="5" t="n">
        <v>1</v>
      </c>
      <c r="G267" s="13" t="n">
        <v>582000</v>
      </c>
      <c r="H267" s="12" t="n">
        <v>0.0049</v>
      </c>
      <c r="I267" s="13" t="n">
        <v>582000</v>
      </c>
      <c r="J267" s="13" t="n">
        <v>582000</v>
      </c>
      <c r="K267" s="5" t="n">
        <v>1</v>
      </c>
      <c r="L267" s="5" t="n">
        <v>1</v>
      </c>
      <c r="M267" t="inlineStr">
        <is>
          <t>Машини для обробки даних (апаратна частина)</t>
        </is>
      </c>
      <c r="N267" t="inlineStr">
        <is>
          <t>2026-07-27</t>
        </is>
      </c>
      <c r="O267" t="inlineStr">
        <is>
          <t>2026-07-27</t>
        </is>
      </c>
    </row>
    <row r="268">
      <c r="A268" s="5" t="n">
        <v>46</v>
      </c>
      <c r="B268" t="inlineStr">
        <is>
          <t>2926609759</t>
        </is>
      </c>
      <c r="C268" t="inlineStr">
        <is>
          <t>ФОП "ІВАНОВ ІГОР ВІКТОРОВИЧ"</t>
        </is>
      </c>
      <c r="D268" t="inlineStr"/>
      <c r="E268" s="5" t="n">
        <v>16</v>
      </c>
      <c r="F268" s="5" t="n">
        <v>16</v>
      </c>
      <c r="G268" s="13" t="n">
        <v>566797</v>
      </c>
      <c r="H268" s="12" t="n">
        <v>0.0048</v>
      </c>
      <c r="I268" s="13" t="n">
        <v>35424.81</v>
      </c>
      <c r="J268" s="13" t="n">
        <v>19927.5</v>
      </c>
      <c r="K268" s="5" t="n">
        <v>10</v>
      </c>
      <c r="L268" s="5" t="n">
        <v>1</v>
      </c>
      <c r="M268" t="inlineStr">
        <is>
          <t>Комп’ютерне обладнання</t>
        </is>
      </c>
      <c r="N268" t="inlineStr">
        <is>
          <t>2025-09-22</t>
        </is>
      </c>
      <c r="O268" t="inlineStr">
        <is>
          <t>2026-08-18</t>
        </is>
      </c>
    </row>
    <row r="269">
      <c r="A269" s="5" t="n">
        <v>47</v>
      </c>
      <c r="B269" t="inlineStr">
        <is>
          <t>2315703282</t>
        </is>
      </c>
      <c r="C269" t="inlineStr">
        <is>
          <t>ФОП Музичук Ніна Валентинівна</t>
        </is>
      </c>
      <c r="D269" t="inlineStr"/>
      <c r="E269" s="5" t="n">
        <v>23</v>
      </c>
      <c r="F269" s="5" t="n">
        <v>23</v>
      </c>
      <c r="G269" s="13" t="n">
        <v>553468</v>
      </c>
      <c r="H269" s="12" t="n">
        <v>0.0047</v>
      </c>
      <c r="I269" s="13" t="n">
        <v>24063.83</v>
      </c>
      <c r="J269" s="13" t="n">
        <v>21843</v>
      </c>
      <c r="K269" s="5" t="n">
        <v>12</v>
      </c>
      <c r="L269" s="5" t="n">
        <v>1</v>
      </c>
      <c r="M269" t="inlineStr">
        <is>
          <t>Комп’ютерне обладнання</t>
        </is>
      </c>
      <c r="N269" t="inlineStr">
        <is>
          <t>2025-09-02</t>
        </is>
      </c>
      <c r="O269" t="inlineStr">
        <is>
          <t>2026-08-17</t>
        </is>
      </c>
    </row>
    <row r="270">
      <c r="A270" s="5" t="n">
        <v>48</v>
      </c>
      <c r="B270" t="inlineStr">
        <is>
          <t>2990707462</t>
        </is>
      </c>
      <c r="C270" t="inlineStr">
        <is>
          <t>ФОП КОСТЕНКО ІРИНА ВАЛЕНТИНІВНА</t>
        </is>
      </c>
      <c r="D270" t="inlineStr"/>
      <c r="E270" s="5" t="n">
        <v>3</v>
      </c>
      <c r="F270" s="5" t="n">
        <v>3</v>
      </c>
      <c r="G270" s="13" t="n">
        <v>547040</v>
      </c>
      <c r="H270" s="12" t="n">
        <v>0.0046</v>
      </c>
      <c r="I270" s="13" t="n">
        <v>182346.67</v>
      </c>
      <c r="J270" s="13" t="n">
        <v>149500</v>
      </c>
      <c r="K270" s="5" t="n">
        <v>3</v>
      </c>
      <c r="L270" s="5" t="n">
        <v>1</v>
      </c>
      <c r="M270" t="inlineStr">
        <is>
          <t>Комп’ютерне обладнання</t>
        </is>
      </c>
      <c r="N270" t="inlineStr">
        <is>
          <t>2026-04-08</t>
        </is>
      </c>
      <c r="O270" t="inlineStr">
        <is>
          <t>2026-04-18</t>
        </is>
      </c>
    </row>
    <row r="271">
      <c r="A271" s="5" t="n">
        <v>49</v>
      </c>
      <c r="B271" t="inlineStr">
        <is>
          <t>88888888</t>
        </is>
      </c>
      <c r="C271" t="inlineStr">
        <is>
          <t>Оборонний постачальник</t>
        </is>
      </c>
      <c r="D271" t="inlineStr"/>
      <c r="E271" s="5" t="n">
        <v>14</v>
      </c>
      <c r="F271" s="5" t="n">
        <v>14</v>
      </c>
      <c r="G271" s="13" t="n">
        <v>535187.48</v>
      </c>
      <c r="H271" s="12" t="n">
        <v>0.0045</v>
      </c>
      <c r="I271" s="13" t="n">
        <v>38227.68</v>
      </c>
      <c r="J271" s="13" t="n">
        <v>45205</v>
      </c>
      <c r="K271" s="5" t="n">
        <v>2</v>
      </c>
      <c r="L271" s="5" t="n">
        <v>1</v>
      </c>
      <c r="M271" t="inlineStr">
        <is>
          <t>Комп’ютерне обладнання</t>
        </is>
      </c>
      <c r="N271" t="inlineStr">
        <is>
          <t>2025-09-18</t>
        </is>
      </c>
      <c r="O271" t="inlineStr">
        <is>
          <t>2026-07-29</t>
        </is>
      </c>
    </row>
    <row r="272">
      <c r="A272" s="5" t="n">
        <v>50</v>
      </c>
      <c r="B272" t="inlineStr">
        <is>
          <t>3284013026</t>
        </is>
      </c>
      <c r="C272" t="inlineStr">
        <is>
          <t>ФОП Атаманська Анастасія Сергіївна</t>
        </is>
      </c>
      <c r="D272" t="inlineStr"/>
      <c r="E272" s="5" t="n">
        <v>2</v>
      </c>
      <c r="F272" s="5" t="n">
        <v>2</v>
      </c>
      <c r="G272" s="13" t="n">
        <v>534150</v>
      </c>
      <c r="H272" s="12" t="n">
        <v>0.0045</v>
      </c>
      <c r="I272" s="13" t="n">
        <v>267075</v>
      </c>
      <c r="J272" s="13" t="n">
        <v>267075</v>
      </c>
      <c r="K272" s="5" t="n">
        <v>2</v>
      </c>
      <c r="L272" s="5" t="n">
        <v>1</v>
      </c>
      <c r="M272" t="inlineStr">
        <is>
          <t>Машини для обробки даних (апаратна частина)</t>
        </is>
      </c>
      <c r="N272" t="inlineStr">
        <is>
          <t>2025-09-23</t>
        </is>
      </c>
      <c r="O272" t="inlineStr">
        <is>
          <t>2025-09-26</t>
        </is>
      </c>
    </row>
    <row r="273">
      <c r="A273" s="5" t="n">
        <v>51</v>
      </c>
      <c r="B273" t="inlineStr">
        <is>
          <t>2877304395</t>
        </is>
      </c>
      <c r="C273" t="inlineStr">
        <is>
          <t>Підприємець Борух Микола Миколайович</t>
        </is>
      </c>
      <c r="D273" t="inlineStr"/>
      <c r="E273" s="5" t="n">
        <v>24</v>
      </c>
      <c r="F273" s="5" t="n">
        <v>24</v>
      </c>
      <c r="G273" s="13" t="n">
        <v>522792</v>
      </c>
      <c r="H273" s="12" t="n">
        <v>0.0044</v>
      </c>
      <c r="I273" s="13" t="n">
        <v>21783</v>
      </c>
      <c r="J273" s="13" t="n">
        <v>16684.5</v>
      </c>
      <c r="K273" s="5" t="n">
        <v>8</v>
      </c>
      <c r="L273" s="5" t="n">
        <v>1</v>
      </c>
      <c r="M273" t="inlineStr">
        <is>
          <t>Машини для обробки даних (апаратна частина)</t>
        </is>
      </c>
      <c r="N273" t="inlineStr">
        <is>
          <t>2025-09-25</t>
        </is>
      </c>
      <c r="O273" t="inlineStr">
        <is>
          <t>2026-08-20</t>
        </is>
      </c>
    </row>
    <row r="274">
      <c r="A274" s="5" t="n">
        <v>52</v>
      </c>
      <c r="B274" t="inlineStr">
        <is>
          <t>36123789</t>
        </is>
      </c>
      <c r="C274" t="inlineStr">
        <is>
          <t>ТОВ "КСА 7"</t>
        </is>
      </c>
      <c r="D274" t="inlineStr"/>
      <c r="E274" s="5" t="n">
        <v>3</v>
      </c>
      <c r="F274" s="5" t="n">
        <v>3</v>
      </c>
      <c r="G274" s="13" t="n">
        <v>512298</v>
      </c>
      <c r="H274" s="12" t="n">
        <v>0.0043</v>
      </c>
      <c r="I274" s="13" t="n">
        <v>170766</v>
      </c>
      <c r="J274" s="13" t="n">
        <v>61956</v>
      </c>
      <c r="K274" s="5" t="n">
        <v>3</v>
      </c>
      <c r="L274" s="5" t="n">
        <v>1</v>
      </c>
      <c r="M274" t="inlineStr">
        <is>
          <t>Машини для обробки даних (апаратна частина)</t>
        </is>
      </c>
      <c r="N274" t="inlineStr">
        <is>
          <t>2025-10-08</t>
        </is>
      </c>
      <c r="O274" t="inlineStr">
        <is>
          <t>2025-12-18</t>
        </is>
      </c>
    </row>
    <row r="275">
      <c r="A275" s="5" t="n">
        <v>53</v>
      </c>
      <c r="B275" t="inlineStr">
        <is>
          <t>3068128687</t>
        </is>
      </c>
      <c r="C275" t="inlineStr">
        <is>
          <t>ФОП "Собківська Тетяна Борисівна"</t>
        </is>
      </c>
      <c r="D275" t="inlineStr"/>
      <c r="E275" s="5" t="n">
        <v>3</v>
      </c>
      <c r="F275" s="5" t="n">
        <v>3</v>
      </c>
      <c r="G275" s="13" t="n">
        <v>488361.28</v>
      </c>
      <c r="H275" s="12" t="n">
        <v>0.0041</v>
      </c>
      <c r="I275" s="13" t="n">
        <v>162787.09</v>
      </c>
      <c r="J275" s="13" t="n">
        <v>212820.48</v>
      </c>
      <c r="K275" s="5" t="n">
        <v>2</v>
      </c>
      <c r="L275" s="5" t="n">
        <v>1</v>
      </c>
      <c r="M275" t="inlineStr">
        <is>
          <t>Комп’ютерне обладнання</t>
        </is>
      </c>
      <c r="N275" t="inlineStr">
        <is>
          <t>2025-12-19</t>
        </is>
      </c>
      <c r="O275" t="inlineStr">
        <is>
          <t>2026-03-09</t>
        </is>
      </c>
    </row>
    <row r="276">
      <c r="A276" s="5" t="n">
        <v>54</v>
      </c>
      <c r="B276" t="inlineStr">
        <is>
          <t>2850105825</t>
        </is>
      </c>
      <c r="C276" t="inlineStr">
        <is>
          <t>ФОП "Гріпіч Тетяна Борисівна"</t>
        </is>
      </c>
      <c r="D276" t="inlineStr"/>
      <c r="E276" s="5" t="n">
        <v>11</v>
      </c>
      <c r="F276" s="5" t="n">
        <v>11</v>
      </c>
      <c r="G276" s="13" t="n">
        <v>486040</v>
      </c>
      <c r="H276" s="12" t="n">
        <v>0.0041</v>
      </c>
      <c r="I276" s="13" t="n">
        <v>44185.45</v>
      </c>
      <c r="J276" s="13" t="n">
        <v>33600</v>
      </c>
      <c r="K276" s="5" t="n">
        <v>8</v>
      </c>
      <c r="L276" s="5" t="n">
        <v>1</v>
      </c>
      <c r="M276" t="inlineStr">
        <is>
          <t>Машини для обробки даних (апаратна частина)</t>
        </is>
      </c>
      <c r="N276" t="inlineStr">
        <is>
          <t>2025-09-15</t>
        </is>
      </c>
      <c r="O276" t="inlineStr">
        <is>
          <t>2026-08-21</t>
        </is>
      </c>
    </row>
    <row r="277">
      <c r="A277" s="5" t="n">
        <v>55</v>
      </c>
      <c r="B277" t="inlineStr">
        <is>
          <t>2507705620</t>
        </is>
      </c>
      <c r="C277" t="inlineStr">
        <is>
          <t>ФОП "ЗАВАДСЬКА ВАЛЕНТИНА ВАСИЛІВНА"</t>
        </is>
      </c>
      <c r="D277" t="inlineStr"/>
      <c r="E277" s="5" t="n">
        <v>4</v>
      </c>
      <c r="F277" s="5" t="n">
        <v>4</v>
      </c>
      <c r="G277" s="13" t="n">
        <v>484052</v>
      </c>
      <c r="H277" s="12" t="n">
        <v>0.0041</v>
      </c>
      <c r="I277" s="13" t="n">
        <v>121013</v>
      </c>
      <c r="J277" s="13" t="n">
        <v>115727</v>
      </c>
      <c r="K277" s="5" t="n">
        <v>3</v>
      </c>
      <c r="L277" s="5" t="n">
        <v>1</v>
      </c>
      <c r="M277" t="inlineStr">
        <is>
          <t>Машини для обробки даних (апаратна частина)</t>
        </is>
      </c>
      <c r="N277" t="inlineStr">
        <is>
          <t>2025-11-27</t>
        </is>
      </c>
      <c r="O277" t="inlineStr">
        <is>
          <t>2025-12-10</t>
        </is>
      </c>
    </row>
    <row r="278">
      <c r="A278" s="5" t="n">
        <v>56</v>
      </c>
      <c r="B278" t="inlineStr">
        <is>
          <t>3007316316</t>
        </is>
      </c>
      <c r="C278" t="inlineStr">
        <is>
          <t>ФОП ДОБРОХАНСЬКИЙ КОСТЯНТИН ЮРІЙОВИЧ</t>
        </is>
      </c>
      <c r="D278" t="inlineStr"/>
      <c r="E278" s="5" t="n">
        <v>1</v>
      </c>
      <c r="F278" s="5" t="n">
        <v>1</v>
      </c>
      <c r="G278" s="13" t="n">
        <v>478548</v>
      </c>
      <c r="H278" s="12" t="n">
        <v>0.004</v>
      </c>
      <c r="I278" s="13" t="n">
        <v>478548</v>
      </c>
      <c r="J278" s="13" t="n">
        <v>478548</v>
      </c>
      <c r="K278" s="5" t="n">
        <v>1</v>
      </c>
      <c r="L278" s="5" t="n">
        <v>1</v>
      </c>
      <c r="M278" t="inlineStr">
        <is>
          <t>Машини для обробки даних (апаратна частина)</t>
        </is>
      </c>
      <c r="N278" t="inlineStr">
        <is>
          <t>2025-12-10</t>
        </is>
      </c>
      <c r="O278" t="inlineStr">
        <is>
          <t>2025-12-10</t>
        </is>
      </c>
    </row>
    <row r="279">
      <c r="A279" s="5" t="n">
        <v>57</v>
      </c>
      <c r="B279" t="inlineStr">
        <is>
          <t>3106910191</t>
        </is>
      </c>
      <c r="C279" t="inlineStr">
        <is>
          <t>ФОП Варшик Богдан Анатолійович</t>
        </is>
      </c>
      <c r="D279" t="inlineStr"/>
      <c r="E279" s="5" t="n">
        <v>25</v>
      </c>
      <c r="F279" s="5" t="n">
        <v>25</v>
      </c>
      <c r="G279" s="13" t="n">
        <v>474498</v>
      </c>
      <c r="H279" s="12" t="n">
        <v>0.004</v>
      </c>
      <c r="I279" s="13" t="n">
        <v>18979.92</v>
      </c>
      <c r="J279" s="13" t="n">
        <v>11090</v>
      </c>
      <c r="K279" s="5" t="n">
        <v>11</v>
      </c>
      <c r="L279" s="5" t="n">
        <v>1</v>
      </c>
      <c r="M279" t="inlineStr">
        <is>
          <t>Машини для обробки даних (апаратна частина)</t>
        </is>
      </c>
      <c r="N279" t="inlineStr">
        <is>
          <t>2025-09-10</t>
        </is>
      </c>
      <c r="O279" t="inlineStr">
        <is>
          <t>2026-08-06</t>
        </is>
      </c>
    </row>
    <row r="280">
      <c r="A280" s="5" t="n">
        <v>58</v>
      </c>
      <c r="B280" t="inlineStr">
        <is>
          <t>44996712</t>
        </is>
      </c>
      <c r="C280" t="inlineStr">
        <is>
          <t>ТОВ "ОСТРІВ 1"</t>
        </is>
      </c>
      <c r="D280" t="inlineStr"/>
      <c r="E280" s="5" t="n">
        <v>3</v>
      </c>
      <c r="F280" s="5" t="n">
        <v>3</v>
      </c>
      <c r="G280" s="13" t="n">
        <v>467517</v>
      </c>
      <c r="H280" s="12" t="n">
        <v>0.0039</v>
      </c>
      <c r="I280" s="13" t="n">
        <v>155839</v>
      </c>
      <c r="J280" s="13" t="n">
        <v>57405</v>
      </c>
      <c r="K280" s="5" t="n">
        <v>2</v>
      </c>
      <c r="L280" s="5" t="n">
        <v>1</v>
      </c>
      <c r="M280" t="inlineStr">
        <is>
          <t>Машини для обробки даних (апаратна частина)</t>
        </is>
      </c>
      <c r="N280" t="inlineStr">
        <is>
          <t>2026-06-15</t>
        </is>
      </c>
      <c r="O280" t="inlineStr">
        <is>
          <t>2026-08-31</t>
        </is>
      </c>
    </row>
    <row r="281">
      <c r="A281" s="5" t="n">
        <v>59</v>
      </c>
      <c r="B281" t="inlineStr">
        <is>
          <t>2148515061</t>
        </is>
      </c>
      <c r="C281" t="inlineStr">
        <is>
          <t>ФОП Невестюк Надія Євстахівна</t>
        </is>
      </c>
      <c r="D281" t="inlineStr"/>
      <c r="E281" s="5" t="n">
        <v>1</v>
      </c>
      <c r="F281" s="5" t="n">
        <v>1</v>
      </c>
      <c r="G281" s="13" t="n">
        <v>455355</v>
      </c>
      <c r="H281" s="12" t="n">
        <v>0.0038</v>
      </c>
      <c r="I281" s="13" t="n">
        <v>455355</v>
      </c>
      <c r="J281" s="13" t="n">
        <v>455355</v>
      </c>
      <c r="K281" s="5" t="n">
        <v>1</v>
      </c>
      <c r="L281" s="5" t="n">
        <v>1</v>
      </c>
      <c r="M281" t="inlineStr">
        <is>
          <t>Комп’ютерне обладнання</t>
        </is>
      </c>
      <c r="N281" t="inlineStr">
        <is>
          <t>2025-12-09</t>
        </is>
      </c>
      <c r="O281" t="inlineStr">
        <is>
          <t>2025-12-09</t>
        </is>
      </c>
    </row>
    <row r="282">
      <c r="A282" s="5" t="n">
        <v>60</v>
      </c>
      <c r="B282" t="inlineStr">
        <is>
          <t>2631713187</t>
        </is>
      </c>
      <c r="C282" t="inlineStr">
        <is>
          <t>ФОП "Сергєєва Олена Дмитрівна"</t>
        </is>
      </c>
      <c r="D282" t="inlineStr"/>
      <c r="E282" s="5" t="n">
        <v>4</v>
      </c>
      <c r="F282" s="5" t="n">
        <v>4</v>
      </c>
      <c r="G282" s="13" t="n">
        <v>451766</v>
      </c>
      <c r="H282" s="12" t="n">
        <v>0.0038</v>
      </c>
      <c r="I282" s="13" t="n">
        <v>112941.5</v>
      </c>
      <c r="J282" s="13" t="n">
        <v>35753</v>
      </c>
      <c r="K282" s="5" t="n">
        <v>4</v>
      </c>
      <c r="L282" s="5" t="n">
        <v>1</v>
      </c>
      <c r="M282" t="inlineStr">
        <is>
          <t>Машини для обробки даних (апаратна частина)</t>
        </is>
      </c>
      <c r="N282" t="inlineStr">
        <is>
          <t>2026-08-17</t>
        </is>
      </c>
      <c r="O282" t="inlineStr">
        <is>
          <t>2026-08-31</t>
        </is>
      </c>
    </row>
    <row r="283">
      <c r="A283" s="5" t="n">
        <v>61</v>
      </c>
      <c r="B283" t="inlineStr">
        <is>
          <t>2942106923</t>
        </is>
      </c>
      <c r="C283" t="inlineStr">
        <is>
          <t>ФОП Жук Ольга Вікторівна</t>
        </is>
      </c>
      <c r="D283" t="inlineStr"/>
      <c r="E283" s="5" t="n">
        <v>8</v>
      </c>
      <c r="F283" s="5" t="n">
        <v>8</v>
      </c>
      <c r="G283" s="13" t="n">
        <v>450493</v>
      </c>
      <c r="H283" s="12" t="n">
        <v>0.0038</v>
      </c>
      <c r="I283" s="13" t="n">
        <v>56311.62</v>
      </c>
      <c r="J283" s="13" t="n">
        <v>8171.5</v>
      </c>
      <c r="K283" s="5" t="n">
        <v>3</v>
      </c>
      <c r="L283" s="5" t="n">
        <v>1</v>
      </c>
      <c r="M283" t="inlineStr">
        <is>
          <t>Комп’ютерне обладнання</t>
        </is>
      </c>
      <c r="N283" t="inlineStr">
        <is>
          <t>2025-09-02</t>
        </is>
      </c>
      <c r="O283" t="inlineStr">
        <is>
          <t>2026-07-27</t>
        </is>
      </c>
    </row>
    <row r="284">
      <c r="A284" s="5" t="n">
        <v>62</v>
      </c>
      <c r="B284" t="inlineStr">
        <is>
          <t>2213120365</t>
        </is>
      </c>
      <c r="C284" t="inlineStr">
        <is>
          <t>ФОП "Тарасова Ірина Миколаївна"</t>
        </is>
      </c>
      <c r="D284" t="inlineStr"/>
      <c r="E284" s="5" t="n">
        <v>1</v>
      </c>
      <c r="F284" s="5" t="n">
        <v>1</v>
      </c>
      <c r="G284" s="13" t="n">
        <v>443970</v>
      </c>
      <c r="H284" s="12" t="n">
        <v>0.0037</v>
      </c>
      <c r="I284" s="13" t="n">
        <v>443970</v>
      </c>
      <c r="J284" s="13" t="n">
        <v>443970</v>
      </c>
      <c r="K284" s="5" t="n">
        <v>1</v>
      </c>
      <c r="L284" s="5" t="n">
        <v>1</v>
      </c>
      <c r="M284" t="inlineStr">
        <is>
          <t>Машини для обробки даних (апаратна частина)</t>
        </is>
      </c>
      <c r="N284" t="inlineStr">
        <is>
          <t>2026-07-23</t>
        </is>
      </c>
      <c r="O284" t="inlineStr">
        <is>
          <t>2026-07-23</t>
        </is>
      </c>
    </row>
    <row r="285">
      <c r="A285" s="5" t="n">
        <v>63</v>
      </c>
      <c r="B285" t="inlineStr">
        <is>
          <t>3184011046</t>
        </is>
      </c>
      <c r="C285" t="inlineStr">
        <is>
          <t>ФОП "САВРУК ВІКТОРІЯ ЯРОСЛАВІВНА"</t>
        </is>
      </c>
      <c r="D285" t="inlineStr"/>
      <c r="E285" s="5" t="n">
        <v>1</v>
      </c>
      <c r="F285" s="5" t="n">
        <v>1</v>
      </c>
      <c r="G285" s="13" t="n">
        <v>438945</v>
      </c>
      <c r="H285" s="12" t="n">
        <v>0.0037</v>
      </c>
      <c r="I285" s="13" t="n">
        <v>438945</v>
      </c>
      <c r="J285" s="13" t="n">
        <v>438945</v>
      </c>
      <c r="K285" s="5" t="n">
        <v>1</v>
      </c>
      <c r="L285" s="5" t="n">
        <v>1</v>
      </c>
      <c r="M285" t="inlineStr">
        <is>
          <t>Комп’ютерне обладнання</t>
        </is>
      </c>
      <c r="N285" t="inlineStr">
        <is>
          <t>2025-11-28</t>
        </is>
      </c>
      <c r="O285" t="inlineStr">
        <is>
          <t>2025-11-28</t>
        </is>
      </c>
    </row>
    <row r="286">
      <c r="A286" s="5" t="n">
        <v>64</v>
      </c>
      <c r="B286" t="inlineStr">
        <is>
          <t>30436824</t>
        </is>
      </c>
      <c r="C286" t="inlineStr">
        <is>
          <t>ТОВ "ПРИНТ ЕКСПЕРТ"</t>
        </is>
      </c>
      <c r="D286" t="inlineStr"/>
      <c r="E286" s="5" t="n">
        <v>4</v>
      </c>
      <c r="F286" s="5" t="n">
        <v>4</v>
      </c>
      <c r="G286" s="13" t="n">
        <v>433320</v>
      </c>
      <c r="H286" s="12" t="n">
        <v>0.0037</v>
      </c>
      <c r="I286" s="13" t="n">
        <v>108330</v>
      </c>
      <c r="J286" s="13" t="n">
        <v>100242</v>
      </c>
      <c r="K286" s="5" t="n">
        <v>3</v>
      </c>
      <c r="L286" s="5" t="n">
        <v>1</v>
      </c>
      <c r="M286" t="inlineStr">
        <is>
          <t>Комп’ютерне обладнання</t>
        </is>
      </c>
      <c r="N286" t="inlineStr">
        <is>
          <t>2025-09-26</t>
        </is>
      </c>
      <c r="O286" t="inlineStr">
        <is>
          <t>2025-12-22</t>
        </is>
      </c>
    </row>
    <row r="287">
      <c r="A287" s="5" t="n">
        <v>65</v>
      </c>
      <c r="B287" t="inlineStr">
        <is>
          <t>30256061</t>
        </is>
      </c>
      <c r="C287" t="inlineStr">
        <is>
          <t>ТОВ "ДІАВЕСТЕНД КОМПЛЕКСНІ РІШЕННЯ"</t>
        </is>
      </c>
      <c r="D287" t="inlineStr"/>
      <c r="E287" s="5" t="n">
        <v>6</v>
      </c>
      <c r="F287" s="5" t="n">
        <v>5</v>
      </c>
      <c r="G287" s="13" t="n">
        <v>428742</v>
      </c>
      <c r="H287" s="12" t="n">
        <v>0.0036</v>
      </c>
      <c r="I287" s="13" t="n">
        <v>71457</v>
      </c>
      <c r="J287" s="13" t="n">
        <v>64668</v>
      </c>
      <c r="K287" s="5" t="n">
        <v>5</v>
      </c>
      <c r="L287" s="5" t="n">
        <v>1</v>
      </c>
      <c r="M287" t="inlineStr">
        <is>
          <t>Комп’ютерне обладнання</t>
        </is>
      </c>
      <c r="N287" t="inlineStr">
        <is>
          <t>2026-02-25</t>
        </is>
      </c>
      <c r="O287" t="inlineStr">
        <is>
          <t>2026-08-12</t>
        </is>
      </c>
    </row>
    <row r="288">
      <c r="A288" s="5" t="n">
        <v>66</v>
      </c>
      <c r="B288" t="inlineStr">
        <is>
          <t>33170679</t>
        </is>
      </c>
      <c r="C288" t="inlineStr">
        <is>
          <t>ПП "МЕГАПОРТАЛ ЛУЦЬК"</t>
        </is>
      </c>
      <c r="D288" t="inlineStr"/>
      <c r="E288" s="5" t="n">
        <v>20</v>
      </c>
      <c r="F288" s="5" t="n">
        <v>20</v>
      </c>
      <c r="G288" s="13" t="n">
        <v>426772</v>
      </c>
      <c r="H288" s="12" t="n">
        <v>0.0036</v>
      </c>
      <c r="I288" s="13" t="n">
        <v>21338.6</v>
      </c>
      <c r="J288" s="13" t="n">
        <v>17048.5</v>
      </c>
      <c r="K288" s="5" t="n">
        <v>11</v>
      </c>
      <c r="L288" s="5" t="n">
        <v>1</v>
      </c>
      <c r="M288" t="inlineStr">
        <is>
          <t>Комп’ютерне обладнання</t>
        </is>
      </c>
      <c r="N288" t="inlineStr">
        <is>
          <t>2025-09-12</t>
        </is>
      </c>
      <c r="O288" t="inlineStr">
        <is>
          <t>2026-07-27</t>
        </is>
      </c>
    </row>
    <row r="289">
      <c r="A289" s="5" t="n">
        <v>67</v>
      </c>
      <c r="B289" t="inlineStr">
        <is>
          <t>39759248</t>
        </is>
      </c>
      <c r="C289" t="inlineStr">
        <is>
          <t>ТОВ "МОБАЙЛ АЙТІ"</t>
        </is>
      </c>
      <c r="D289" t="inlineStr"/>
      <c r="E289" s="5" t="n">
        <v>3</v>
      </c>
      <c r="F289" s="5" t="n">
        <v>3</v>
      </c>
      <c r="G289" s="13" t="n">
        <v>425271.9</v>
      </c>
      <c r="H289" s="12" t="n">
        <v>0.0036</v>
      </c>
      <c r="I289" s="13" t="n">
        <v>141757.3</v>
      </c>
      <c r="J289" s="13" t="n">
        <v>150147.9</v>
      </c>
      <c r="K289" s="5" t="n">
        <v>2</v>
      </c>
      <c r="L289" s="5" t="n">
        <v>1</v>
      </c>
      <c r="M289" t="inlineStr">
        <is>
          <t>Комп’ютерне обладнання</t>
        </is>
      </c>
      <c r="N289" t="inlineStr">
        <is>
          <t>2025-10-21</t>
        </is>
      </c>
      <c r="O289" t="inlineStr">
        <is>
          <t>2026-08-11</t>
        </is>
      </c>
    </row>
    <row r="290">
      <c r="A290" s="5" t="n">
        <v>68</v>
      </c>
      <c r="B290" t="inlineStr">
        <is>
          <t>2926913352</t>
        </is>
      </c>
      <c r="C290" t="inlineStr">
        <is>
          <t>ФОП "Семенюк Віталій Миколайович"</t>
        </is>
      </c>
      <c r="D290" t="inlineStr"/>
      <c r="E290" s="5" t="n">
        <v>4</v>
      </c>
      <c r="F290" s="5" t="n">
        <v>4</v>
      </c>
      <c r="G290" s="13" t="n">
        <v>414555.18</v>
      </c>
      <c r="H290" s="12" t="n">
        <v>0.0035</v>
      </c>
      <c r="I290" s="13" t="n">
        <v>103638.79</v>
      </c>
      <c r="J290" s="13" t="n">
        <v>93944.42</v>
      </c>
      <c r="K290" s="5" t="n">
        <v>4</v>
      </c>
      <c r="L290" s="5" t="n">
        <v>1</v>
      </c>
      <c r="M290" t="inlineStr">
        <is>
          <t>Машини для обробки даних (апаратна частина)</t>
        </is>
      </c>
      <c r="N290" t="inlineStr">
        <is>
          <t>2025-11-04</t>
        </is>
      </c>
      <c r="O290" t="inlineStr">
        <is>
          <t>2026-04-21</t>
        </is>
      </c>
    </row>
    <row r="291">
      <c r="A291" s="5" t="n">
        <v>69</v>
      </c>
      <c r="B291" t="inlineStr">
        <is>
          <t>3133103972</t>
        </is>
      </c>
      <c r="C291" t="inlineStr">
        <is>
          <t>ФОП Сомик Олександр Іванович</t>
        </is>
      </c>
      <c r="D291" t="inlineStr"/>
      <c r="E291" s="5" t="n">
        <v>22</v>
      </c>
      <c r="F291" s="5" t="n">
        <v>22</v>
      </c>
      <c r="G291" s="13" t="n">
        <v>409403.55</v>
      </c>
      <c r="H291" s="12" t="n">
        <v>0.0034</v>
      </c>
      <c r="I291" s="13" t="n">
        <v>18609.25</v>
      </c>
      <c r="J291" s="13" t="n">
        <v>18925</v>
      </c>
      <c r="K291" s="5" t="n">
        <v>10</v>
      </c>
      <c r="L291" s="5" t="n">
        <v>1</v>
      </c>
      <c r="M291" t="inlineStr">
        <is>
          <t>Машини для обробки даних (апаратна частина)</t>
        </is>
      </c>
      <c r="N291" t="inlineStr">
        <is>
          <t>2025-09-08</t>
        </is>
      </c>
      <c r="O291" t="inlineStr">
        <is>
          <t>2026-08-11</t>
        </is>
      </c>
    </row>
    <row r="292">
      <c r="A292" s="5" t="n">
        <v>70</v>
      </c>
      <c r="B292" t="inlineStr">
        <is>
          <t>3277008468</t>
        </is>
      </c>
      <c r="C292" t="inlineStr">
        <is>
          <t>ФОП "ГАЛИЦЬКА МАРИНА МИКОЛАЇВНА"</t>
        </is>
      </c>
      <c r="D292" t="inlineStr"/>
      <c r="E292" s="5" t="n">
        <v>5</v>
      </c>
      <c r="F292" s="5" t="n">
        <v>5</v>
      </c>
      <c r="G292" s="13" t="n">
        <v>404786</v>
      </c>
      <c r="H292" s="12" t="n">
        <v>0.0034</v>
      </c>
      <c r="I292" s="13" t="n">
        <v>80957.2</v>
      </c>
      <c r="J292" s="13" t="n">
        <v>82620</v>
      </c>
      <c r="K292" s="5" t="n">
        <v>3</v>
      </c>
      <c r="L292" s="5" t="n">
        <v>1</v>
      </c>
      <c r="M292" t="inlineStr">
        <is>
          <t>Машини для обробки даних (апаратна частина)</t>
        </is>
      </c>
      <c r="N292" t="inlineStr">
        <is>
          <t>2025-12-01</t>
        </is>
      </c>
      <c r="O292" t="inlineStr">
        <is>
          <t>2026-02-19</t>
        </is>
      </c>
    </row>
    <row r="293">
      <c r="A293" s="5" t="n">
        <v>71</v>
      </c>
      <c r="B293" t="inlineStr">
        <is>
          <t>2418218905</t>
        </is>
      </c>
      <c r="C293" t="inlineStr">
        <is>
          <t>ФОП "Пасічник Ніна Іванівна"</t>
        </is>
      </c>
      <c r="D293" t="inlineStr"/>
      <c r="E293" s="5" t="n">
        <v>2</v>
      </c>
      <c r="F293" s="5" t="n">
        <v>2</v>
      </c>
      <c r="G293" s="13" t="n">
        <v>399762</v>
      </c>
      <c r="H293" s="12" t="n">
        <v>0.0034</v>
      </c>
      <c r="I293" s="13" t="n">
        <v>199881</v>
      </c>
      <c r="J293" s="13" t="n">
        <v>199881</v>
      </c>
      <c r="K293" s="5" t="n">
        <v>2</v>
      </c>
      <c r="L293" s="5" t="n">
        <v>1</v>
      </c>
      <c r="M293" t="inlineStr">
        <is>
          <t>Машини для обробки даних (апаратна частина)</t>
        </is>
      </c>
      <c r="N293" t="inlineStr">
        <is>
          <t>2026-06-19</t>
        </is>
      </c>
      <c r="O293" t="inlineStr">
        <is>
          <t>2026-07-06</t>
        </is>
      </c>
    </row>
    <row r="294">
      <c r="A294" s="5" t="n">
        <v>72</v>
      </c>
      <c r="B294" t="inlineStr">
        <is>
          <t>35142088</t>
        </is>
      </c>
      <c r="C294" t="inlineStr">
        <is>
          <t>ТОВ "ВЕСКО ІНВЕСТ"</t>
        </is>
      </c>
      <c r="D294" t="inlineStr"/>
      <c r="E294" s="5" t="n">
        <v>1</v>
      </c>
      <c r="F294" s="5" t="n">
        <v>1</v>
      </c>
      <c r="G294" s="13" t="n">
        <v>399240</v>
      </c>
      <c r="H294" s="12" t="n">
        <v>0.0034</v>
      </c>
      <c r="I294" s="13" t="n">
        <v>399240</v>
      </c>
      <c r="J294" s="13" t="n">
        <v>399240</v>
      </c>
      <c r="K294" s="5" t="n">
        <v>1</v>
      </c>
      <c r="L294" s="5" t="n">
        <v>1</v>
      </c>
      <c r="M294" t="inlineStr">
        <is>
          <t>Машини для обробки даних (апаратна частина)</t>
        </is>
      </c>
      <c r="N294" t="inlineStr">
        <is>
          <t>2025-12-10</t>
        </is>
      </c>
      <c r="O294" t="inlineStr">
        <is>
          <t>2025-12-10</t>
        </is>
      </c>
    </row>
    <row r="295">
      <c r="A295" s="5" t="n">
        <v>73</v>
      </c>
      <c r="B295" t="inlineStr">
        <is>
          <t>3722001628</t>
        </is>
      </c>
      <c r="C295" t="inlineStr">
        <is>
          <t>ФОП Хомич Вікторія Вікторівна</t>
        </is>
      </c>
      <c r="D295" t="inlineStr"/>
      <c r="E295" s="5" t="n">
        <v>12</v>
      </c>
      <c r="F295" s="5" t="n">
        <v>12</v>
      </c>
      <c r="G295" s="13" t="n">
        <v>388250</v>
      </c>
      <c r="H295" s="12" t="n">
        <v>0.0033</v>
      </c>
      <c r="I295" s="13" t="n">
        <v>32354.17</v>
      </c>
      <c r="J295" s="13" t="n">
        <v>23400</v>
      </c>
      <c r="K295" s="5" t="n">
        <v>8</v>
      </c>
      <c r="L295" s="5" t="n">
        <v>1</v>
      </c>
      <c r="M295" t="inlineStr">
        <is>
          <t>Комп’ютерне обладнання</t>
        </is>
      </c>
      <c r="N295" t="inlineStr">
        <is>
          <t>2025-10-23</t>
        </is>
      </c>
      <c r="O295" t="inlineStr">
        <is>
          <t>2026-08-05</t>
        </is>
      </c>
    </row>
    <row r="296">
      <c r="A296" s="5" t="n">
        <v>74</v>
      </c>
      <c r="B296" t="inlineStr">
        <is>
          <t>45740879</t>
        </is>
      </c>
      <c r="C296" t="inlineStr">
        <is>
          <t>ТОВ "ЕКСПОТЕН"</t>
        </is>
      </c>
      <c r="D296" t="inlineStr"/>
      <c r="E296" s="5" t="n">
        <v>3</v>
      </c>
      <c r="F296" s="5" t="n">
        <v>3</v>
      </c>
      <c r="G296" s="13" t="n">
        <v>385949</v>
      </c>
      <c r="H296" s="12" t="n">
        <v>0.0033</v>
      </c>
      <c r="I296" s="13" t="n">
        <v>128649.67</v>
      </c>
      <c r="J296" s="13" t="n">
        <v>38949</v>
      </c>
      <c r="K296" s="5" t="n">
        <v>3</v>
      </c>
      <c r="L296" s="5" t="n">
        <v>1</v>
      </c>
      <c r="M296" t="inlineStr">
        <is>
          <t>Машини для обробки даних (апаратна частина)</t>
        </is>
      </c>
      <c r="N296" t="inlineStr">
        <is>
          <t>2025-10-29</t>
        </is>
      </c>
      <c r="O296" t="inlineStr">
        <is>
          <t>2025-12-16</t>
        </is>
      </c>
    </row>
    <row r="297">
      <c r="A297" s="5" t="n">
        <v>75</v>
      </c>
      <c r="B297" t="inlineStr">
        <is>
          <t>46394095</t>
        </is>
      </c>
      <c r="C297" t="inlineStr">
        <is>
          <t>ТОВ "ЕДУ ЛАБ"</t>
        </is>
      </c>
      <c r="D297" t="inlineStr"/>
      <c r="E297" s="5" t="n">
        <v>1</v>
      </c>
      <c r="F297" s="5" t="n">
        <v>1</v>
      </c>
      <c r="G297" s="13" t="n">
        <v>384000</v>
      </c>
      <c r="H297" s="12" t="n">
        <v>0.0032</v>
      </c>
      <c r="I297" s="13" t="n">
        <v>384000</v>
      </c>
      <c r="J297" s="13" t="n">
        <v>384000</v>
      </c>
      <c r="K297" s="5" t="n">
        <v>1</v>
      </c>
      <c r="L297" s="5" t="n">
        <v>1</v>
      </c>
      <c r="M297" t="inlineStr">
        <is>
          <t>Комп’ютерне обладнання</t>
        </is>
      </c>
      <c r="N297" t="inlineStr">
        <is>
          <t>2026-08-25</t>
        </is>
      </c>
      <c r="O297" t="inlineStr">
        <is>
          <t>2026-08-25</t>
        </is>
      </c>
    </row>
    <row r="298">
      <c r="A298" s="5" t="n">
        <v>76</v>
      </c>
      <c r="B298" t="inlineStr">
        <is>
          <t>3591510437</t>
        </is>
      </c>
      <c r="C298" t="inlineStr">
        <is>
          <t>ФОП "Гумен Юрій Анатолійович"</t>
        </is>
      </c>
      <c r="D298" t="inlineStr"/>
      <c r="E298" s="5" t="n">
        <v>3</v>
      </c>
      <c r="F298" s="5" t="n">
        <v>3</v>
      </c>
      <c r="G298" s="13" t="n">
        <v>376649</v>
      </c>
      <c r="H298" s="12" t="n">
        <v>0.0032</v>
      </c>
      <c r="I298" s="13" t="n">
        <v>125549.67</v>
      </c>
      <c r="J298" s="13" t="n">
        <v>43780</v>
      </c>
      <c r="K298" s="5" t="n">
        <v>3</v>
      </c>
      <c r="L298" s="5" t="n">
        <v>1</v>
      </c>
      <c r="M298" t="inlineStr">
        <is>
          <t>Машини для обробки даних (апаратна частина)</t>
        </is>
      </c>
      <c r="N298" t="inlineStr">
        <is>
          <t>2026-05-08</t>
        </is>
      </c>
      <c r="O298" t="inlineStr">
        <is>
          <t>2026-07-14</t>
        </is>
      </c>
    </row>
    <row r="299">
      <c r="A299" s="5" t="n">
        <v>77</v>
      </c>
      <c r="B299" t="inlineStr">
        <is>
          <t>45636897</t>
        </is>
      </c>
      <c r="C299" t="inlineStr">
        <is>
          <t>ТОВ ""КРИШІТКА""</t>
        </is>
      </c>
      <c r="D299" t="inlineStr"/>
      <c r="E299" s="5" t="n">
        <v>2</v>
      </c>
      <c r="F299" s="5" t="n">
        <v>2</v>
      </c>
      <c r="G299" s="13" t="n">
        <v>366666</v>
      </c>
      <c r="H299" s="12" t="n">
        <v>0.0031</v>
      </c>
      <c r="I299" s="13" t="n">
        <v>183333</v>
      </c>
      <c r="J299" s="13" t="n">
        <v>183333</v>
      </c>
      <c r="K299" s="5" t="n">
        <v>2</v>
      </c>
      <c r="L299" s="5" t="n">
        <v>1</v>
      </c>
      <c r="M299" t="inlineStr">
        <is>
          <t>Машини для обробки даних (апаратна частина)</t>
        </is>
      </c>
      <c r="N299" t="inlineStr">
        <is>
          <t>2025-10-22</t>
        </is>
      </c>
      <c r="O299" t="inlineStr">
        <is>
          <t>2025-12-03</t>
        </is>
      </c>
    </row>
    <row r="300">
      <c r="A300" s="5" t="n">
        <v>78</v>
      </c>
      <c r="B300" t="inlineStr">
        <is>
          <t>3014604285</t>
        </is>
      </c>
      <c r="C300" t="inlineStr">
        <is>
          <t>ФОП Галушкіна Олеся Михайлівна</t>
        </is>
      </c>
      <c r="D300" t="inlineStr"/>
      <c r="E300" s="5" t="n">
        <v>4</v>
      </c>
      <c r="F300" s="5" t="n">
        <v>4</v>
      </c>
      <c r="G300" s="13" t="n">
        <v>365800</v>
      </c>
      <c r="H300" s="12" t="n">
        <v>0.0031</v>
      </c>
      <c r="I300" s="13" t="n">
        <v>91450</v>
      </c>
      <c r="J300" s="13" t="n">
        <v>77900</v>
      </c>
      <c r="K300" s="5" t="n">
        <v>4</v>
      </c>
      <c r="L300" s="5" t="n">
        <v>1</v>
      </c>
      <c r="M300" t="inlineStr">
        <is>
          <t>Машини для обробки даних (апаратна частина)</t>
        </is>
      </c>
      <c r="N300" t="inlineStr">
        <is>
          <t>2025-11-03</t>
        </is>
      </c>
      <c r="O300" t="inlineStr">
        <is>
          <t>2025-11-11</t>
        </is>
      </c>
    </row>
    <row r="301">
      <c r="A301" s="5" t="n">
        <v>79</v>
      </c>
      <c r="B301" t="inlineStr">
        <is>
          <t>2601818866</t>
        </is>
      </c>
      <c r="C301" t="inlineStr">
        <is>
          <t>ФОП МУЗИКА ОЛЕНА ГРИГОРІВНА</t>
        </is>
      </c>
      <c r="D301" t="inlineStr"/>
      <c r="E301" s="5" t="n">
        <v>37</v>
      </c>
      <c r="F301" s="5" t="n">
        <v>37</v>
      </c>
      <c r="G301" s="13" t="n">
        <v>361105.73</v>
      </c>
      <c r="H301" s="12" t="n">
        <v>0.003</v>
      </c>
      <c r="I301" s="13" t="n">
        <v>9759.610000000001</v>
      </c>
      <c r="J301" s="13" t="n">
        <v>3899</v>
      </c>
      <c r="K301" s="5" t="n">
        <v>14</v>
      </c>
      <c r="L301" s="5" t="n">
        <v>1</v>
      </c>
      <c r="M301" t="inlineStr">
        <is>
          <t>Машини для обробки даних (апаратна частина)</t>
        </is>
      </c>
      <c r="N301" t="inlineStr">
        <is>
          <t>2025-09-08</t>
        </is>
      </c>
      <c r="O301" t="inlineStr">
        <is>
          <t>2026-08-21</t>
        </is>
      </c>
    </row>
    <row r="302">
      <c r="A302" s="5" t="n">
        <v>80</v>
      </c>
      <c r="B302" t="inlineStr">
        <is>
          <t>45142409</t>
        </is>
      </c>
      <c r="C302" t="inlineStr">
        <is>
          <t>ТОВ "ЛАЙТ ЕНЕРДЖІ ПЛЮС"</t>
        </is>
      </c>
      <c r="D302" t="inlineStr"/>
      <c r="E302" s="5" t="n">
        <v>3</v>
      </c>
      <c r="F302" s="5" t="n">
        <v>3</v>
      </c>
      <c r="G302" s="13" t="n">
        <v>350673.6</v>
      </c>
      <c r="H302" s="12" t="n">
        <v>0.003</v>
      </c>
      <c r="I302" s="13" t="n">
        <v>116891.2</v>
      </c>
      <c r="J302" s="13" t="n">
        <v>157251.6</v>
      </c>
      <c r="K302" s="5" t="n">
        <v>1</v>
      </c>
      <c r="L302" s="5" t="n">
        <v>1</v>
      </c>
      <c r="M302" t="inlineStr">
        <is>
          <t>Комп’ютерне обладнання</t>
        </is>
      </c>
      <c r="N302" t="inlineStr">
        <is>
          <t>2025-09-26</t>
        </is>
      </c>
      <c r="O302" t="inlineStr">
        <is>
          <t>2025-10-29</t>
        </is>
      </c>
    </row>
    <row r="303">
      <c r="A303" s="5" t="n">
        <v>81</v>
      </c>
      <c r="B303" t="inlineStr">
        <is>
          <t>1997401752</t>
        </is>
      </c>
      <c r="C303" t="inlineStr">
        <is>
          <t>ФОП "СЕМЕНЮК МИКОЛА ДАНИЛОВИЧ"</t>
        </is>
      </c>
      <c r="D303" t="inlineStr"/>
      <c r="E303" s="5" t="n">
        <v>3</v>
      </c>
      <c r="F303" s="5" t="n">
        <v>3</v>
      </c>
      <c r="G303" s="13" t="n">
        <v>342598.99</v>
      </c>
      <c r="H303" s="12" t="n">
        <v>0.0029</v>
      </c>
      <c r="I303" s="13" t="n">
        <v>114199.66</v>
      </c>
      <c r="J303" s="13" t="n">
        <v>49332.99</v>
      </c>
      <c r="K303" s="5" t="n">
        <v>2</v>
      </c>
      <c r="L303" s="5" t="n">
        <v>1</v>
      </c>
      <c r="M303" t="inlineStr">
        <is>
          <t>Машини для обробки даних (апаратна частина)</t>
        </is>
      </c>
      <c r="N303" t="inlineStr">
        <is>
          <t>2026-06-08</t>
        </is>
      </c>
      <c r="O303" t="inlineStr">
        <is>
          <t>2026-06-23</t>
        </is>
      </c>
    </row>
    <row r="304">
      <c r="A304" s="5" t="n">
        <v>82</v>
      </c>
      <c r="B304" t="inlineStr">
        <is>
          <t>41702489</t>
        </is>
      </c>
      <c r="C304" t="inlineStr">
        <is>
          <t>ТОВ "МВКОМ"</t>
        </is>
      </c>
      <c r="D304" t="inlineStr"/>
      <c r="E304" s="5" t="n">
        <v>4</v>
      </c>
      <c r="F304" s="5" t="n">
        <v>4</v>
      </c>
      <c r="G304" s="13" t="n">
        <v>340815.84</v>
      </c>
      <c r="H304" s="12" t="n">
        <v>0.0029</v>
      </c>
      <c r="I304" s="13" t="n">
        <v>85203.96000000001</v>
      </c>
      <c r="J304" s="13" t="n">
        <v>59493.42</v>
      </c>
      <c r="K304" s="5" t="n">
        <v>3</v>
      </c>
      <c r="L304" s="5" t="n">
        <v>1</v>
      </c>
      <c r="M304" t="inlineStr">
        <is>
          <t>Комп’ютерне обладнання</t>
        </is>
      </c>
      <c r="N304" t="inlineStr">
        <is>
          <t>2026-04-23</t>
        </is>
      </c>
      <c r="O304" t="inlineStr">
        <is>
          <t>2026-06-19</t>
        </is>
      </c>
    </row>
    <row r="305">
      <c r="A305" s="5" t="n">
        <v>83</v>
      </c>
      <c r="B305" t="inlineStr">
        <is>
          <t>3233722899</t>
        </is>
      </c>
      <c r="C305" t="inlineStr">
        <is>
          <t>ФОП "ШУМ ОЛЕКСАНДР В'ЯЧЕСЛАВОВИЧ"</t>
        </is>
      </c>
      <c r="D305" t="inlineStr"/>
      <c r="E305" s="5" t="n">
        <v>1</v>
      </c>
      <c r="F305" s="5" t="n">
        <v>1</v>
      </c>
      <c r="G305" s="13" t="n">
        <v>340000</v>
      </c>
      <c r="H305" s="12" t="n">
        <v>0.0029</v>
      </c>
      <c r="I305" s="13" t="n">
        <v>340000</v>
      </c>
      <c r="J305" s="13" t="n">
        <v>340000</v>
      </c>
      <c r="K305" s="5" t="n">
        <v>1</v>
      </c>
      <c r="L305" s="5" t="n">
        <v>1</v>
      </c>
      <c r="M305" t="inlineStr">
        <is>
          <t>Машини для обробки даних (апаратна частина)</t>
        </is>
      </c>
      <c r="N305" t="inlineStr">
        <is>
          <t>2026-04-23</t>
        </is>
      </c>
      <c r="O305" t="inlineStr">
        <is>
          <t>2026-04-23</t>
        </is>
      </c>
    </row>
    <row r="306">
      <c r="A306" s="5" t="n">
        <v>84</v>
      </c>
      <c r="B306" t="inlineStr">
        <is>
          <t>3124326372</t>
        </is>
      </c>
      <c r="C306" t="inlineStr">
        <is>
          <t>ФОП Данильчук Сергій Павлович</t>
        </is>
      </c>
      <c r="D306" t="inlineStr"/>
      <c r="E306" s="5" t="n">
        <v>7</v>
      </c>
      <c r="F306" s="5" t="n">
        <v>7</v>
      </c>
      <c r="G306" s="13" t="n">
        <v>332623</v>
      </c>
      <c r="H306" s="12" t="n">
        <v>0.0028</v>
      </c>
      <c r="I306" s="13" t="n">
        <v>47517.57</v>
      </c>
      <c r="J306" s="13" t="n">
        <v>19350</v>
      </c>
      <c r="K306" s="5" t="n">
        <v>4</v>
      </c>
      <c r="L306" s="5" t="n">
        <v>1</v>
      </c>
      <c r="M306" t="inlineStr">
        <is>
          <t>Машини для обробки даних (апаратна частина)</t>
        </is>
      </c>
      <c r="N306" t="inlineStr">
        <is>
          <t>2025-11-28</t>
        </is>
      </c>
      <c r="O306" t="inlineStr">
        <is>
          <t>2026-06-30</t>
        </is>
      </c>
    </row>
    <row r="307">
      <c r="A307" s="5" t="n">
        <v>85</v>
      </c>
      <c r="B307" t="inlineStr">
        <is>
          <t>2971806211</t>
        </is>
      </c>
      <c r="C307" t="inlineStr">
        <is>
          <t>ФОП "КОВАЛЬ ЮРІЙ МИХАЙЛОВИЧ"</t>
        </is>
      </c>
      <c r="D307" t="inlineStr"/>
      <c r="E307" s="5" t="n">
        <v>5</v>
      </c>
      <c r="F307" s="5" t="n">
        <v>5</v>
      </c>
      <c r="G307" s="13" t="n">
        <v>324290</v>
      </c>
      <c r="H307" s="12" t="n">
        <v>0.0027</v>
      </c>
      <c r="I307" s="13" t="n">
        <v>64858</v>
      </c>
      <c r="J307" s="13" t="n">
        <v>52900</v>
      </c>
      <c r="K307" s="5" t="n">
        <v>5</v>
      </c>
      <c r="L307" s="5" t="n">
        <v>1</v>
      </c>
      <c r="M307" t="inlineStr">
        <is>
          <t>Машини для обробки даних (апаратна частина)</t>
        </is>
      </c>
      <c r="N307" t="inlineStr">
        <is>
          <t>2025-11-17</t>
        </is>
      </c>
      <c r="O307" t="inlineStr">
        <is>
          <t>2025-12-05</t>
        </is>
      </c>
    </row>
    <row r="308">
      <c r="A308" s="5" t="n">
        <v>86</v>
      </c>
      <c r="B308" t="inlineStr">
        <is>
          <t>3109214853</t>
        </is>
      </c>
      <c r="C308" t="inlineStr">
        <is>
          <t>ПІВІН ОЛЕКСАНДР ЮРІЙОВИЧ</t>
        </is>
      </c>
      <c r="D308" t="inlineStr"/>
      <c r="E308" s="5" t="n">
        <v>12</v>
      </c>
      <c r="F308" s="5" t="n">
        <v>12</v>
      </c>
      <c r="G308" s="13" t="n">
        <v>308295</v>
      </c>
      <c r="H308" s="12" t="n">
        <v>0.0026</v>
      </c>
      <c r="I308" s="13" t="n">
        <v>25691.25</v>
      </c>
      <c r="J308" s="13" t="n">
        <v>17675</v>
      </c>
      <c r="K308" s="5" t="n">
        <v>4</v>
      </c>
      <c r="L308" s="5" t="n">
        <v>1</v>
      </c>
      <c r="M308" t="inlineStr">
        <is>
          <t>Машини для обробки даних (апаратна частина)</t>
        </is>
      </c>
      <c r="N308" t="inlineStr">
        <is>
          <t>2025-11-24</t>
        </is>
      </c>
      <c r="O308" t="inlineStr">
        <is>
          <t>2026-08-12</t>
        </is>
      </c>
    </row>
    <row r="309">
      <c r="A309" s="5" t="n">
        <v>87</v>
      </c>
      <c r="B309" t="inlineStr">
        <is>
          <t>3248805838</t>
        </is>
      </c>
      <c r="C309" t="inlineStr">
        <is>
          <t>ФОП ПРІСИЧ ДМИТРО МИКОЛАЙОВИЧ</t>
        </is>
      </c>
      <c r="D309" t="inlineStr"/>
      <c r="E309" s="5" t="n">
        <v>2</v>
      </c>
      <c r="F309" s="5" t="n">
        <v>2</v>
      </c>
      <c r="G309" s="13" t="n">
        <v>305521</v>
      </c>
      <c r="H309" s="12" t="n">
        <v>0.0026</v>
      </c>
      <c r="I309" s="13" t="n">
        <v>152760.5</v>
      </c>
      <c r="J309" s="13" t="n">
        <v>152760.5</v>
      </c>
      <c r="K309" s="5" t="n">
        <v>2</v>
      </c>
      <c r="L309" s="5" t="n">
        <v>1</v>
      </c>
      <c r="M309" t="inlineStr">
        <is>
          <t>Машини для обробки даних (апаратна частина)</t>
        </is>
      </c>
      <c r="N309" t="inlineStr">
        <is>
          <t>2025-09-22</t>
        </is>
      </c>
      <c r="O309" t="inlineStr">
        <is>
          <t>2025-11-10</t>
        </is>
      </c>
    </row>
    <row r="310">
      <c r="A310" s="5" t="n">
        <v>88</v>
      </c>
      <c r="B310" t="inlineStr">
        <is>
          <t>3791109467</t>
        </is>
      </c>
      <c r="C310" t="inlineStr">
        <is>
          <t>ФОП "Онацька Світлана Владиславівна"</t>
        </is>
      </c>
      <c r="D310" t="inlineStr"/>
      <c r="E310" s="5" t="n">
        <v>1</v>
      </c>
      <c r="F310" s="5" t="n">
        <v>1</v>
      </c>
      <c r="G310" s="13" t="n">
        <v>304000</v>
      </c>
      <c r="H310" s="12" t="n">
        <v>0.0026</v>
      </c>
      <c r="I310" s="13" t="n">
        <v>304000</v>
      </c>
      <c r="J310" s="13" t="n">
        <v>304000</v>
      </c>
      <c r="K310" s="5" t="n">
        <v>1</v>
      </c>
      <c r="L310" s="5" t="n">
        <v>1</v>
      </c>
      <c r="M310" t="inlineStr">
        <is>
          <t>Комп’ютерне обладнання</t>
        </is>
      </c>
      <c r="N310" t="inlineStr">
        <is>
          <t>2026-03-19</t>
        </is>
      </c>
      <c r="O310" t="inlineStr">
        <is>
          <t>2026-03-19</t>
        </is>
      </c>
    </row>
    <row r="311">
      <c r="A311" s="5" t="n">
        <v>89</v>
      </c>
      <c r="B311" t="inlineStr">
        <is>
          <t>2347016929</t>
        </is>
      </c>
      <c r="C311" t="inlineStr">
        <is>
          <t>ФОП Зінчук Юлія Федорівна</t>
        </is>
      </c>
      <c r="D311" t="inlineStr"/>
      <c r="E311" s="5" t="n">
        <v>13</v>
      </c>
      <c r="F311" s="5" t="n">
        <v>13</v>
      </c>
      <c r="G311" s="13" t="n">
        <v>300852</v>
      </c>
      <c r="H311" s="12" t="n">
        <v>0.0025</v>
      </c>
      <c r="I311" s="13" t="n">
        <v>23142.46</v>
      </c>
      <c r="J311" s="13" t="n">
        <v>12000</v>
      </c>
      <c r="K311" s="5" t="n">
        <v>6</v>
      </c>
      <c r="L311" s="5" t="n">
        <v>1</v>
      </c>
      <c r="M311" t="inlineStr">
        <is>
          <t>Комп’ютерне обладнання</t>
        </is>
      </c>
      <c r="N311" t="inlineStr">
        <is>
          <t>2025-09-16</t>
        </is>
      </c>
      <c r="O311" t="inlineStr">
        <is>
          <t>2026-08-21</t>
        </is>
      </c>
    </row>
    <row r="312">
      <c r="A312" s="5" t="n">
        <v>90</v>
      </c>
      <c r="B312" t="inlineStr">
        <is>
          <t>3491212142</t>
        </is>
      </c>
      <c r="C312" t="inlineStr">
        <is>
          <t>ФОП "ТОНІЄВИЧ ЮЛІЯ СЕРГІЇВНА"</t>
        </is>
      </c>
      <c r="D312" t="inlineStr"/>
      <c r="E312" s="5" t="n">
        <v>1</v>
      </c>
      <c r="F312" s="5" t="n">
        <v>1</v>
      </c>
      <c r="G312" s="13" t="n">
        <v>298800</v>
      </c>
      <c r="H312" s="12" t="n">
        <v>0.0025</v>
      </c>
      <c r="I312" s="13" t="n">
        <v>298800</v>
      </c>
      <c r="J312" s="13" t="n">
        <v>298800</v>
      </c>
      <c r="K312" s="5" t="n">
        <v>1</v>
      </c>
      <c r="L312" s="5" t="n">
        <v>1</v>
      </c>
      <c r="M312" t="inlineStr">
        <is>
          <t>Машини для обробки даних (апаратна частина)</t>
        </is>
      </c>
      <c r="N312" t="inlineStr">
        <is>
          <t>2026-06-02</t>
        </is>
      </c>
      <c r="O312" t="inlineStr">
        <is>
          <t>2026-06-02</t>
        </is>
      </c>
    </row>
    <row r="313">
      <c r="A313" s="5" t="n">
        <v>91</v>
      </c>
      <c r="B313" t="inlineStr">
        <is>
          <t>21503308</t>
        </is>
      </c>
      <c r="C313" t="inlineStr">
        <is>
          <t>ТОВ "ЕПОС"</t>
        </is>
      </c>
      <c r="D313" t="inlineStr"/>
      <c r="E313" s="5" t="n">
        <v>1</v>
      </c>
      <c r="F313" s="5" t="n">
        <v>1</v>
      </c>
      <c r="G313" s="13" t="n">
        <v>298128</v>
      </c>
      <c r="H313" s="12" t="n">
        <v>0.0025</v>
      </c>
      <c r="I313" s="13" t="n">
        <v>298128</v>
      </c>
      <c r="J313" s="13" t="n">
        <v>298128</v>
      </c>
      <c r="K313" s="5" t="n">
        <v>1</v>
      </c>
      <c r="L313" s="5" t="n">
        <v>1</v>
      </c>
      <c r="M313" t="inlineStr">
        <is>
          <t>Машини для обробки даних (апаратна частина)</t>
        </is>
      </c>
      <c r="N313" t="inlineStr">
        <is>
          <t>2025-11-12</t>
        </is>
      </c>
      <c r="O313" t="inlineStr">
        <is>
          <t>2025-11-12</t>
        </is>
      </c>
    </row>
    <row r="314">
      <c r="A314" s="5" t="n">
        <v>92</v>
      </c>
      <c r="B314" t="inlineStr">
        <is>
          <t>3395008393</t>
        </is>
      </c>
      <c r="C314" t="inlineStr">
        <is>
          <t>ФОП ГАЛЬЧЕНКО МАКСИМ ПЕТРОВИЧ</t>
        </is>
      </c>
      <c r="D314" t="inlineStr"/>
      <c r="E314" s="5" t="n">
        <v>1</v>
      </c>
      <c r="F314" s="5" t="n">
        <v>1</v>
      </c>
      <c r="G314" s="13" t="n">
        <v>295750</v>
      </c>
      <c r="H314" s="12" t="n">
        <v>0.0025</v>
      </c>
      <c r="I314" s="13" t="n">
        <v>295750</v>
      </c>
      <c r="J314" s="13" t="n">
        <v>295750</v>
      </c>
      <c r="K314" s="5" t="n">
        <v>1</v>
      </c>
      <c r="L314" s="5" t="n">
        <v>1</v>
      </c>
      <c r="M314" t="inlineStr">
        <is>
          <t>Комп’ютерне обладнання</t>
        </is>
      </c>
      <c r="N314" t="inlineStr">
        <is>
          <t>2026-07-23</t>
        </is>
      </c>
      <c r="O314" t="inlineStr">
        <is>
          <t>2026-07-23</t>
        </is>
      </c>
    </row>
    <row r="315">
      <c r="A315" s="5" t="n">
        <v>93</v>
      </c>
      <c r="B315" t="inlineStr">
        <is>
          <t>2888921144</t>
        </is>
      </c>
      <c r="C315" t="inlineStr">
        <is>
          <t>ФОП "СЕМЕНЮК ОЛЕНА МИКОЛАЇВНА"</t>
        </is>
      </c>
      <c r="D315" t="inlineStr"/>
      <c r="E315" s="5" t="n">
        <v>1</v>
      </c>
      <c r="F315" s="5" t="n">
        <v>1</v>
      </c>
      <c r="G315" s="13" t="n">
        <v>294799.98</v>
      </c>
      <c r="H315" s="12" t="n">
        <v>0.0025</v>
      </c>
      <c r="I315" s="13" t="n">
        <v>294799.98</v>
      </c>
      <c r="J315" s="13" t="n">
        <v>294799.98</v>
      </c>
      <c r="K315" s="5" t="n">
        <v>1</v>
      </c>
      <c r="L315" s="5" t="n">
        <v>1</v>
      </c>
      <c r="M315" t="inlineStr">
        <is>
          <t>Машини для обробки даних (апаратна частина)</t>
        </is>
      </c>
      <c r="N315" t="inlineStr">
        <is>
          <t>2026-07-06</t>
        </is>
      </c>
      <c r="O315" t="inlineStr">
        <is>
          <t>2026-07-06</t>
        </is>
      </c>
    </row>
    <row r="316">
      <c r="A316" s="5" t="n">
        <v>94</v>
      </c>
      <c r="B316" t="inlineStr">
        <is>
          <t>46364081</t>
        </is>
      </c>
      <c r="C316" t="inlineStr">
        <is>
          <t>ТОВ "ГІГАГЕРЦ"</t>
        </is>
      </c>
      <c r="D316" t="inlineStr"/>
      <c r="E316" s="5" t="n">
        <v>1</v>
      </c>
      <c r="F316" s="5" t="n">
        <v>1</v>
      </c>
      <c r="G316" s="13" t="n">
        <v>294785.99</v>
      </c>
      <c r="H316" s="12" t="n">
        <v>0.0025</v>
      </c>
      <c r="I316" s="13" t="n">
        <v>294785.99</v>
      </c>
      <c r="J316" s="13" t="n">
        <v>294785.99</v>
      </c>
      <c r="K316" s="5" t="n">
        <v>1</v>
      </c>
      <c r="L316" s="5" t="n">
        <v>1</v>
      </c>
      <c r="M316" t="inlineStr">
        <is>
          <t>Машини для обробки даних (апаратна частина)</t>
        </is>
      </c>
      <c r="N316" t="inlineStr">
        <is>
          <t>2026-08-20</t>
        </is>
      </c>
      <c r="O316" t="inlineStr">
        <is>
          <t>2026-08-20</t>
        </is>
      </c>
    </row>
    <row r="317">
      <c r="A317" s="5" t="n">
        <v>95</v>
      </c>
      <c r="B317" t="inlineStr">
        <is>
          <t>2594810877</t>
        </is>
      </c>
      <c r="C317" t="inlineStr">
        <is>
          <t>ФОП МУЗИКА В'ЯЧЕСЛАВ ВІКТОРОВИЧ</t>
        </is>
      </c>
      <c r="D317" t="inlineStr"/>
      <c r="E317" s="5" t="n">
        <v>12</v>
      </c>
      <c r="F317" s="5" t="n">
        <v>12</v>
      </c>
      <c r="G317" s="13" t="n">
        <v>293090.98</v>
      </c>
      <c r="H317" s="12" t="n">
        <v>0.0025</v>
      </c>
      <c r="I317" s="13" t="n">
        <v>24424.25</v>
      </c>
      <c r="J317" s="13" t="n">
        <v>16455</v>
      </c>
      <c r="K317" s="5" t="n">
        <v>6</v>
      </c>
      <c r="L317" s="5" t="n">
        <v>1</v>
      </c>
      <c r="M317" t="inlineStr">
        <is>
          <t>Машини для обробки даних (апаратна частина)</t>
        </is>
      </c>
      <c r="N317" t="inlineStr">
        <is>
          <t>2025-11-07</t>
        </is>
      </c>
      <c r="O317" t="inlineStr">
        <is>
          <t>2026-06-22</t>
        </is>
      </c>
    </row>
    <row r="318">
      <c r="A318" s="5" t="n">
        <v>96</v>
      </c>
      <c r="B318" t="inlineStr">
        <is>
          <t>43002514</t>
        </is>
      </c>
      <c r="C318" t="inlineStr">
        <is>
          <t>ТОВ "ГРАФІКАПРОМ"</t>
        </is>
      </c>
      <c r="D318" t="inlineStr"/>
      <c r="E318" s="5" t="n">
        <v>1</v>
      </c>
      <c r="F318" s="5" t="n">
        <v>1</v>
      </c>
      <c r="G318" s="13" t="n">
        <v>291040</v>
      </c>
      <c r="H318" s="12" t="n">
        <v>0.0025</v>
      </c>
      <c r="I318" s="13" t="n">
        <v>291040</v>
      </c>
      <c r="J318" s="13" t="n">
        <v>291040</v>
      </c>
      <c r="K318" s="5" t="n">
        <v>1</v>
      </c>
      <c r="L318" s="5" t="n">
        <v>1</v>
      </c>
      <c r="M318" t="inlineStr">
        <is>
          <t>Машини для обробки даних (апаратна частина)</t>
        </is>
      </c>
      <c r="N318" t="inlineStr">
        <is>
          <t>2026-09-01</t>
        </is>
      </c>
      <c r="O318" t="inlineStr">
        <is>
          <t>2026-09-01</t>
        </is>
      </c>
    </row>
    <row r="319">
      <c r="A319" s="5" t="n">
        <v>97</v>
      </c>
      <c r="B319" t="inlineStr">
        <is>
          <t>22723472</t>
        </is>
      </c>
      <c r="C319" t="inlineStr">
        <is>
          <t>ПрАТ "ПрАТ "ІНСТИТУТ ІНФОРМАЦІЙНИХ ТЕХНОЛОГІЙ""</t>
        </is>
      </c>
      <c r="D319" t="inlineStr"/>
      <c r="E319" s="5" t="n">
        <v>4</v>
      </c>
      <c r="F319" s="5" t="n">
        <v>4</v>
      </c>
      <c r="G319" s="13" t="n">
        <v>289980</v>
      </c>
      <c r="H319" s="12" t="n">
        <v>0.0024</v>
      </c>
      <c r="I319" s="13" t="n">
        <v>72495</v>
      </c>
      <c r="J319" s="13" t="n">
        <v>25500</v>
      </c>
      <c r="K319" s="5" t="n">
        <v>3</v>
      </c>
      <c r="L319" s="5" t="n">
        <v>1</v>
      </c>
      <c r="M319" t="inlineStr">
        <is>
          <t>Комп’ютерне обладнання</t>
        </is>
      </c>
      <c r="N319" t="inlineStr">
        <is>
          <t>2025-09-12</t>
        </is>
      </c>
      <c r="O319" t="inlineStr">
        <is>
          <t>2026-05-15</t>
        </is>
      </c>
    </row>
    <row r="320">
      <c r="A320" s="5" t="n">
        <v>98</v>
      </c>
      <c r="B320" t="inlineStr">
        <is>
          <t>42900774</t>
        </is>
      </c>
      <c r="C320" t="inlineStr">
        <is>
          <t>ТОВ "АСАП ПРО"</t>
        </is>
      </c>
      <c r="D320" t="inlineStr"/>
      <c r="E320" s="5" t="n">
        <v>1</v>
      </c>
      <c r="F320" s="5" t="n">
        <v>1</v>
      </c>
      <c r="G320" s="13" t="n">
        <v>281000</v>
      </c>
      <c r="H320" s="12" t="n">
        <v>0.0024</v>
      </c>
      <c r="I320" s="13" t="n">
        <v>281000</v>
      </c>
      <c r="J320" s="13" t="n">
        <v>281000</v>
      </c>
      <c r="K320" s="5" t="n">
        <v>1</v>
      </c>
      <c r="L320" s="5" t="n">
        <v>1</v>
      </c>
      <c r="M320" t="inlineStr">
        <is>
          <t>Комп’ютерне обладнання</t>
        </is>
      </c>
      <c r="N320" t="inlineStr">
        <is>
          <t>2026-08-21</t>
        </is>
      </c>
      <c r="O320" t="inlineStr">
        <is>
          <t>2026-08-21</t>
        </is>
      </c>
    </row>
    <row r="321">
      <c r="A321" s="5" t="n">
        <v>99</v>
      </c>
      <c r="B321" t="inlineStr">
        <is>
          <t>44554976</t>
        </is>
      </c>
      <c r="C321" t="inlineStr">
        <is>
          <t>ТОВ "КУБІК ГРУП"</t>
        </is>
      </c>
      <c r="D321" t="inlineStr"/>
      <c r="E321" s="5" t="n">
        <v>4</v>
      </c>
      <c r="F321" s="5" t="n">
        <v>4</v>
      </c>
      <c r="G321" s="13" t="n">
        <v>274628.4</v>
      </c>
      <c r="H321" s="12" t="n">
        <v>0.0023</v>
      </c>
      <c r="I321" s="13" t="n">
        <v>68657.10000000001</v>
      </c>
      <c r="J321" s="13" t="n">
        <v>65550</v>
      </c>
      <c r="K321" s="5" t="n">
        <v>4</v>
      </c>
      <c r="L321" s="5" t="n">
        <v>1</v>
      </c>
      <c r="M321" t="inlineStr">
        <is>
          <t>Машини для обробки даних (апаратна частина)</t>
        </is>
      </c>
      <c r="N321" t="inlineStr">
        <is>
          <t>2025-12-18</t>
        </is>
      </c>
      <c r="O321" t="inlineStr">
        <is>
          <t>2026-07-27</t>
        </is>
      </c>
    </row>
    <row r="322">
      <c r="A322" s="5" t="n">
        <v>100</v>
      </c>
      <c r="B322" t="inlineStr">
        <is>
          <t>3118807405</t>
        </is>
      </c>
      <c r="C322" t="inlineStr">
        <is>
          <t>ФОП Варшик Ольга Миколаївна</t>
        </is>
      </c>
      <c r="D322" t="inlineStr"/>
      <c r="E322" s="5" t="n">
        <v>2</v>
      </c>
      <c r="F322" s="5" t="n">
        <v>2</v>
      </c>
      <c r="G322" s="13" t="n">
        <v>269800</v>
      </c>
      <c r="H322" s="12" t="n">
        <v>0.0023</v>
      </c>
      <c r="I322" s="13" t="n">
        <v>134900</v>
      </c>
      <c r="J322" s="13" t="n">
        <v>134900</v>
      </c>
      <c r="K322" s="5" t="n">
        <v>2</v>
      </c>
      <c r="L322" s="5" t="n">
        <v>1</v>
      </c>
      <c r="M322" t="inlineStr">
        <is>
          <t>Комп’ютерне обладнання</t>
        </is>
      </c>
      <c r="N322" t="inlineStr">
        <is>
          <t>2025-10-31</t>
        </is>
      </c>
      <c r="O322" t="inlineStr">
        <is>
          <t>2025-12-10</t>
        </is>
      </c>
    </row>
    <row r="323">
      <c r="A323" s="5" t="n">
        <v>101</v>
      </c>
      <c r="B323" t="inlineStr">
        <is>
          <t>1964608205</t>
        </is>
      </c>
      <c r="C323" t="inlineStr">
        <is>
          <t>ФОП "ГРІНЧЕНКО ЗОЯ ОЛЕКСІЇВНА"</t>
        </is>
      </c>
      <c r="D323" t="inlineStr"/>
      <c r="E323" s="5" t="n">
        <v>2</v>
      </c>
      <c r="F323" s="5" t="n">
        <v>2</v>
      </c>
      <c r="G323" s="13" t="n">
        <v>268880</v>
      </c>
      <c r="H323" s="12" t="n">
        <v>0.0023</v>
      </c>
      <c r="I323" s="13" t="n">
        <v>134440</v>
      </c>
      <c r="J323" s="13" t="n">
        <v>134440</v>
      </c>
      <c r="K323" s="5" t="n">
        <v>2</v>
      </c>
      <c r="L323" s="5" t="n">
        <v>1</v>
      </c>
      <c r="M323" t="inlineStr">
        <is>
          <t>Комп’ютерне обладнання</t>
        </is>
      </c>
      <c r="N323" t="inlineStr">
        <is>
          <t>2025-10-07</t>
        </is>
      </c>
      <c r="O323" t="inlineStr">
        <is>
          <t>2026-05-22</t>
        </is>
      </c>
    </row>
    <row r="324">
      <c r="A324" s="5" t="n">
        <v>102</v>
      </c>
      <c r="B324" t="inlineStr">
        <is>
          <t>3589011724</t>
        </is>
      </c>
      <c r="C324" t="inlineStr">
        <is>
          <t>ФОП Кучерява Надія Михайлівна</t>
        </is>
      </c>
      <c r="D324" t="inlineStr"/>
      <c r="E324" s="5" t="n">
        <v>1</v>
      </c>
      <c r="F324" s="5" t="n">
        <v>1</v>
      </c>
      <c r="G324" s="13" t="n">
        <v>266450</v>
      </c>
      <c r="H324" s="12" t="n">
        <v>0.0022</v>
      </c>
      <c r="I324" s="13" t="n">
        <v>266450</v>
      </c>
      <c r="J324" s="13" t="n">
        <v>266450</v>
      </c>
      <c r="K324" s="5" t="n">
        <v>1</v>
      </c>
      <c r="L324" s="5" t="n">
        <v>1</v>
      </c>
      <c r="M324" t="inlineStr">
        <is>
          <t>Машини для обробки даних (апаратна частина)</t>
        </is>
      </c>
      <c r="N324" t="inlineStr">
        <is>
          <t>2025-09-29</t>
        </is>
      </c>
      <c r="O324" t="inlineStr">
        <is>
          <t>2025-09-29</t>
        </is>
      </c>
    </row>
    <row r="325">
      <c r="A325" s="5" t="n">
        <v>103</v>
      </c>
      <c r="B325" t="inlineStr">
        <is>
          <t>37003947</t>
        </is>
      </c>
      <c r="C325" t="inlineStr">
        <is>
          <t>ТзОВ "МАКС ПРІНТ"</t>
        </is>
      </c>
      <c r="D325" t="inlineStr"/>
      <c r="E325" s="5" t="n">
        <v>6</v>
      </c>
      <c r="F325" s="5" t="n">
        <v>6</v>
      </c>
      <c r="G325" s="13" t="n">
        <v>264290.03</v>
      </c>
      <c r="H325" s="12" t="n">
        <v>0.0022</v>
      </c>
      <c r="I325" s="13" t="n">
        <v>44048.34</v>
      </c>
      <c r="J325" s="13" t="n">
        <v>33945.01</v>
      </c>
      <c r="K325" s="5" t="n">
        <v>6</v>
      </c>
      <c r="L325" s="5" t="n">
        <v>1</v>
      </c>
      <c r="M325" t="inlineStr">
        <is>
          <t>Машини для обробки даних (апаратна частина)</t>
        </is>
      </c>
      <c r="N325" t="inlineStr">
        <is>
          <t>2025-12-23</t>
        </is>
      </c>
      <c r="O325" t="inlineStr">
        <is>
          <t>2026-08-21</t>
        </is>
      </c>
    </row>
    <row r="326">
      <c r="A326" s="5" t="n">
        <v>104</v>
      </c>
      <c r="B326" t="inlineStr">
        <is>
          <t>34914211</t>
        </is>
      </c>
      <c r="C326" t="inlineStr">
        <is>
          <t>ТОВ "БІМЕКС УКРАЇНА"</t>
        </is>
      </c>
      <c r="D326" t="inlineStr"/>
      <c r="E326" s="5" t="n">
        <v>2</v>
      </c>
      <c r="F326" s="5" t="n">
        <v>2</v>
      </c>
      <c r="G326" s="13" t="n">
        <v>259968.17</v>
      </c>
      <c r="H326" s="12" t="n">
        <v>0.0022</v>
      </c>
      <c r="I326" s="13" t="n">
        <v>129984.08</v>
      </c>
      <c r="J326" s="13" t="n">
        <v>129984.08</v>
      </c>
      <c r="K326" s="5" t="n">
        <v>2</v>
      </c>
      <c r="L326" s="5" t="n">
        <v>1</v>
      </c>
      <c r="M326" t="inlineStr">
        <is>
          <t>Машини для обробки даних (апаратна частина)</t>
        </is>
      </c>
      <c r="N326" t="inlineStr">
        <is>
          <t>2025-11-28</t>
        </is>
      </c>
      <c r="O326" t="inlineStr">
        <is>
          <t>2025-12-08</t>
        </is>
      </c>
    </row>
    <row r="327">
      <c r="A327" s="5" t="n">
        <v>105</v>
      </c>
      <c r="B327" t="inlineStr">
        <is>
          <t>3343713688</t>
        </is>
      </c>
      <c r="C327" t="inlineStr">
        <is>
          <t>ФОП Юхно Сніжана Віталіївна</t>
        </is>
      </c>
      <c r="D327" t="inlineStr"/>
      <c r="E327" s="5" t="n">
        <v>5</v>
      </c>
      <c r="F327" s="5" t="n">
        <v>5</v>
      </c>
      <c r="G327" s="13" t="n">
        <v>258600</v>
      </c>
      <c r="H327" s="12" t="n">
        <v>0.0022</v>
      </c>
      <c r="I327" s="13" t="n">
        <v>51720</v>
      </c>
      <c r="J327" s="13" t="n">
        <v>39200</v>
      </c>
      <c r="K327" s="5" t="n">
        <v>3</v>
      </c>
      <c r="L327" s="5" t="n">
        <v>1</v>
      </c>
      <c r="M327" t="inlineStr">
        <is>
          <t>Комп’ютерне обладнання</t>
        </is>
      </c>
      <c r="N327" t="inlineStr">
        <is>
          <t>2025-09-02</t>
        </is>
      </c>
      <c r="O327" t="inlineStr">
        <is>
          <t>2026-07-01</t>
        </is>
      </c>
    </row>
    <row r="328">
      <c r="A328" s="5" t="n">
        <v>106</v>
      </c>
      <c r="B328" t="inlineStr">
        <is>
          <t>3235408350</t>
        </is>
      </c>
      <c r="C328" t="inlineStr">
        <is>
          <t>ФОП Ковальчук Юрій Володимирович</t>
        </is>
      </c>
      <c r="D328" t="inlineStr"/>
      <c r="E328" s="5" t="n">
        <v>13</v>
      </c>
      <c r="F328" s="5" t="n">
        <v>13</v>
      </c>
      <c r="G328" s="13" t="n">
        <v>256716</v>
      </c>
      <c r="H328" s="12" t="n">
        <v>0.0022</v>
      </c>
      <c r="I328" s="13" t="n">
        <v>19747.38</v>
      </c>
      <c r="J328" s="13" t="n">
        <v>19990</v>
      </c>
      <c r="K328" s="5" t="n">
        <v>7</v>
      </c>
      <c r="L328" s="5" t="n">
        <v>1</v>
      </c>
      <c r="M328" t="inlineStr">
        <is>
          <t>Комп’ютерне обладнання</t>
        </is>
      </c>
      <c r="N328" t="inlineStr">
        <is>
          <t>2025-09-11</t>
        </is>
      </c>
      <c r="O328" t="inlineStr">
        <is>
          <t>2026-09-01</t>
        </is>
      </c>
    </row>
    <row r="329">
      <c r="A329" s="5" t="n">
        <v>107</v>
      </c>
      <c r="B329" t="inlineStr">
        <is>
          <t>3140011651</t>
        </is>
      </c>
      <c r="C329" t="inlineStr">
        <is>
          <t>ФОП Кузьмич Сергій Петрович</t>
        </is>
      </c>
      <c r="D329" t="inlineStr"/>
      <c r="E329" s="5" t="n">
        <v>18</v>
      </c>
      <c r="F329" s="5" t="n">
        <v>18</v>
      </c>
      <c r="G329" s="13" t="n">
        <v>255351.37</v>
      </c>
      <c r="H329" s="12" t="n">
        <v>0.0022</v>
      </c>
      <c r="I329" s="13" t="n">
        <v>14186.19</v>
      </c>
      <c r="J329" s="13" t="n">
        <v>7321</v>
      </c>
      <c r="K329" s="5" t="n">
        <v>6</v>
      </c>
      <c r="L329" s="5" t="n">
        <v>1</v>
      </c>
      <c r="M329" t="inlineStr">
        <is>
          <t>Машини для обробки даних (апаратна частина)</t>
        </is>
      </c>
      <c r="N329" t="inlineStr">
        <is>
          <t>2025-10-20</t>
        </is>
      </c>
      <c r="O329" t="inlineStr">
        <is>
          <t>2026-08-18</t>
        </is>
      </c>
    </row>
    <row r="330">
      <c r="A330" s="5" t="n">
        <v>108</v>
      </c>
      <c r="B330" t="inlineStr">
        <is>
          <t>1790704467</t>
        </is>
      </c>
      <c r="C330" t="inlineStr">
        <is>
          <t>ФОП Хілінська Галина Борисівна</t>
        </is>
      </c>
      <c r="D330" t="inlineStr"/>
      <c r="E330" s="5" t="n">
        <v>9</v>
      </c>
      <c r="F330" s="5" t="n">
        <v>9</v>
      </c>
      <c r="G330" s="13" t="n">
        <v>253668</v>
      </c>
      <c r="H330" s="12" t="n">
        <v>0.0021</v>
      </c>
      <c r="I330" s="13" t="n">
        <v>28185.33</v>
      </c>
      <c r="J330" s="13" t="n">
        <v>23960</v>
      </c>
      <c r="K330" s="5" t="n">
        <v>6</v>
      </c>
      <c r="L330" s="5" t="n">
        <v>1</v>
      </c>
      <c r="M330" t="inlineStr">
        <is>
          <t>Машини для обробки даних (апаратна частина)</t>
        </is>
      </c>
      <c r="N330" t="inlineStr">
        <is>
          <t>2025-10-15</t>
        </is>
      </c>
      <c r="O330" t="inlineStr">
        <is>
          <t>2026-01-27</t>
        </is>
      </c>
    </row>
    <row r="331">
      <c r="A331" s="5" t="n">
        <v>109</v>
      </c>
      <c r="B331" t="inlineStr">
        <is>
          <t>31359353</t>
        </is>
      </c>
      <c r="C331" t="inlineStr">
        <is>
          <t>ТОВ "ЛІНТУ"</t>
        </is>
      </c>
      <c r="D331" t="inlineStr"/>
      <c r="E331" s="5" t="n">
        <v>3</v>
      </c>
      <c r="F331" s="5" t="n">
        <v>3</v>
      </c>
      <c r="G331" s="13" t="n">
        <v>248344</v>
      </c>
      <c r="H331" s="12" t="n">
        <v>0.0021</v>
      </c>
      <c r="I331" s="13" t="n">
        <v>82781.33</v>
      </c>
      <c r="J331" s="13" t="n">
        <v>60400</v>
      </c>
      <c r="K331" s="5" t="n">
        <v>1</v>
      </c>
      <c r="L331" s="5" t="n">
        <v>1</v>
      </c>
      <c r="M331" t="inlineStr">
        <is>
          <t>Комп’ютерне обладнання</t>
        </is>
      </c>
      <c r="N331" t="inlineStr">
        <is>
          <t>2025-11-10</t>
        </is>
      </c>
      <c r="O331" t="inlineStr">
        <is>
          <t>2026-07-30</t>
        </is>
      </c>
    </row>
    <row r="332">
      <c r="A332" s="5" t="n">
        <v>110</v>
      </c>
      <c r="B332" t="inlineStr">
        <is>
          <t>45903694</t>
        </is>
      </c>
      <c r="C332" t="inlineStr">
        <is>
          <t>ТОВ "ВОЛИНЬ ТЕХНОКОМФОРТ"</t>
        </is>
      </c>
      <c r="D332" t="inlineStr"/>
      <c r="E332" s="5" t="n">
        <v>1</v>
      </c>
      <c r="F332" s="5" t="n">
        <v>1</v>
      </c>
      <c r="G332" s="13" t="n">
        <v>246300</v>
      </c>
      <c r="H332" s="12" t="n">
        <v>0.0021</v>
      </c>
      <c r="I332" s="13" t="n">
        <v>246300</v>
      </c>
      <c r="J332" s="13" t="n">
        <v>246300</v>
      </c>
      <c r="K332" s="5" t="n">
        <v>1</v>
      </c>
      <c r="L332" s="5" t="n">
        <v>1</v>
      </c>
      <c r="M332" t="inlineStr">
        <is>
          <t>Машини для обробки даних (апаратна частина)</t>
        </is>
      </c>
      <c r="N332" t="inlineStr">
        <is>
          <t>2026-08-18</t>
        </is>
      </c>
      <c r="O332" t="inlineStr">
        <is>
          <t>2026-08-18</t>
        </is>
      </c>
    </row>
    <row r="333">
      <c r="A333" s="5" t="n">
        <v>111</v>
      </c>
      <c r="B333" t="inlineStr">
        <is>
          <t>3394407864</t>
        </is>
      </c>
      <c r="C333" t="inlineStr">
        <is>
          <t>ФОП ІВАНЧЕНКО МАР'ЯНА МИКОЛАЇВНА</t>
        </is>
      </c>
      <c r="D333" t="inlineStr"/>
      <c r="E333" s="5" t="n">
        <v>1</v>
      </c>
      <c r="F333" s="5" t="n">
        <v>1</v>
      </c>
      <c r="G333" s="13" t="n">
        <v>246000</v>
      </c>
      <c r="H333" s="12" t="n">
        <v>0.0021</v>
      </c>
      <c r="I333" s="13" t="n">
        <v>246000</v>
      </c>
      <c r="J333" s="13" t="n">
        <v>246000</v>
      </c>
      <c r="K333" s="5" t="n">
        <v>1</v>
      </c>
      <c r="L333" s="5" t="n">
        <v>1</v>
      </c>
      <c r="M333" t="inlineStr">
        <is>
          <t>Комп’ютерне обладнання</t>
        </is>
      </c>
      <c r="N333" t="inlineStr">
        <is>
          <t>2026-03-11</t>
        </is>
      </c>
      <c r="O333" t="inlineStr">
        <is>
          <t>2026-03-11</t>
        </is>
      </c>
    </row>
    <row r="334">
      <c r="A334" s="5" t="n">
        <v>112</v>
      </c>
      <c r="B334" t="inlineStr">
        <is>
          <t>2940407290</t>
        </is>
      </c>
      <c r="C334" t="inlineStr">
        <is>
          <t>ГАМАЛІЙЧУК СЕРГІЙ АНАТОЛІЙОВИЧ</t>
        </is>
      </c>
      <c r="D334" t="inlineStr"/>
      <c r="E334" s="5" t="n">
        <v>5</v>
      </c>
      <c r="F334" s="5" t="n">
        <v>5</v>
      </c>
      <c r="G334" s="13" t="n">
        <v>244832</v>
      </c>
      <c r="H334" s="12" t="n">
        <v>0.0021</v>
      </c>
      <c r="I334" s="13" t="n">
        <v>48966.4</v>
      </c>
      <c r="J334" s="13" t="n">
        <v>63998</v>
      </c>
      <c r="K334" s="5" t="n">
        <v>3</v>
      </c>
      <c r="L334" s="5" t="n">
        <v>1</v>
      </c>
      <c r="M334" t="inlineStr">
        <is>
          <t>Комп’ютерне обладнання</t>
        </is>
      </c>
      <c r="N334" t="inlineStr">
        <is>
          <t>2025-09-11</t>
        </is>
      </c>
      <c r="O334" t="inlineStr">
        <is>
          <t>2026-06-30</t>
        </is>
      </c>
    </row>
    <row r="335">
      <c r="A335" s="5" t="n">
        <v>113</v>
      </c>
      <c r="B335" t="inlineStr">
        <is>
          <t>39328390</t>
        </is>
      </c>
      <c r="C335" t="inlineStr">
        <is>
          <t>ТОВ "СЕКУР ІНТЕГРАЦІЯ"</t>
        </is>
      </c>
      <c r="D335" t="inlineStr"/>
      <c r="E335" s="5" t="n">
        <v>1</v>
      </c>
      <c r="F335" s="5" t="n">
        <v>1</v>
      </c>
      <c r="G335" s="13" t="n">
        <v>243936</v>
      </c>
      <c r="H335" s="12" t="n">
        <v>0.0021</v>
      </c>
      <c r="I335" s="13" t="n">
        <v>243936</v>
      </c>
      <c r="J335" s="13" t="n">
        <v>243936</v>
      </c>
      <c r="K335" s="5" t="n">
        <v>1</v>
      </c>
      <c r="L335" s="5" t="n">
        <v>1</v>
      </c>
      <c r="M335" t="inlineStr">
        <is>
          <t>Машини для обробки даних (апаратна частина)</t>
        </is>
      </c>
      <c r="N335" t="inlineStr">
        <is>
          <t>2025-09-10</t>
        </is>
      </c>
      <c r="O335" t="inlineStr">
        <is>
          <t>2025-09-10</t>
        </is>
      </c>
    </row>
    <row r="336">
      <c r="A336" s="5" t="n">
        <v>114</v>
      </c>
      <c r="B336" t="inlineStr">
        <is>
          <t>3398605497</t>
        </is>
      </c>
      <c r="C336" t="inlineStr">
        <is>
          <t>ФОП "Храпко Іван Володимирович"</t>
        </is>
      </c>
      <c r="D336" t="inlineStr"/>
      <c r="E336" s="5" t="n">
        <v>3</v>
      </c>
      <c r="F336" s="5" t="n">
        <v>3</v>
      </c>
      <c r="G336" s="13" t="n">
        <v>234210</v>
      </c>
      <c r="H336" s="12" t="n">
        <v>0.002</v>
      </c>
      <c r="I336" s="13" t="n">
        <v>78070</v>
      </c>
      <c r="J336" s="13" t="n">
        <v>89000</v>
      </c>
      <c r="K336" s="5" t="n">
        <v>3</v>
      </c>
      <c r="L336" s="5" t="n">
        <v>1</v>
      </c>
      <c r="M336" t="inlineStr">
        <is>
          <t>Комп’ютерне обладнання</t>
        </is>
      </c>
      <c r="N336" t="inlineStr">
        <is>
          <t>2025-11-20</t>
        </is>
      </c>
      <c r="O336" t="inlineStr">
        <is>
          <t>2025-12-08</t>
        </is>
      </c>
    </row>
    <row r="337">
      <c r="A337" s="5" t="n">
        <v>115</v>
      </c>
      <c r="B337" t="inlineStr">
        <is>
          <t>45018971</t>
        </is>
      </c>
      <c r="C337" t="inlineStr">
        <is>
          <t>ТОВ "К-ВСЕСВІТ" (ТОВ "К-ВСЕСВІТ"), Інформація про кінцевого бенефіціарного власника юридичної особи: ЛАПТЄВ СЕРГІЙ ОЛЕКСАНДРОВИЧ, громадянство: Україна, Україна, 79066, Львівська обл., місто Львів, вул.Сихівська, будинок 8, квартира 36. Тип бенефіціарного володіння: Прямий вирішальний вплив Відсоток частки статутного капіталу або відсоток права голосу: 100</t>
        </is>
      </c>
      <c r="D337" t="inlineStr"/>
      <c r="E337" s="5" t="n">
        <v>11</v>
      </c>
      <c r="F337" s="5" t="n">
        <v>11</v>
      </c>
      <c r="G337" s="13" t="n">
        <v>233980</v>
      </c>
      <c r="H337" s="12" t="n">
        <v>0.002</v>
      </c>
      <c r="I337" s="13" t="n">
        <v>21270.91</v>
      </c>
      <c r="J337" s="13" t="n">
        <v>8499</v>
      </c>
      <c r="K337" s="5" t="n">
        <v>5</v>
      </c>
      <c r="L337" s="5" t="n">
        <v>1</v>
      </c>
      <c r="M337" t="inlineStr">
        <is>
          <t>Машини для обробки даних (апаратна частина)</t>
        </is>
      </c>
      <c r="N337" t="inlineStr">
        <is>
          <t>2025-09-26</t>
        </is>
      </c>
      <c r="O337" t="inlineStr">
        <is>
          <t>2026-08-04</t>
        </is>
      </c>
    </row>
    <row r="338">
      <c r="A338" s="5" t="n">
        <v>116</v>
      </c>
      <c r="B338" t="inlineStr">
        <is>
          <t>36253988</t>
        </is>
      </c>
      <c r="C338" t="inlineStr">
        <is>
          <t>ТОВ "ПРИВАТЕНЕРГО"</t>
        </is>
      </c>
      <c r="D338" t="inlineStr"/>
      <c r="E338" s="5" t="n">
        <v>2</v>
      </c>
      <c r="F338" s="5" t="n">
        <v>2</v>
      </c>
      <c r="G338" s="13" t="n">
        <v>232232</v>
      </c>
      <c r="H338" s="12" t="n">
        <v>0.002</v>
      </c>
      <c r="I338" s="13" t="n">
        <v>116116</v>
      </c>
      <c r="J338" s="13" t="n">
        <v>116116</v>
      </c>
      <c r="K338" s="5" t="n">
        <v>2</v>
      </c>
      <c r="L338" s="5" t="n">
        <v>1</v>
      </c>
      <c r="M338" t="inlineStr">
        <is>
          <t>Комп’ютерне обладнання</t>
        </is>
      </c>
      <c r="N338" t="inlineStr">
        <is>
          <t>2025-11-20</t>
        </is>
      </c>
      <c r="O338" t="inlineStr">
        <is>
          <t>2026-09-02</t>
        </is>
      </c>
    </row>
    <row r="339">
      <c r="A339" s="5" t="n">
        <v>117</v>
      </c>
      <c r="B339" t="inlineStr">
        <is>
          <t>3270203234</t>
        </is>
      </c>
      <c r="C339" t="inlineStr">
        <is>
          <t>ФОП Петрощук Сергій Володимирович</t>
        </is>
      </c>
      <c r="D339" t="inlineStr"/>
      <c r="E339" s="5" t="n">
        <v>9</v>
      </c>
      <c r="F339" s="5" t="n">
        <v>9</v>
      </c>
      <c r="G339" s="13" t="n">
        <v>231987.68</v>
      </c>
      <c r="H339" s="12" t="n">
        <v>0.002</v>
      </c>
      <c r="I339" s="13" t="n">
        <v>25776.41</v>
      </c>
      <c r="J339" s="13" t="n">
        <v>25300</v>
      </c>
      <c r="K339" s="5" t="n">
        <v>7</v>
      </c>
      <c r="L339" s="5" t="n">
        <v>1</v>
      </c>
      <c r="M339" t="inlineStr">
        <is>
          <t>Комп’ютерне обладнання</t>
        </is>
      </c>
      <c r="N339" t="inlineStr">
        <is>
          <t>2025-10-13</t>
        </is>
      </c>
      <c r="O339" t="inlineStr">
        <is>
          <t>2026-08-28</t>
        </is>
      </c>
    </row>
    <row r="340">
      <c r="A340" s="5" t="n">
        <v>118</v>
      </c>
      <c r="B340" t="inlineStr">
        <is>
          <t>41675618</t>
        </is>
      </c>
      <c r="C340" t="inlineStr">
        <is>
          <t>ТОВ "ІНТЕКС ЦЕНТР"</t>
        </is>
      </c>
      <c r="D340" t="inlineStr"/>
      <c r="E340" s="5" t="n">
        <v>1</v>
      </c>
      <c r="F340" s="5" t="n">
        <v>1</v>
      </c>
      <c r="G340" s="13" t="n">
        <v>229500</v>
      </c>
      <c r="H340" s="12" t="n">
        <v>0.0019</v>
      </c>
      <c r="I340" s="13" t="n">
        <v>229500</v>
      </c>
      <c r="J340" s="13" t="n">
        <v>229500</v>
      </c>
      <c r="K340" s="5" t="n">
        <v>1</v>
      </c>
      <c r="L340" s="5" t="n">
        <v>1</v>
      </c>
      <c r="M340" t="inlineStr">
        <is>
          <t>Комп’ютерне обладнання</t>
        </is>
      </c>
      <c r="N340" t="inlineStr">
        <is>
          <t>2026-03-09</t>
        </is>
      </c>
      <c r="O340" t="inlineStr">
        <is>
          <t>2026-03-09</t>
        </is>
      </c>
    </row>
    <row r="341">
      <c r="A341" s="5" t="n">
        <v>119</v>
      </c>
      <c r="B341" t="inlineStr">
        <is>
          <t>14281534</t>
        </is>
      </c>
      <c r="C341" t="inlineStr">
        <is>
          <t>ДП "КОНІКА МІНОЛТА УКРАЇНА"</t>
        </is>
      </c>
      <c r="D341" t="inlineStr"/>
      <c r="E341" s="5" t="n">
        <v>2</v>
      </c>
      <c r="F341" s="5" t="n">
        <v>2</v>
      </c>
      <c r="G341" s="13" t="n">
        <v>227223.24</v>
      </c>
      <c r="H341" s="12" t="n">
        <v>0.0019</v>
      </c>
      <c r="I341" s="13" t="n">
        <v>113611.62</v>
      </c>
      <c r="J341" s="13" t="n">
        <v>113611.62</v>
      </c>
      <c r="K341" s="5" t="n">
        <v>2</v>
      </c>
      <c r="L341" s="5" t="n">
        <v>1</v>
      </c>
      <c r="M341" t="inlineStr">
        <is>
          <t>Комп’ютерне обладнання</t>
        </is>
      </c>
      <c r="N341" t="inlineStr">
        <is>
          <t>2025-12-24</t>
        </is>
      </c>
      <c r="O341" t="inlineStr">
        <is>
          <t>2026-05-25</t>
        </is>
      </c>
    </row>
    <row r="342">
      <c r="A342" s="5" t="n">
        <v>120</v>
      </c>
      <c r="B342" t="inlineStr">
        <is>
          <t>32436187</t>
        </is>
      </c>
      <c r="C342" t="inlineStr">
        <is>
          <t>ТОВ "СПЕЦІНФОСИСТЕМИ"</t>
        </is>
      </c>
      <c r="D342" t="inlineStr"/>
      <c r="E342" s="5" t="n">
        <v>1</v>
      </c>
      <c r="F342" s="5" t="n">
        <v>1</v>
      </c>
      <c r="G342" s="13" t="n">
        <v>216000</v>
      </c>
      <c r="H342" s="12" t="n">
        <v>0.0018</v>
      </c>
      <c r="I342" s="13" t="n">
        <v>216000</v>
      </c>
      <c r="J342" s="13" t="n">
        <v>216000</v>
      </c>
      <c r="K342" s="5" t="n">
        <v>1</v>
      </c>
      <c r="L342" s="5" t="n">
        <v>1</v>
      </c>
      <c r="M342" t="inlineStr">
        <is>
          <t>Комп’ютерне обладнання</t>
        </is>
      </c>
      <c r="N342" t="inlineStr">
        <is>
          <t>2026-04-21</t>
        </is>
      </c>
      <c r="O342" t="inlineStr">
        <is>
          <t>2026-04-21</t>
        </is>
      </c>
    </row>
    <row r="343">
      <c r="A343" s="5" t="n">
        <v>121</v>
      </c>
      <c r="B343" t="inlineStr">
        <is>
          <t>1879515049</t>
        </is>
      </c>
      <c r="C343" t="inlineStr">
        <is>
          <t>ФОП ЖИГАЛЛО ВАЛЕНТИНА МАКАРІВНА</t>
        </is>
      </c>
      <c r="D343" t="inlineStr"/>
      <c r="E343" s="5" t="n">
        <v>15</v>
      </c>
      <c r="F343" s="5" t="n">
        <v>15</v>
      </c>
      <c r="G343" s="13" t="n">
        <v>209260</v>
      </c>
      <c r="H343" s="12" t="n">
        <v>0.0018</v>
      </c>
      <c r="I343" s="13" t="n">
        <v>13950.67</v>
      </c>
      <c r="J343" s="13" t="n">
        <v>5500</v>
      </c>
      <c r="K343" s="5" t="n">
        <v>5</v>
      </c>
      <c r="L343" s="5" t="n">
        <v>1</v>
      </c>
      <c r="M343" t="inlineStr">
        <is>
          <t>Машини для обробки даних (апаратна частина)</t>
        </is>
      </c>
      <c r="N343" t="inlineStr">
        <is>
          <t>2025-09-04</t>
        </is>
      </c>
      <c r="O343" t="inlineStr">
        <is>
          <t>2026-05-11</t>
        </is>
      </c>
    </row>
    <row r="344">
      <c r="A344" s="5" t="n">
        <v>122</v>
      </c>
      <c r="B344" t="inlineStr">
        <is>
          <t>38199744</t>
        </is>
      </c>
      <c r="C344" t="inlineStr">
        <is>
          <t>ТОВ "СІНТ-ДНІПРОПЕТРОВСЬК"</t>
        </is>
      </c>
      <c r="D344" t="inlineStr"/>
      <c r="E344" s="5" t="n">
        <v>7</v>
      </c>
      <c r="F344" s="5" t="n">
        <v>7</v>
      </c>
      <c r="G344" s="13" t="n">
        <v>209022</v>
      </c>
      <c r="H344" s="12" t="n">
        <v>0.0018</v>
      </c>
      <c r="I344" s="13" t="n">
        <v>29860.29</v>
      </c>
      <c r="J344" s="13" t="n">
        <v>23760</v>
      </c>
      <c r="K344" s="5" t="n">
        <v>6</v>
      </c>
      <c r="L344" s="5" t="n">
        <v>1</v>
      </c>
      <c r="M344" t="inlineStr">
        <is>
          <t>Комп’ютерне обладнання</t>
        </is>
      </c>
      <c r="N344" t="inlineStr">
        <is>
          <t>2026-03-26</t>
        </is>
      </c>
      <c r="O344" t="inlineStr">
        <is>
          <t>2026-09-02</t>
        </is>
      </c>
    </row>
    <row r="345">
      <c r="A345" s="5" t="n">
        <v>123</v>
      </c>
      <c r="B345" t="inlineStr">
        <is>
          <t>45755623</t>
        </is>
      </c>
      <c r="C345" t="inlineStr">
        <is>
          <t>ТОВ "СТЕМ ПРОСТІР"</t>
        </is>
      </c>
      <c r="D345" t="inlineStr"/>
      <c r="E345" s="5" t="n">
        <v>1</v>
      </c>
      <c r="F345" s="5" t="n">
        <v>1</v>
      </c>
      <c r="G345" s="13" t="n">
        <v>203850</v>
      </c>
      <c r="H345" s="12" t="n">
        <v>0.0017</v>
      </c>
      <c r="I345" s="13" t="n">
        <v>203850</v>
      </c>
      <c r="J345" s="13" t="n">
        <v>203850</v>
      </c>
      <c r="K345" s="5" t="n">
        <v>1</v>
      </c>
      <c r="L345" s="5" t="n">
        <v>1</v>
      </c>
      <c r="M345" t="inlineStr">
        <is>
          <t>Машини для обробки даних (апаратна частина)</t>
        </is>
      </c>
      <c r="N345" t="inlineStr">
        <is>
          <t>2026-07-03</t>
        </is>
      </c>
      <c r="O345" t="inlineStr">
        <is>
          <t>2026-07-03</t>
        </is>
      </c>
    </row>
    <row r="346">
      <c r="A346" s="5" t="n">
        <v>124</v>
      </c>
      <c r="B346" t="inlineStr">
        <is>
          <t>3046409319</t>
        </is>
      </c>
      <c r="C346" t="inlineStr">
        <is>
          <t>ФОП Кучмук Євгеній Євгенович</t>
        </is>
      </c>
      <c r="D346" t="inlineStr"/>
      <c r="E346" s="5" t="n">
        <v>4</v>
      </c>
      <c r="F346" s="5" t="n">
        <v>4</v>
      </c>
      <c r="G346" s="13" t="n">
        <v>203580</v>
      </c>
      <c r="H346" s="12" t="n">
        <v>0.0017</v>
      </c>
      <c r="I346" s="13" t="n">
        <v>50895</v>
      </c>
      <c r="J346" s="13" t="n">
        <v>53350</v>
      </c>
      <c r="K346" s="5" t="n">
        <v>2</v>
      </c>
      <c r="L346" s="5" t="n">
        <v>1</v>
      </c>
      <c r="M346" t="inlineStr">
        <is>
          <t>Машини для обробки даних (апаратна частина)</t>
        </is>
      </c>
      <c r="N346" t="inlineStr">
        <is>
          <t>2025-12-17</t>
        </is>
      </c>
      <c r="O346" t="inlineStr">
        <is>
          <t>2026-05-06</t>
        </is>
      </c>
    </row>
    <row r="347">
      <c r="A347" s="5" t="n">
        <v>125</v>
      </c>
      <c r="B347" t="inlineStr">
        <is>
          <t>32490244</t>
        </is>
      </c>
      <c r="C347" t="inlineStr">
        <is>
          <t>ТОВ "Епіцентр К"</t>
        </is>
      </c>
      <c r="D347" t="inlineStr"/>
      <c r="E347" s="5" t="n">
        <v>7</v>
      </c>
      <c r="F347" s="5" t="n">
        <v>7</v>
      </c>
      <c r="G347" s="13" t="n">
        <v>202218.12</v>
      </c>
      <c r="H347" s="12" t="n">
        <v>0.0017</v>
      </c>
      <c r="I347" s="13" t="n">
        <v>28888.3</v>
      </c>
      <c r="J347" s="13" t="n">
        <v>10999</v>
      </c>
      <c r="K347" s="5" t="n">
        <v>7</v>
      </c>
      <c r="L347" s="5" t="n">
        <v>1</v>
      </c>
      <c r="M347" t="inlineStr">
        <is>
          <t>Комп’ютерне обладнання</t>
        </is>
      </c>
      <c r="N347" t="inlineStr">
        <is>
          <t>2025-09-29</t>
        </is>
      </c>
      <c r="O347" t="inlineStr">
        <is>
          <t>2026-07-13</t>
        </is>
      </c>
    </row>
    <row r="348">
      <c r="A348" s="5" t="n">
        <v>126</v>
      </c>
      <c r="B348" t="inlineStr">
        <is>
          <t>2630103936</t>
        </is>
      </c>
      <c r="C348" t="inlineStr">
        <is>
          <t>ФОП Бензель Юрій Васильович</t>
        </is>
      </c>
      <c r="D348" t="inlineStr"/>
      <c r="E348" s="5" t="n">
        <v>11</v>
      </c>
      <c r="F348" s="5" t="n">
        <v>11</v>
      </c>
      <c r="G348" s="13" t="n">
        <v>198815</v>
      </c>
      <c r="H348" s="12" t="n">
        <v>0.0017</v>
      </c>
      <c r="I348" s="13" t="n">
        <v>18074.09</v>
      </c>
      <c r="J348" s="13" t="n">
        <v>6275</v>
      </c>
      <c r="K348" s="5" t="n">
        <v>4</v>
      </c>
      <c r="L348" s="5" t="n">
        <v>1</v>
      </c>
      <c r="M348" t="inlineStr">
        <is>
          <t>Комп’ютерне обладнання</t>
        </is>
      </c>
      <c r="N348" t="inlineStr">
        <is>
          <t>2025-10-07</t>
        </is>
      </c>
      <c r="O348" t="inlineStr">
        <is>
          <t>2026-05-28</t>
        </is>
      </c>
    </row>
    <row r="349">
      <c r="A349" s="5" t="n">
        <v>127</v>
      </c>
      <c r="B349" t="inlineStr">
        <is>
          <t>3053608272</t>
        </is>
      </c>
      <c r="C349" t="inlineStr">
        <is>
          <t>ФОП Данильчук С.Г.</t>
        </is>
      </c>
      <c r="D349" t="inlineStr"/>
      <c r="E349" s="5" t="n">
        <v>2</v>
      </c>
      <c r="F349" s="5" t="n">
        <v>2</v>
      </c>
      <c r="G349" s="13" t="n">
        <v>196500</v>
      </c>
      <c r="H349" s="12" t="n">
        <v>0.0017</v>
      </c>
      <c r="I349" s="13" t="n">
        <v>98250</v>
      </c>
      <c r="J349" s="13" t="n">
        <v>98250</v>
      </c>
      <c r="K349" s="5" t="n">
        <v>1</v>
      </c>
      <c r="L349" s="5" t="n">
        <v>1</v>
      </c>
      <c r="M349" t="inlineStr">
        <is>
          <t>Машини для обробки даних (апаратна частина)</t>
        </is>
      </c>
      <c r="N349" t="inlineStr">
        <is>
          <t>2025-09-24</t>
        </is>
      </c>
      <c r="O349" t="inlineStr">
        <is>
          <t>2025-09-24</t>
        </is>
      </c>
    </row>
    <row r="350">
      <c r="A350" s="5" t="n">
        <v>128</v>
      </c>
      <c r="B350" t="inlineStr">
        <is>
          <t>3174619494</t>
        </is>
      </c>
      <c r="C350" t="inlineStr">
        <is>
          <t>ФОП "ДАНИЛЬЧУК СЕРГІЙ ВАЛЕРІЙОВИЧ"</t>
        </is>
      </c>
      <c r="D350" t="inlineStr"/>
      <c r="E350" s="5" t="n">
        <v>1</v>
      </c>
      <c r="F350" s="5" t="n">
        <v>1</v>
      </c>
      <c r="G350" s="13" t="n">
        <v>189738</v>
      </c>
      <c r="H350" s="12" t="n">
        <v>0.0016</v>
      </c>
      <c r="I350" s="13" t="n">
        <v>189738</v>
      </c>
      <c r="J350" s="13" t="n">
        <v>189738</v>
      </c>
      <c r="K350" s="5" t="n">
        <v>1</v>
      </c>
      <c r="L350" s="5" t="n">
        <v>1</v>
      </c>
      <c r="M350" t="inlineStr">
        <is>
          <t>Машини для обробки даних (апаратна частина)</t>
        </is>
      </c>
      <c r="N350" t="inlineStr">
        <is>
          <t>2025-12-17</t>
        </is>
      </c>
      <c r="O350" t="inlineStr">
        <is>
          <t>2025-12-17</t>
        </is>
      </c>
    </row>
    <row r="351">
      <c r="A351" s="5" t="n">
        <v>129</v>
      </c>
      <c r="B351" t="inlineStr">
        <is>
          <t>2648910063</t>
        </is>
      </c>
      <c r="C351" t="inlineStr">
        <is>
          <t>ФОП "ЛОГАЧОВА ЛЮДМИЛА МИКОЛАЇВНА"</t>
        </is>
      </c>
      <c r="D351" t="inlineStr"/>
      <c r="E351" s="5" t="n">
        <v>1</v>
      </c>
      <c r="F351" s="5" t="n">
        <v>1</v>
      </c>
      <c r="G351" s="13" t="n">
        <v>187987</v>
      </c>
      <c r="H351" s="12" t="n">
        <v>0.0016</v>
      </c>
      <c r="I351" s="13" t="n">
        <v>187987</v>
      </c>
      <c r="J351" s="13" t="n">
        <v>187987</v>
      </c>
      <c r="K351" s="5" t="n">
        <v>1</v>
      </c>
      <c r="L351" s="5" t="n">
        <v>1</v>
      </c>
      <c r="M351" t="inlineStr">
        <is>
          <t>Машини для обробки даних (апаратна частина)</t>
        </is>
      </c>
      <c r="N351" t="inlineStr">
        <is>
          <t>2025-10-23</t>
        </is>
      </c>
      <c r="O351" t="inlineStr">
        <is>
          <t>2025-10-23</t>
        </is>
      </c>
    </row>
    <row r="352">
      <c r="A352" s="5" t="n">
        <v>130</v>
      </c>
      <c r="B352" t="inlineStr">
        <is>
          <t>2669511555</t>
        </is>
      </c>
      <c r="C352" t="inlineStr">
        <is>
          <t>ФОП "БІЛЯКОВСЬКИЙ АНАТОЛІЙ ВОЛОДИМИРОВИЧ"</t>
        </is>
      </c>
      <c r="D352" t="inlineStr"/>
      <c r="E352" s="5" t="n">
        <v>5</v>
      </c>
      <c r="F352" s="5" t="n">
        <v>5</v>
      </c>
      <c r="G352" s="13" t="n">
        <v>183990</v>
      </c>
      <c r="H352" s="12" t="n">
        <v>0.0016</v>
      </c>
      <c r="I352" s="13" t="n">
        <v>36798</v>
      </c>
      <c r="J352" s="13" t="n">
        <v>42200</v>
      </c>
      <c r="K352" s="5" t="n">
        <v>3</v>
      </c>
      <c r="L352" s="5" t="n">
        <v>1</v>
      </c>
      <c r="M352" t="inlineStr">
        <is>
          <t>Комп’ютерне обладнання</t>
        </is>
      </c>
      <c r="N352" t="inlineStr">
        <is>
          <t>2025-09-18</t>
        </is>
      </c>
      <c r="O352" t="inlineStr">
        <is>
          <t>2026-06-02</t>
        </is>
      </c>
    </row>
    <row r="353">
      <c r="A353" s="5" t="n">
        <v>131</v>
      </c>
      <c r="B353" t="inlineStr">
        <is>
          <t>2649507293</t>
        </is>
      </c>
      <c r="C353" t="inlineStr">
        <is>
          <t>ФОП "АНДРІЇВ РОМАН ВАСИЛЬОВИЧ "</t>
        </is>
      </c>
      <c r="D353" t="inlineStr"/>
      <c r="E353" s="5" t="n">
        <v>1</v>
      </c>
      <c r="F353" s="5" t="n">
        <v>1</v>
      </c>
      <c r="G353" s="13" t="n">
        <v>180400</v>
      </c>
      <c r="H353" s="12" t="n">
        <v>0.0015</v>
      </c>
      <c r="I353" s="13" t="n">
        <v>180400</v>
      </c>
      <c r="J353" s="13" t="n">
        <v>180400</v>
      </c>
      <c r="K353" s="5" t="n">
        <v>1</v>
      </c>
      <c r="L353" s="5" t="n">
        <v>1</v>
      </c>
      <c r="M353" t="inlineStr">
        <is>
          <t>Комп’ютерне обладнання</t>
        </is>
      </c>
      <c r="N353" t="inlineStr">
        <is>
          <t>2026-04-22</t>
        </is>
      </c>
      <c r="O353" t="inlineStr">
        <is>
          <t>2026-04-22</t>
        </is>
      </c>
    </row>
    <row r="354">
      <c r="A354" s="5" t="n">
        <v>132</v>
      </c>
      <c r="B354" t="inlineStr">
        <is>
          <t>3401804215</t>
        </is>
      </c>
      <c r="C354" t="inlineStr">
        <is>
          <t>ФОП "ВОЛЖЕНІН ЮРІЙ ВАДИМОВИЧ"</t>
        </is>
      </c>
      <c r="D354" t="inlineStr"/>
      <c r="E354" s="5" t="n">
        <v>1</v>
      </c>
      <c r="F354" s="5" t="n">
        <v>1</v>
      </c>
      <c r="G354" s="13" t="n">
        <v>179892</v>
      </c>
      <c r="H354" s="12" t="n">
        <v>0.0015</v>
      </c>
      <c r="I354" s="13" t="n">
        <v>179892</v>
      </c>
      <c r="J354" s="13" t="n">
        <v>179892</v>
      </c>
      <c r="K354" s="5" t="n">
        <v>1</v>
      </c>
      <c r="L354" s="5" t="n">
        <v>1</v>
      </c>
      <c r="M354" t="inlineStr">
        <is>
          <t>Комп’ютерне обладнання</t>
        </is>
      </c>
      <c r="N354" t="inlineStr">
        <is>
          <t>2026-05-28</t>
        </is>
      </c>
      <c r="O354" t="inlineStr">
        <is>
          <t>2026-05-28</t>
        </is>
      </c>
    </row>
    <row r="355">
      <c r="A355" s="5" t="n">
        <v>133</v>
      </c>
      <c r="B355" t="inlineStr">
        <is>
          <t>3173404498</t>
        </is>
      </c>
      <c r="C355" t="inlineStr">
        <is>
          <t>ФОП ОЧЕНКО МИХАЙЛО МИКОЛАЙОВИЧ</t>
        </is>
      </c>
      <c r="D355" t="inlineStr"/>
      <c r="E355" s="5" t="n">
        <v>15</v>
      </c>
      <c r="F355" s="5" t="n">
        <v>15</v>
      </c>
      <c r="G355" s="13" t="n">
        <v>176633</v>
      </c>
      <c r="H355" s="12" t="n">
        <v>0.0015</v>
      </c>
      <c r="I355" s="13" t="n">
        <v>11775.53</v>
      </c>
      <c r="J355" s="13" t="n">
        <v>11100</v>
      </c>
      <c r="K355" s="5" t="n">
        <v>8</v>
      </c>
      <c r="L355" s="5" t="n">
        <v>1</v>
      </c>
      <c r="M355" t="inlineStr">
        <is>
          <t>Комп’ютерне обладнання</t>
        </is>
      </c>
      <c r="N355" t="inlineStr">
        <is>
          <t>2025-11-20</t>
        </is>
      </c>
      <c r="O355" t="inlineStr">
        <is>
          <t>2026-08-20</t>
        </is>
      </c>
    </row>
    <row r="356">
      <c r="A356" s="5" t="n">
        <v>134</v>
      </c>
      <c r="B356" t="inlineStr">
        <is>
          <t>24095427</t>
        </is>
      </c>
      <c r="C356" t="inlineStr">
        <is>
          <t>ТОВ "В.М."</t>
        </is>
      </c>
      <c r="D356" t="inlineStr"/>
      <c r="E356" s="5" t="n">
        <v>1</v>
      </c>
      <c r="F356" s="5" t="n">
        <v>1</v>
      </c>
      <c r="G356" s="13" t="n">
        <v>172292.4</v>
      </c>
      <c r="H356" s="12" t="n">
        <v>0.0015</v>
      </c>
      <c r="I356" s="13" t="n">
        <v>172292.4</v>
      </c>
      <c r="J356" s="13" t="n">
        <v>172292.4</v>
      </c>
      <c r="K356" s="5" t="n">
        <v>1</v>
      </c>
      <c r="L356" s="5" t="n">
        <v>1</v>
      </c>
      <c r="M356" t="inlineStr">
        <is>
          <t>Комп’ютерне обладнання</t>
        </is>
      </c>
      <c r="N356" t="inlineStr">
        <is>
          <t>2025-11-11</t>
        </is>
      </c>
      <c r="O356" t="inlineStr">
        <is>
          <t>2025-11-11</t>
        </is>
      </c>
    </row>
    <row r="357">
      <c r="A357" s="5" t="n">
        <v>135</v>
      </c>
      <c r="B357" t="inlineStr">
        <is>
          <t>39594603</t>
        </is>
      </c>
      <c r="C357" t="inlineStr">
        <is>
          <t>ТОВ "АНТАНДАР"</t>
        </is>
      </c>
      <c r="D357" t="inlineStr"/>
      <c r="E357" s="5" t="n">
        <v>1</v>
      </c>
      <c r="F357" s="5" t="n">
        <v>1</v>
      </c>
      <c r="G357" s="13" t="n">
        <v>169065</v>
      </c>
      <c r="H357" s="12" t="n">
        <v>0.0014</v>
      </c>
      <c r="I357" s="13" t="n">
        <v>169065</v>
      </c>
      <c r="J357" s="13" t="n">
        <v>169065</v>
      </c>
      <c r="K357" s="5" t="n">
        <v>1</v>
      </c>
      <c r="L357" s="5" t="n">
        <v>1</v>
      </c>
      <c r="M357" t="inlineStr">
        <is>
          <t>Машини для обробки даних (апаратна частина)</t>
        </is>
      </c>
      <c r="N357" t="inlineStr">
        <is>
          <t>2025-11-12</t>
        </is>
      </c>
      <c r="O357" t="inlineStr">
        <is>
          <t>2025-11-12</t>
        </is>
      </c>
    </row>
    <row r="358">
      <c r="A358" s="5" t="n">
        <v>136</v>
      </c>
      <c r="B358" t="inlineStr">
        <is>
          <t>2729918154</t>
        </is>
      </c>
      <c r="C358" t="inlineStr">
        <is>
          <t>ФОП Гоглєв Руслан Анатолійович</t>
        </is>
      </c>
      <c r="D358" t="inlineStr"/>
      <c r="E358" s="5" t="n">
        <v>12</v>
      </c>
      <c r="F358" s="5" t="n">
        <v>12</v>
      </c>
      <c r="G358" s="13" t="n">
        <v>166164</v>
      </c>
      <c r="H358" s="12" t="n">
        <v>0.0014</v>
      </c>
      <c r="I358" s="13" t="n">
        <v>13847</v>
      </c>
      <c r="J358" s="13" t="n">
        <v>14847</v>
      </c>
      <c r="K358" s="5" t="n">
        <v>3</v>
      </c>
      <c r="L358" s="5" t="n">
        <v>1</v>
      </c>
      <c r="M358" t="inlineStr">
        <is>
          <t>Комп’ютерне обладнання</t>
        </is>
      </c>
      <c r="N358" t="inlineStr">
        <is>
          <t>2025-09-05</t>
        </is>
      </c>
      <c r="O358" t="inlineStr">
        <is>
          <t>2026-08-05</t>
        </is>
      </c>
    </row>
    <row r="359">
      <c r="A359" s="5" t="n">
        <v>137</v>
      </c>
      <c r="B359" t="inlineStr">
        <is>
          <t>2786409492</t>
        </is>
      </c>
      <c r="C359" t="inlineStr">
        <is>
          <t>ФОП ІЩУК ФЕДІР ЛЕОНІДОВИЧ</t>
        </is>
      </c>
      <c r="D359" t="inlineStr"/>
      <c r="E359" s="5" t="n">
        <v>12</v>
      </c>
      <c r="F359" s="5" t="n">
        <v>12</v>
      </c>
      <c r="G359" s="13" t="n">
        <v>162069</v>
      </c>
      <c r="H359" s="12" t="n">
        <v>0.0014</v>
      </c>
      <c r="I359" s="13" t="n">
        <v>13505.75</v>
      </c>
      <c r="J359" s="13" t="n">
        <v>5368</v>
      </c>
      <c r="K359" s="5" t="n">
        <v>2</v>
      </c>
      <c r="L359" s="5" t="n">
        <v>1</v>
      </c>
      <c r="M359" t="inlineStr">
        <is>
          <t>Комп’ютерне обладнання</t>
        </is>
      </c>
      <c r="N359" t="inlineStr">
        <is>
          <t>2025-11-18</t>
        </is>
      </c>
      <c r="O359" t="inlineStr">
        <is>
          <t>2026-08-04</t>
        </is>
      </c>
    </row>
    <row r="360">
      <c r="A360" s="5" t="n">
        <v>138</v>
      </c>
      <c r="B360" t="inlineStr">
        <is>
          <t>3273120239</t>
        </is>
      </c>
      <c r="C360" t="inlineStr">
        <is>
          <t>ФО-П Іванів Олександр Олегович</t>
        </is>
      </c>
      <c r="D360" t="inlineStr"/>
      <c r="E360" s="5" t="n">
        <v>8</v>
      </c>
      <c r="F360" s="5" t="n">
        <v>8</v>
      </c>
      <c r="G360" s="13" t="n">
        <v>160095</v>
      </c>
      <c r="H360" s="12" t="n">
        <v>0.0013</v>
      </c>
      <c r="I360" s="13" t="n">
        <v>20011.88</v>
      </c>
      <c r="J360" s="13" t="n">
        <v>13080</v>
      </c>
      <c r="K360" s="5" t="n">
        <v>6</v>
      </c>
      <c r="L360" s="5" t="n">
        <v>1</v>
      </c>
      <c r="M360" t="inlineStr">
        <is>
          <t>Комп’ютерне обладнання</t>
        </is>
      </c>
      <c r="N360" t="inlineStr">
        <is>
          <t>2025-09-10</t>
        </is>
      </c>
      <c r="O360" t="inlineStr">
        <is>
          <t>2026-06-09</t>
        </is>
      </c>
    </row>
    <row r="361">
      <c r="A361" s="5" t="n">
        <v>139</v>
      </c>
      <c r="B361" t="inlineStr">
        <is>
          <t>2633517101</t>
        </is>
      </c>
      <c r="C361" t="inlineStr">
        <is>
          <t>ФОП "УЗЛОВА ОЛЕНА ЮРІЇВНА"</t>
        </is>
      </c>
      <c r="D361" t="inlineStr"/>
      <c r="E361" s="5" t="n">
        <v>1</v>
      </c>
      <c r="F361" s="5" t="n">
        <v>1</v>
      </c>
      <c r="G361" s="13" t="n">
        <v>159180</v>
      </c>
      <c r="H361" s="12" t="n">
        <v>0.0013</v>
      </c>
      <c r="I361" s="13" t="n">
        <v>159180</v>
      </c>
      <c r="J361" s="13" t="n">
        <v>159180</v>
      </c>
      <c r="K361" s="5" t="n">
        <v>1</v>
      </c>
      <c r="L361" s="5" t="n">
        <v>1</v>
      </c>
      <c r="M361" t="inlineStr">
        <is>
          <t>Комп’ютерне обладнання</t>
        </is>
      </c>
      <c r="N361" t="inlineStr">
        <is>
          <t>2026-08-31</t>
        </is>
      </c>
      <c r="O361" t="inlineStr">
        <is>
          <t>2026-08-31</t>
        </is>
      </c>
    </row>
    <row r="362">
      <c r="A362" s="5" t="n">
        <v>140</v>
      </c>
      <c r="B362" t="inlineStr">
        <is>
          <t>41177595</t>
        </is>
      </c>
      <c r="C362" t="inlineStr">
        <is>
          <t>ТОВ "ЛЕОКОМП"</t>
        </is>
      </c>
      <c r="D362" t="inlineStr"/>
      <c r="E362" s="5" t="n">
        <v>1</v>
      </c>
      <c r="F362" s="5" t="n">
        <v>1</v>
      </c>
      <c r="G362" s="13" t="n">
        <v>157500</v>
      </c>
      <c r="H362" s="12" t="n">
        <v>0.0013</v>
      </c>
      <c r="I362" s="13" t="n">
        <v>157500</v>
      </c>
      <c r="J362" s="13" t="n">
        <v>157500</v>
      </c>
      <c r="K362" s="5" t="n">
        <v>1</v>
      </c>
      <c r="L362" s="5" t="n">
        <v>1</v>
      </c>
      <c r="M362" t="inlineStr">
        <is>
          <t>Комп’ютерне обладнання</t>
        </is>
      </c>
      <c r="N362" t="inlineStr">
        <is>
          <t>2026-08-24</t>
        </is>
      </c>
      <c r="O362" t="inlineStr">
        <is>
          <t>2026-08-24</t>
        </is>
      </c>
    </row>
    <row r="363">
      <c r="A363" s="5" t="n">
        <v>141</v>
      </c>
      <c r="B363" t="inlineStr">
        <is>
          <t>41206306</t>
        </is>
      </c>
      <c r="C363" t="inlineStr">
        <is>
          <t>ТзОВ "КПІ Сервіс Груп"</t>
        </is>
      </c>
      <c r="D363" t="inlineStr"/>
      <c r="E363" s="5" t="n">
        <v>17</v>
      </c>
      <c r="F363" s="5" t="n">
        <v>17</v>
      </c>
      <c r="G363" s="13" t="n">
        <v>155941</v>
      </c>
      <c r="H363" s="12" t="n">
        <v>0.0013</v>
      </c>
      <c r="I363" s="13" t="n">
        <v>9173</v>
      </c>
      <c r="J363" s="13" t="n">
        <v>3912</v>
      </c>
      <c r="K363" s="5" t="n">
        <v>7</v>
      </c>
      <c r="L363" s="5" t="n">
        <v>1</v>
      </c>
      <c r="M363" t="inlineStr">
        <is>
          <t>Комп’ютерне обладнання</t>
        </is>
      </c>
      <c r="N363" t="inlineStr">
        <is>
          <t>2025-10-20</t>
        </is>
      </c>
      <c r="O363" t="inlineStr">
        <is>
          <t>2026-08-03</t>
        </is>
      </c>
    </row>
    <row r="364">
      <c r="A364" s="5" t="n">
        <v>142</v>
      </c>
      <c r="B364" t="inlineStr">
        <is>
          <t>2522307279</t>
        </is>
      </c>
      <c r="C364" t="inlineStr">
        <is>
          <t>ФОП "ФОП ТОМАШЕВСЬКИЙ АРТУР ІВАНОВИЧ"</t>
        </is>
      </c>
      <c r="D364" t="inlineStr"/>
      <c r="E364" s="5" t="n">
        <v>2</v>
      </c>
      <c r="F364" s="5" t="n">
        <v>2</v>
      </c>
      <c r="G364" s="13" t="n">
        <v>153950</v>
      </c>
      <c r="H364" s="12" t="n">
        <v>0.0013</v>
      </c>
      <c r="I364" s="13" t="n">
        <v>76975</v>
      </c>
      <c r="J364" s="13" t="n">
        <v>76975</v>
      </c>
      <c r="K364" s="5" t="n">
        <v>2</v>
      </c>
      <c r="L364" s="5" t="n">
        <v>1</v>
      </c>
      <c r="M364" t="inlineStr">
        <is>
          <t>Комп’ютерне обладнання</t>
        </is>
      </c>
      <c r="N364" t="inlineStr">
        <is>
          <t>2025-11-12</t>
        </is>
      </c>
      <c r="O364" t="inlineStr">
        <is>
          <t>2026-05-04</t>
        </is>
      </c>
    </row>
    <row r="365">
      <c r="A365" s="5" t="n">
        <v>143</v>
      </c>
      <c r="B365" t="inlineStr">
        <is>
          <t>2991402862</t>
        </is>
      </c>
      <c r="C365" t="inlineStr">
        <is>
          <t>ФОП Жуковська Марина Миколаївна</t>
        </is>
      </c>
      <c r="D365" t="inlineStr"/>
      <c r="E365" s="5" t="n">
        <v>14</v>
      </c>
      <c r="F365" s="5" t="n">
        <v>14</v>
      </c>
      <c r="G365" s="13" t="n">
        <v>149850</v>
      </c>
      <c r="H365" s="12" t="n">
        <v>0.0013</v>
      </c>
      <c r="I365" s="13" t="n">
        <v>10703.57</v>
      </c>
      <c r="J365" s="13" t="n">
        <v>9095</v>
      </c>
      <c r="K365" s="5" t="n">
        <v>4</v>
      </c>
      <c r="L365" s="5" t="n">
        <v>1</v>
      </c>
      <c r="M365" t="inlineStr">
        <is>
          <t>Комп’ютерне обладнання та приладдя</t>
        </is>
      </c>
      <c r="N365" t="inlineStr">
        <is>
          <t>2025-09-04</t>
        </is>
      </c>
      <c r="O365" t="inlineStr">
        <is>
          <t>2026-08-04</t>
        </is>
      </c>
    </row>
    <row r="366">
      <c r="A366" s="5" t="n">
        <v>144</v>
      </c>
      <c r="B366" t="inlineStr">
        <is>
          <t>2950302836</t>
        </is>
      </c>
      <c r="C366" t="inlineStr">
        <is>
          <t>Приватний підприємець Годованюк Ярослав Володимирович</t>
        </is>
      </c>
      <c r="D366" t="inlineStr"/>
      <c r="E366" s="5" t="n">
        <v>13</v>
      </c>
      <c r="F366" s="5" t="n">
        <v>13</v>
      </c>
      <c r="G366" s="13" t="n">
        <v>147530</v>
      </c>
      <c r="H366" s="12" t="n">
        <v>0.0012</v>
      </c>
      <c r="I366" s="13" t="n">
        <v>11348.46</v>
      </c>
      <c r="J366" s="13" t="n">
        <v>8500</v>
      </c>
      <c r="K366" s="5" t="n">
        <v>6</v>
      </c>
      <c r="L366" s="5" t="n">
        <v>1</v>
      </c>
      <c r="M366" t="inlineStr">
        <is>
          <t>Машини для обробки даних (апаратна частина)</t>
        </is>
      </c>
      <c r="N366" t="inlineStr">
        <is>
          <t>2025-09-18</t>
        </is>
      </c>
      <c r="O366" t="inlineStr">
        <is>
          <t>2026-08-18</t>
        </is>
      </c>
    </row>
    <row r="367">
      <c r="A367" s="5" t="n">
        <v>145</v>
      </c>
      <c r="B367" t="inlineStr">
        <is>
          <t>45929094</t>
        </is>
      </c>
      <c r="C367" t="inlineStr">
        <is>
          <t>ТОВ "ОПТІМА ТЕЧ"</t>
        </is>
      </c>
      <c r="D367" t="inlineStr"/>
      <c r="E367" s="5" t="n">
        <v>1</v>
      </c>
      <c r="F367" s="5" t="n">
        <v>1</v>
      </c>
      <c r="G367" s="13" t="n">
        <v>142260</v>
      </c>
      <c r="H367" s="12" t="n">
        <v>0.0012</v>
      </c>
      <c r="I367" s="13" t="n">
        <v>142260</v>
      </c>
      <c r="J367" s="13" t="n">
        <v>142260</v>
      </c>
      <c r="K367" s="5" t="n">
        <v>1</v>
      </c>
      <c r="L367" s="5" t="n">
        <v>1</v>
      </c>
      <c r="M367" t="inlineStr">
        <is>
          <t>Машини для обробки даних (апаратна частина)</t>
        </is>
      </c>
      <c r="N367" t="inlineStr">
        <is>
          <t>2026-07-16</t>
        </is>
      </c>
      <c r="O367" t="inlineStr">
        <is>
          <t>2026-07-16</t>
        </is>
      </c>
    </row>
    <row r="368">
      <c r="A368" s="5" t="n">
        <v>146</v>
      </c>
      <c r="B368" t="inlineStr">
        <is>
          <t>3000102238</t>
        </is>
      </c>
      <c r="C368" t="inlineStr">
        <is>
          <t>ФОП Волох Сергій Степанович</t>
        </is>
      </c>
      <c r="D368" t="inlineStr"/>
      <c r="E368" s="5" t="n">
        <v>15</v>
      </c>
      <c r="F368" s="5" t="n">
        <v>15</v>
      </c>
      <c r="G368" s="13" t="n">
        <v>137671</v>
      </c>
      <c r="H368" s="12" t="n">
        <v>0.0012</v>
      </c>
      <c r="I368" s="13" t="n">
        <v>9178.07</v>
      </c>
      <c r="J368" s="13" t="n">
        <v>2746</v>
      </c>
      <c r="K368" s="5" t="n">
        <v>8</v>
      </c>
      <c r="L368" s="5" t="n">
        <v>1</v>
      </c>
      <c r="M368" t="inlineStr">
        <is>
          <t>Комп’ютерне обладнання</t>
        </is>
      </c>
      <c r="N368" t="inlineStr">
        <is>
          <t>2025-09-08</t>
        </is>
      </c>
      <c r="O368" t="inlineStr">
        <is>
          <t>2026-07-06</t>
        </is>
      </c>
    </row>
    <row r="369">
      <c r="A369" s="5" t="n">
        <v>147</v>
      </c>
      <c r="B369" t="inlineStr">
        <is>
          <t>2922023796</t>
        </is>
      </c>
      <c r="C369" t="inlineStr">
        <is>
          <t>ФОП Сидняк Костянтин Володимирович</t>
        </is>
      </c>
      <c r="D369" t="inlineStr"/>
      <c r="E369" s="5" t="n">
        <v>6</v>
      </c>
      <c r="F369" s="5" t="n">
        <v>6</v>
      </c>
      <c r="G369" s="13" t="n">
        <v>137262</v>
      </c>
      <c r="H369" s="12" t="n">
        <v>0.0012</v>
      </c>
      <c r="I369" s="13" t="n">
        <v>22877</v>
      </c>
      <c r="J369" s="13" t="n">
        <v>7526</v>
      </c>
      <c r="K369" s="5" t="n">
        <v>4</v>
      </c>
      <c r="L369" s="5" t="n">
        <v>1</v>
      </c>
      <c r="M369" t="inlineStr">
        <is>
          <t>Машини для обробки даних (апаратна частина)</t>
        </is>
      </c>
      <c r="N369" t="inlineStr">
        <is>
          <t>2025-12-15</t>
        </is>
      </c>
      <c r="O369" t="inlineStr">
        <is>
          <t>2026-08-20</t>
        </is>
      </c>
    </row>
    <row r="370">
      <c r="A370" s="5" t="n">
        <v>148</v>
      </c>
      <c r="B370" t="inlineStr">
        <is>
          <t>41351235</t>
        </is>
      </c>
      <c r="C370" t="inlineStr">
        <is>
          <t>ТОВ "КПІ-МАРКЕТ"</t>
        </is>
      </c>
      <c r="D370" t="inlineStr"/>
      <c r="E370" s="5" t="n">
        <v>1</v>
      </c>
      <c r="F370" s="5" t="n">
        <v>1</v>
      </c>
      <c r="G370" s="13" t="n">
        <v>136323.6</v>
      </c>
      <c r="H370" s="12" t="n">
        <v>0.0011</v>
      </c>
      <c r="I370" s="13" t="n">
        <v>136323.6</v>
      </c>
      <c r="J370" s="13" t="n">
        <v>136323.6</v>
      </c>
      <c r="K370" s="5" t="n">
        <v>1</v>
      </c>
      <c r="L370" s="5" t="n">
        <v>1</v>
      </c>
      <c r="M370" t="inlineStr">
        <is>
          <t>Комп’ютерне обладнання</t>
        </is>
      </c>
      <c r="N370" t="inlineStr">
        <is>
          <t>2026-03-24</t>
        </is>
      </c>
      <c r="O370" t="inlineStr">
        <is>
          <t>2026-03-24</t>
        </is>
      </c>
    </row>
    <row r="371">
      <c r="A371" s="5" t="n">
        <v>149</v>
      </c>
      <c r="B371" t="inlineStr">
        <is>
          <t>3394506905</t>
        </is>
      </c>
      <c r="C371" t="inlineStr">
        <is>
          <t>ОСАДЧА ОЛЕНА ЮРІЇВНА</t>
        </is>
      </c>
      <c r="D371" t="inlineStr"/>
      <c r="E371" s="5" t="n">
        <v>3</v>
      </c>
      <c r="F371" s="5" t="n">
        <v>3</v>
      </c>
      <c r="G371" s="13" t="n">
        <v>133611</v>
      </c>
      <c r="H371" s="12" t="n">
        <v>0.0011</v>
      </c>
      <c r="I371" s="13" t="n">
        <v>44537</v>
      </c>
      <c r="J371" s="13" t="n">
        <v>29744</v>
      </c>
      <c r="K371" s="5" t="n">
        <v>2</v>
      </c>
      <c r="L371" s="5" t="n">
        <v>1</v>
      </c>
      <c r="M371" t="inlineStr">
        <is>
          <t>Комп’ютерне обладнання</t>
        </is>
      </c>
      <c r="N371" t="inlineStr">
        <is>
          <t>2025-10-21</t>
        </is>
      </c>
      <c r="O371" t="inlineStr">
        <is>
          <t>2025-12-15</t>
        </is>
      </c>
    </row>
    <row r="372">
      <c r="A372" s="5" t="n">
        <v>150</v>
      </c>
      <c r="B372" t="inlineStr">
        <is>
          <t>2550511655</t>
        </is>
      </c>
      <c r="C372" t="inlineStr">
        <is>
          <t>Підприємець Король Володимир Михайлович</t>
        </is>
      </c>
      <c r="D372" t="inlineStr"/>
      <c r="E372" s="5" t="n">
        <v>14</v>
      </c>
      <c r="F372" s="5" t="n">
        <v>14</v>
      </c>
      <c r="G372" s="13" t="n">
        <v>125810</v>
      </c>
      <c r="H372" s="12" t="n">
        <v>0.0011</v>
      </c>
      <c r="I372" s="13" t="n">
        <v>8986.43</v>
      </c>
      <c r="J372" s="13" t="n">
        <v>5117.5</v>
      </c>
      <c r="K372" s="5" t="n">
        <v>8</v>
      </c>
      <c r="L372" s="5" t="n">
        <v>1</v>
      </c>
      <c r="M372" t="inlineStr">
        <is>
          <t>Комп’ютерне обладнання</t>
        </is>
      </c>
      <c r="N372" t="inlineStr">
        <is>
          <t>2025-09-02</t>
        </is>
      </c>
      <c r="O372" t="inlineStr">
        <is>
          <t>2026-07-20</t>
        </is>
      </c>
    </row>
    <row r="373">
      <c r="A373" s="5" t="n">
        <v>151</v>
      </c>
      <c r="B373" t="inlineStr">
        <is>
          <t>3269319627</t>
        </is>
      </c>
      <c r="C373" t="inlineStr">
        <is>
          <t>ФОП "КРЕЩЕНКО ТЕТЯНА АНАТОЛІЇВНА"</t>
        </is>
      </c>
      <c r="D373" t="inlineStr"/>
      <c r="E373" s="5" t="n">
        <v>1</v>
      </c>
      <c r="F373" s="5" t="n">
        <v>1</v>
      </c>
      <c r="G373" s="13" t="n">
        <v>124980</v>
      </c>
      <c r="H373" s="12" t="n">
        <v>0.0011</v>
      </c>
      <c r="I373" s="13" t="n">
        <v>124980</v>
      </c>
      <c r="J373" s="13" t="n">
        <v>124980</v>
      </c>
      <c r="K373" s="5" t="n">
        <v>1</v>
      </c>
      <c r="L373" s="5" t="n">
        <v>1</v>
      </c>
      <c r="M373" t="inlineStr">
        <is>
          <t>Машини для обробки даних (апаратна частина)</t>
        </is>
      </c>
      <c r="N373" t="inlineStr">
        <is>
          <t>2026-08-10</t>
        </is>
      </c>
      <c r="O373" t="inlineStr">
        <is>
          <t>2026-08-10</t>
        </is>
      </c>
    </row>
    <row r="374">
      <c r="A374" s="5" t="n">
        <v>152</v>
      </c>
      <c r="B374" t="inlineStr">
        <is>
          <t>40679208</t>
        </is>
      </c>
      <c r="C374" t="inlineStr">
        <is>
          <t>ТОВ "СВН ПРАЙМТЕХ"</t>
        </is>
      </c>
      <c r="D374" t="inlineStr"/>
      <c r="E374" s="5" t="n">
        <v>3</v>
      </c>
      <c r="F374" s="5" t="n">
        <v>3</v>
      </c>
      <c r="G374" s="13" t="n">
        <v>124554</v>
      </c>
      <c r="H374" s="12" t="n">
        <v>0.001</v>
      </c>
      <c r="I374" s="13" t="n">
        <v>41518</v>
      </c>
      <c r="J374" s="13" t="n">
        <v>44082</v>
      </c>
      <c r="K374" s="5" t="n">
        <v>2</v>
      </c>
      <c r="L374" s="5" t="n">
        <v>1</v>
      </c>
      <c r="M374" t="inlineStr">
        <is>
          <t>Комп’ютерне обладнання</t>
        </is>
      </c>
      <c r="N374" t="inlineStr">
        <is>
          <t>2026-06-12</t>
        </is>
      </c>
      <c r="O374" t="inlineStr">
        <is>
          <t>2026-08-21</t>
        </is>
      </c>
    </row>
    <row r="375">
      <c r="A375" s="5" t="n">
        <v>153</v>
      </c>
      <c r="B375" t="inlineStr">
        <is>
          <t>3614201379</t>
        </is>
      </c>
      <c r="C375" t="inlineStr">
        <is>
          <t>ФОП "КУЧЕРЯВИЙ КОСТЯНТИН ГРИГОРОВИЧ"</t>
        </is>
      </c>
      <c r="D375" t="inlineStr"/>
      <c r="E375" s="5" t="n">
        <v>1</v>
      </c>
      <c r="F375" s="5" t="n">
        <v>1</v>
      </c>
      <c r="G375" s="13" t="n">
        <v>124450</v>
      </c>
      <c r="H375" s="12" t="n">
        <v>0.001</v>
      </c>
      <c r="I375" s="13" t="n">
        <v>124450</v>
      </c>
      <c r="J375" s="13" t="n">
        <v>124450</v>
      </c>
      <c r="K375" s="5" t="n">
        <v>1</v>
      </c>
      <c r="L375" s="5" t="n">
        <v>1</v>
      </c>
      <c r="M375" t="inlineStr">
        <is>
          <t>Машини для обробки даних (апаратна частина)</t>
        </is>
      </c>
      <c r="N375" t="inlineStr">
        <is>
          <t>2026-04-21</t>
        </is>
      </c>
      <c r="O375" t="inlineStr">
        <is>
          <t>2026-04-21</t>
        </is>
      </c>
    </row>
    <row r="376">
      <c r="A376" s="5" t="n">
        <v>154</v>
      </c>
      <c r="B376" t="inlineStr">
        <is>
          <t>40293555</t>
        </is>
      </c>
      <c r="C376" t="inlineStr">
        <is>
          <t>ТОВ "ЛЕОПОЛІС КОМП'ЮТЕР"</t>
        </is>
      </c>
      <c r="D376" t="inlineStr"/>
      <c r="E376" s="5" t="n">
        <v>1</v>
      </c>
      <c r="F376" s="5" t="n">
        <v>1</v>
      </c>
      <c r="G376" s="13" t="n">
        <v>123720</v>
      </c>
      <c r="H376" s="12" t="n">
        <v>0.001</v>
      </c>
      <c r="I376" s="13" t="n">
        <v>123720</v>
      </c>
      <c r="J376" s="13" t="n">
        <v>123720</v>
      </c>
      <c r="K376" s="5" t="n">
        <v>1</v>
      </c>
      <c r="L376" s="5" t="n">
        <v>1</v>
      </c>
      <c r="M376" t="inlineStr">
        <is>
          <t>Комп’ютерне обладнання</t>
        </is>
      </c>
      <c r="N376" t="inlineStr">
        <is>
          <t>2026-08-13</t>
        </is>
      </c>
      <c r="O376" t="inlineStr">
        <is>
          <t>2026-08-13</t>
        </is>
      </c>
    </row>
    <row r="377">
      <c r="A377" s="5" t="n">
        <v>155</v>
      </c>
      <c r="B377" t="inlineStr">
        <is>
          <t>3395906995</t>
        </is>
      </c>
      <c r="C377" t="inlineStr">
        <is>
          <t>ФОП СІНЬКЕВИЧ ОЛЕКСАНДР АНАТОЛІЙОВИЧ</t>
        </is>
      </c>
      <c r="D377" t="inlineStr"/>
      <c r="E377" s="5" t="n">
        <v>5</v>
      </c>
      <c r="F377" s="5" t="n">
        <v>5</v>
      </c>
      <c r="G377" s="13" t="n">
        <v>123600</v>
      </c>
      <c r="H377" s="12" t="n">
        <v>0.001</v>
      </c>
      <c r="I377" s="13" t="n">
        <v>24720</v>
      </c>
      <c r="J377" s="13" t="n">
        <v>26400</v>
      </c>
      <c r="K377" s="5" t="n">
        <v>5</v>
      </c>
      <c r="L377" s="5" t="n">
        <v>1</v>
      </c>
      <c r="M377" t="inlineStr">
        <is>
          <t>Комп’ютерне обладнання</t>
        </is>
      </c>
      <c r="N377" t="inlineStr">
        <is>
          <t>2025-09-12</t>
        </is>
      </c>
      <c r="O377" t="inlineStr">
        <is>
          <t>2025-12-17</t>
        </is>
      </c>
    </row>
    <row r="378">
      <c r="A378" s="5" t="n">
        <v>156</v>
      </c>
      <c r="B378" t="inlineStr">
        <is>
          <t>2965412539</t>
        </is>
      </c>
      <c r="C378" t="inlineStr">
        <is>
          <t>ФОП РУДЕНЬ СЕРГІЙ ЮРІЙОВИЧ</t>
        </is>
      </c>
      <c r="D378" t="inlineStr"/>
      <c r="E378" s="5" t="n">
        <v>1</v>
      </c>
      <c r="F378" s="5" t="n">
        <v>1</v>
      </c>
      <c r="G378" s="13" t="n">
        <v>122420</v>
      </c>
      <c r="H378" s="12" t="n">
        <v>0.001</v>
      </c>
      <c r="I378" s="13" t="n">
        <v>122420</v>
      </c>
      <c r="J378" s="13" t="n">
        <v>122420</v>
      </c>
      <c r="K378" s="5" t="n">
        <v>1</v>
      </c>
      <c r="L378" s="5" t="n">
        <v>1</v>
      </c>
      <c r="M378" t="inlineStr">
        <is>
          <t>Комп’ютерне обладнання</t>
        </is>
      </c>
      <c r="N378" t="inlineStr">
        <is>
          <t>2026-02-24</t>
        </is>
      </c>
      <c r="O378" t="inlineStr">
        <is>
          <t>2026-02-24</t>
        </is>
      </c>
    </row>
    <row r="379">
      <c r="A379" s="5" t="n">
        <v>157</v>
      </c>
      <c r="B379" t="inlineStr">
        <is>
          <t>2902907113</t>
        </is>
      </c>
      <c r="C379" t="inlineStr">
        <is>
          <t>Приватний підприємець Шаповалов Олександр Миколайович</t>
        </is>
      </c>
      <c r="D379" t="inlineStr"/>
      <c r="E379" s="5" t="n">
        <v>2</v>
      </c>
      <c r="F379" s="5" t="n">
        <v>2</v>
      </c>
      <c r="G379" s="13" t="n">
        <v>122140</v>
      </c>
      <c r="H379" s="12" t="n">
        <v>0.001</v>
      </c>
      <c r="I379" s="13" t="n">
        <v>61070</v>
      </c>
      <c r="J379" s="13" t="n">
        <v>61070</v>
      </c>
      <c r="K379" s="5" t="n">
        <v>2</v>
      </c>
      <c r="L379" s="5" t="n">
        <v>1</v>
      </c>
      <c r="M379" t="inlineStr">
        <is>
          <t>Машини для обробки даних (апаратна частина)</t>
        </is>
      </c>
      <c r="N379" t="inlineStr">
        <is>
          <t>2025-12-01</t>
        </is>
      </c>
      <c r="O379" t="inlineStr">
        <is>
          <t>2026-06-22</t>
        </is>
      </c>
    </row>
    <row r="380">
      <c r="A380" s="5" t="n">
        <v>158</v>
      </c>
      <c r="B380" t="inlineStr">
        <is>
          <t>3259107133</t>
        </is>
      </c>
      <c r="C380" t="inlineStr">
        <is>
          <t>ФОП "Лаврентієв Сергій Миколайович"</t>
        </is>
      </c>
      <c r="D380" t="inlineStr"/>
      <c r="E380" s="5" t="n">
        <v>2</v>
      </c>
      <c r="F380" s="5" t="n">
        <v>2</v>
      </c>
      <c r="G380" s="13" t="n">
        <v>122080</v>
      </c>
      <c r="H380" s="12" t="n">
        <v>0.001</v>
      </c>
      <c r="I380" s="13" t="n">
        <v>61040</v>
      </c>
      <c r="J380" s="13" t="n">
        <v>61040</v>
      </c>
      <c r="K380" s="5" t="n">
        <v>2</v>
      </c>
      <c r="L380" s="5" t="n">
        <v>1</v>
      </c>
      <c r="M380" t="inlineStr">
        <is>
          <t>Машини для обробки даних (апаратна частина)</t>
        </is>
      </c>
      <c r="N380" t="inlineStr">
        <is>
          <t>2025-09-18</t>
        </is>
      </c>
      <c r="O380" t="inlineStr">
        <is>
          <t>2026-05-07</t>
        </is>
      </c>
    </row>
    <row r="381">
      <c r="A381" s="5" t="n">
        <v>159</v>
      </c>
      <c r="B381" t="inlineStr">
        <is>
          <t>2424518752</t>
        </is>
      </c>
      <c r="C381" t="inlineStr">
        <is>
          <t>ФОП РЯБЧУН АНАТОЛІЙ ІВАНОВИЧ</t>
        </is>
      </c>
      <c r="D381" t="inlineStr"/>
      <c r="E381" s="5" t="n">
        <v>9</v>
      </c>
      <c r="F381" s="5" t="n">
        <v>9</v>
      </c>
      <c r="G381" s="13" t="n">
        <v>121003.7</v>
      </c>
      <c r="H381" s="12" t="n">
        <v>0.001</v>
      </c>
      <c r="I381" s="13" t="n">
        <v>13444.86</v>
      </c>
      <c r="J381" s="13" t="n">
        <v>2439.8</v>
      </c>
      <c r="K381" s="5" t="n">
        <v>6</v>
      </c>
      <c r="L381" s="5" t="n">
        <v>1</v>
      </c>
      <c r="M381" t="inlineStr">
        <is>
          <t>Машини для обробки даних (апаратна частина)</t>
        </is>
      </c>
      <c r="N381" t="inlineStr">
        <is>
          <t>2025-09-04</t>
        </is>
      </c>
      <c r="O381" t="inlineStr">
        <is>
          <t>2026-05-14</t>
        </is>
      </c>
    </row>
    <row r="382">
      <c r="A382" s="5" t="n">
        <v>160</v>
      </c>
      <c r="B382" t="inlineStr">
        <is>
          <t>2074520906</t>
        </is>
      </c>
      <c r="C382" t="inlineStr">
        <is>
          <t>ФОП "Авакумова Любов Олексіївна"</t>
        </is>
      </c>
      <c r="D382" t="inlineStr"/>
      <c r="E382" s="5" t="n">
        <v>3</v>
      </c>
      <c r="F382" s="5" t="n">
        <v>3</v>
      </c>
      <c r="G382" s="13" t="n">
        <v>120409</v>
      </c>
      <c r="H382" s="12" t="n">
        <v>0.001</v>
      </c>
      <c r="I382" s="13" t="n">
        <v>40136.33</v>
      </c>
      <c r="J382" s="13" t="n">
        <v>44418</v>
      </c>
      <c r="K382" s="5" t="n">
        <v>2</v>
      </c>
      <c r="L382" s="5" t="n">
        <v>1</v>
      </c>
      <c r="M382" t="inlineStr">
        <is>
          <t>Комп’ютерне обладнання</t>
        </is>
      </c>
      <c r="N382" t="inlineStr">
        <is>
          <t>2025-11-06</t>
        </is>
      </c>
      <c r="O382" t="inlineStr">
        <is>
          <t>2025-12-25</t>
        </is>
      </c>
    </row>
    <row r="383">
      <c r="A383" s="5" t="n">
        <v>161</v>
      </c>
      <c r="B383" t="inlineStr">
        <is>
          <t>3760609187</t>
        </is>
      </c>
      <c r="C383" t="inlineStr">
        <is>
          <t>ФОП Верстюк Анастасія Іванівна</t>
        </is>
      </c>
      <c r="D383" t="inlineStr"/>
      <c r="E383" s="5" t="n">
        <v>1</v>
      </c>
      <c r="F383" s="5" t="n">
        <v>1</v>
      </c>
      <c r="G383" s="13" t="n">
        <v>119850</v>
      </c>
      <c r="H383" s="12" t="n">
        <v>0.001</v>
      </c>
      <c r="I383" s="13" t="n">
        <v>119850</v>
      </c>
      <c r="J383" s="13" t="n">
        <v>119850</v>
      </c>
      <c r="K383" s="5" t="n">
        <v>1</v>
      </c>
      <c r="L383" s="5" t="n">
        <v>1</v>
      </c>
      <c r="M383" t="inlineStr">
        <is>
          <t>Машини для обробки даних (апаратна частина)</t>
        </is>
      </c>
      <c r="N383" t="inlineStr">
        <is>
          <t>2026-07-07</t>
        </is>
      </c>
      <c r="O383" t="inlineStr">
        <is>
          <t>2026-07-07</t>
        </is>
      </c>
    </row>
    <row r="384">
      <c r="A384" s="5" t="n">
        <v>162</v>
      </c>
      <c r="B384" t="inlineStr">
        <is>
          <t>44184909</t>
        </is>
      </c>
      <c r="C384" t="inlineStr">
        <is>
          <t>ТОВ "ВЕКТОР-СТМ"</t>
        </is>
      </c>
      <c r="D384" t="inlineStr"/>
      <c r="E384" s="5" t="n">
        <v>2</v>
      </c>
      <c r="F384" s="5" t="n">
        <v>2</v>
      </c>
      <c r="G384" s="13" t="n">
        <v>118670</v>
      </c>
      <c r="H384" s="12" t="n">
        <v>0.001</v>
      </c>
      <c r="I384" s="13" t="n">
        <v>59335</v>
      </c>
      <c r="J384" s="13" t="n">
        <v>59335</v>
      </c>
      <c r="K384" s="5" t="n">
        <v>2</v>
      </c>
      <c r="L384" s="5" t="n">
        <v>1</v>
      </c>
      <c r="M384" t="inlineStr">
        <is>
          <t>Машини для обробки даних (апаратна частина)</t>
        </is>
      </c>
      <c r="N384" t="inlineStr">
        <is>
          <t>2025-09-22</t>
        </is>
      </c>
      <c r="O384" t="inlineStr">
        <is>
          <t>2025-11-26</t>
        </is>
      </c>
    </row>
    <row r="385">
      <c r="A385" s="5" t="n">
        <v>163</v>
      </c>
      <c r="B385" t="inlineStr">
        <is>
          <t>3179404784</t>
        </is>
      </c>
      <c r="C385" t="inlineStr">
        <is>
          <t>ФОП "БЕЗКОРОВАЙНА ОЛЬГА МИХАЙЛІВНА"</t>
        </is>
      </c>
      <c r="D385" t="inlineStr"/>
      <c r="E385" s="5" t="n">
        <v>2</v>
      </c>
      <c r="F385" s="5" t="n">
        <v>2</v>
      </c>
      <c r="G385" s="13" t="n">
        <v>117800</v>
      </c>
      <c r="H385" s="12" t="n">
        <v>0.001</v>
      </c>
      <c r="I385" s="13" t="n">
        <v>58900</v>
      </c>
      <c r="J385" s="13" t="n">
        <v>58900</v>
      </c>
      <c r="K385" s="5" t="n">
        <v>1</v>
      </c>
      <c r="L385" s="5" t="n">
        <v>1</v>
      </c>
      <c r="M385" t="inlineStr">
        <is>
          <t>Комп’ютерне обладнання</t>
        </is>
      </c>
      <c r="N385" t="inlineStr">
        <is>
          <t>2025-10-01</t>
        </is>
      </c>
      <c r="O385" t="inlineStr">
        <is>
          <t>2025-11-07</t>
        </is>
      </c>
    </row>
    <row r="386">
      <c r="A386" s="5" t="n">
        <v>164</v>
      </c>
      <c r="B386" t="inlineStr">
        <is>
          <t>3402613709</t>
        </is>
      </c>
      <c r="C386" t="inlineStr">
        <is>
          <t>ФОП ШЕВЧУК БОГДАНА ПЕТРІВНА</t>
        </is>
      </c>
      <c r="D386" t="inlineStr"/>
      <c r="E386" s="5" t="n">
        <v>9</v>
      </c>
      <c r="F386" s="5" t="n">
        <v>9</v>
      </c>
      <c r="G386" s="13" t="n">
        <v>117216.22</v>
      </c>
      <c r="H386" s="12" t="n">
        <v>0.001</v>
      </c>
      <c r="I386" s="13" t="n">
        <v>13024.02</v>
      </c>
      <c r="J386" s="13" t="n">
        <v>697.03</v>
      </c>
      <c r="K386" s="5" t="n">
        <v>5</v>
      </c>
      <c r="L386" s="5" t="n">
        <v>1</v>
      </c>
      <c r="M386" t="inlineStr">
        <is>
          <t>Комп’ютерне обладнання</t>
        </is>
      </c>
      <c r="N386" t="inlineStr">
        <is>
          <t>2025-12-11</t>
        </is>
      </c>
      <c r="O386" t="inlineStr">
        <is>
          <t>2026-03-20</t>
        </is>
      </c>
    </row>
    <row r="387">
      <c r="A387" s="5" t="n">
        <v>165</v>
      </c>
      <c r="B387" t="inlineStr">
        <is>
          <t>2321510972</t>
        </is>
      </c>
      <c r="C387" t="inlineStr">
        <is>
          <t>ФОП Придатко Василь Адамович</t>
        </is>
      </c>
      <c r="D387" t="inlineStr"/>
      <c r="E387" s="5" t="n">
        <v>4</v>
      </c>
      <c r="F387" s="5" t="n">
        <v>4</v>
      </c>
      <c r="G387" s="13" t="n">
        <v>117105</v>
      </c>
      <c r="H387" s="12" t="n">
        <v>0.001</v>
      </c>
      <c r="I387" s="13" t="n">
        <v>29276.25</v>
      </c>
      <c r="J387" s="13" t="n">
        <v>17604.5</v>
      </c>
      <c r="K387" s="5" t="n">
        <v>3</v>
      </c>
      <c r="L387" s="5" t="n">
        <v>1</v>
      </c>
      <c r="M387" t="inlineStr">
        <is>
          <t>Машини для обробки даних (апаратна частина)</t>
        </is>
      </c>
      <c r="N387" t="inlineStr">
        <is>
          <t>2025-09-24</t>
        </is>
      </c>
      <c r="O387" t="inlineStr">
        <is>
          <t>2026-05-18</t>
        </is>
      </c>
    </row>
    <row r="388">
      <c r="A388" s="5" t="n">
        <v>166</v>
      </c>
      <c r="B388" t="inlineStr">
        <is>
          <t>45344614</t>
        </is>
      </c>
      <c r="C388" t="inlineStr">
        <is>
          <t>ТОВ "ТК "АСАНАРА"</t>
        </is>
      </c>
      <c r="D388" t="inlineStr"/>
      <c r="E388" s="5" t="n">
        <v>4</v>
      </c>
      <c r="F388" s="5" t="n">
        <v>4</v>
      </c>
      <c r="G388" s="13" t="n">
        <v>116736.27</v>
      </c>
      <c r="H388" s="12" t="n">
        <v>0.001</v>
      </c>
      <c r="I388" s="13" t="n">
        <v>29184.07</v>
      </c>
      <c r="J388" s="13" t="n">
        <v>28783.67</v>
      </c>
      <c r="K388" s="5" t="n">
        <v>4</v>
      </c>
      <c r="L388" s="5" t="n">
        <v>1</v>
      </c>
      <c r="M388" t="inlineStr">
        <is>
          <t>Комп’ютерне обладнання</t>
        </is>
      </c>
      <c r="N388" t="inlineStr">
        <is>
          <t>2025-11-24</t>
        </is>
      </c>
      <c r="O388" t="inlineStr">
        <is>
          <t>2026-05-18</t>
        </is>
      </c>
    </row>
    <row r="389">
      <c r="A389" s="5" t="n">
        <v>167</v>
      </c>
      <c r="B389" t="inlineStr">
        <is>
          <t>43683809</t>
        </is>
      </c>
      <c r="C389" t="inlineStr">
        <is>
          <t>ТОВ "ДІДЖИТАЛ ПАРТНЕРС"</t>
        </is>
      </c>
      <c r="D389" t="inlineStr"/>
      <c r="E389" s="5" t="n">
        <v>2</v>
      </c>
      <c r="F389" s="5" t="n">
        <v>2</v>
      </c>
      <c r="G389" s="13" t="n">
        <v>115472.54</v>
      </c>
      <c r="H389" s="12" t="n">
        <v>0.001</v>
      </c>
      <c r="I389" s="13" t="n">
        <v>57736.27</v>
      </c>
      <c r="J389" s="13" t="n">
        <v>57736.27</v>
      </c>
      <c r="K389" s="5" t="n">
        <v>2</v>
      </c>
      <c r="L389" s="5" t="n">
        <v>1</v>
      </c>
      <c r="M389" t="inlineStr">
        <is>
          <t>Машини для обробки даних (апаратна частина)</t>
        </is>
      </c>
      <c r="N389" t="inlineStr">
        <is>
          <t>2025-11-25</t>
        </is>
      </c>
      <c r="O389" t="inlineStr">
        <is>
          <t>2025-12-16</t>
        </is>
      </c>
    </row>
    <row r="390">
      <c r="A390" s="5" t="n">
        <v>168</v>
      </c>
      <c r="B390" t="inlineStr">
        <is>
          <t>2825912011</t>
        </is>
      </c>
      <c r="C390" t="inlineStr">
        <is>
          <t>ФОП Бабійчук Борис Федорович</t>
        </is>
      </c>
      <c r="D390" t="inlineStr"/>
      <c r="E390" s="5" t="n">
        <v>8</v>
      </c>
      <c r="F390" s="5" t="n">
        <v>8</v>
      </c>
      <c r="G390" s="13" t="n">
        <v>115151</v>
      </c>
      <c r="H390" s="12" t="n">
        <v>0.001</v>
      </c>
      <c r="I390" s="13" t="n">
        <v>14393.88</v>
      </c>
      <c r="J390" s="13" t="n">
        <v>6337.5</v>
      </c>
      <c r="K390" s="5" t="n">
        <v>4</v>
      </c>
      <c r="L390" s="5" t="n">
        <v>1</v>
      </c>
      <c r="M390" t="inlineStr">
        <is>
          <t>Комп’ютерне обладнання</t>
        </is>
      </c>
      <c r="N390" t="inlineStr">
        <is>
          <t>2025-09-30</t>
        </is>
      </c>
      <c r="O390" t="inlineStr">
        <is>
          <t>2026-08-26</t>
        </is>
      </c>
    </row>
    <row r="391">
      <c r="A391" s="5" t="n">
        <v>169</v>
      </c>
      <c r="B391" t="inlineStr">
        <is>
          <t>24083083</t>
        </is>
      </c>
      <c r="C391" t="inlineStr">
        <is>
          <t>ТОВ "КОМЕЛ"</t>
        </is>
      </c>
      <c r="D391" t="inlineStr"/>
      <c r="E391" s="5" t="n">
        <v>3</v>
      </c>
      <c r="F391" s="5" t="n">
        <v>3</v>
      </c>
      <c r="G391" s="13" t="n">
        <v>115135.14</v>
      </c>
      <c r="H391" s="12" t="n">
        <v>0.001</v>
      </c>
      <c r="I391" s="13" t="n">
        <v>38378.38</v>
      </c>
      <c r="J391" s="13" t="n">
        <v>14392.14</v>
      </c>
      <c r="K391" s="5" t="n">
        <v>3</v>
      </c>
      <c r="L391" s="5" t="n">
        <v>1</v>
      </c>
      <c r="M391" t="inlineStr">
        <is>
          <t>Комп’ютерне обладнання</t>
        </is>
      </c>
      <c r="N391" t="inlineStr">
        <is>
          <t>2025-11-27</t>
        </is>
      </c>
      <c r="O391" t="inlineStr">
        <is>
          <t>2026-07-31</t>
        </is>
      </c>
    </row>
    <row r="392">
      <c r="A392" s="5" t="n">
        <v>170</v>
      </c>
      <c r="B392" t="inlineStr">
        <is>
          <t>3278407279</t>
        </is>
      </c>
      <c r="C392" t="inlineStr">
        <is>
          <t>Сидорук Сергій Віталійович</t>
        </is>
      </c>
      <c r="D392" t="inlineStr"/>
      <c r="E392" s="5" t="n">
        <v>2</v>
      </c>
      <c r="F392" s="5" t="n">
        <v>2</v>
      </c>
      <c r="G392" s="13" t="n">
        <v>114850</v>
      </c>
      <c r="H392" s="12" t="n">
        <v>0.001</v>
      </c>
      <c r="I392" s="13" t="n">
        <v>57425</v>
      </c>
      <c r="J392" s="13" t="n">
        <v>57425</v>
      </c>
      <c r="K392" s="5" t="n">
        <v>1</v>
      </c>
      <c r="L392" s="5" t="n">
        <v>1</v>
      </c>
      <c r="M392" t="inlineStr">
        <is>
          <t>Комп’ютерне обладнання</t>
        </is>
      </c>
      <c r="N392" t="inlineStr">
        <is>
          <t>2025-10-29</t>
        </is>
      </c>
      <c r="O392" t="inlineStr">
        <is>
          <t>2025-11-27</t>
        </is>
      </c>
    </row>
    <row r="393">
      <c r="A393" s="5" t="n">
        <v>171</v>
      </c>
      <c r="B393" t="inlineStr">
        <is>
          <t>39776389</t>
        </is>
      </c>
      <c r="C393" t="inlineStr">
        <is>
          <t>ТОВ "ІДІДЖІ ГРУП"</t>
        </is>
      </c>
      <c r="D393" t="inlineStr"/>
      <c r="E393" s="5" t="n">
        <v>7</v>
      </c>
      <c r="F393" s="5" t="n">
        <v>7</v>
      </c>
      <c r="G393" s="13" t="n">
        <v>114448.18</v>
      </c>
      <c r="H393" s="12" t="n">
        <v>0.001</v>
      </c>
      <c r="I393" s="13" t="n">
        <v>16349.74</v>
      </c>
      <c r="J393" s="13" t="n">
        <v>15822.66</v>
      </c>
      <c r="K393" s="5" t="n">
        <v>5</v>
      </c>
      <c r="L393" s="5" t="n">
        <v>1</v>
      </c>
      <c r="M393" t="inlineStr">
        <is>
          <t>Комп’ютерне обладнання</t>
        </is>
      </c>
      <c r="N393" t="inlineStr">
        <is>
          <t>2025-10-31</t>
        </is>
      </c>
      <c r="O393" t="inlineStr">
        <is>
          <t>2026-04-27</t>
        </is>
      </c>
    </row>
    <row r="394">
      <c r="A394" s="5" t="n">
        <v>172</v>
      </c>
      <c r="B394" t="inlineStr">
        <is>
          <t>2504802667</t>
        </is>
      </c>
      <c r="C394" t="inlineStr">
        <is>
          <t>ФОП ІВАНІВ ОКСАНА ОЛЕКСАНДРІВНА</t>
        </is>
      </c>
      <c r="D394" t="inlineStr"/>
      <c r="E394" s="5" t="n">
        <v>8</v>
      </c>
      <c r="F394" s="5" t="n">
        <v>8</v>
      </c>
      <c r="G394" s="13" t="n">
        <v>113983</v>
      </c>
      <c r="H394" s="12" t="n">
        <v>0.001</v>
      </c>
      <c r="I394" s="13" t="n">
        <v>14247.88</v>
      </c>
      <c r="J394" s="13" t="n">
        <v>1104</v>
      </c>
      <c r="K394" s="5" t="n">
        <v>4</v>
      </c>
      <c r="L394" s="5" t="n">
        <v>1</v>
      </c>
      <c r="M394" t="inlineStr">
        <is>
          <t>Комп’ютерне обладнання</t>
        </is>
      </c>
      <c r="N394" t="inlineStr">
        <is>
          <t>2025-10-02</t>
        </is>
      </c>
      <c r="O394" t="inlineStr">
        <is>
          <t>2026-05-29</t>
        </is>
      </c>
    </row>
    <row r="395">
      <c r="A395" s="5" t="n">
        <v>173</v>
      </c>
      <c r="B395" t="inlineStr">
        <is>
          <t>3831000334</t>
        </is>
      </c>
      <c r="C395" t="inlineStr">
        <is>
          <t>ФОП ЗАЛІЗИНСЬКА ЮЛІАНА ДАРІУСІВНА</t>
        </is>
      </c>
      <c r="D395" t="inlineStr"/>
      <c r="E395" s="5" t="n">
        <v>1</v>
      </c>
      <c r="F395" s="5" t="n">
        <v>1</v>
      </c>
      <c r="G395" s="13" t="n">
        <v>113037</v>
      </c>
      <c r="H395" s="12" t="n">
        <v>0.001</v>
      </c>
      <c r="I395" s="13" t="n">
        <v>113037</v>
      </c>
      <c r="J395" s="13" t="n">
        <v>113037</v>
      </c>
      <c r="K395" s="5" t="n">
        <v>1</v>
      </c>
      <c r="L395" s="5" t="n">
        <v>1</v>
      </c>
      <c r="M395" t="inlineStr">
        <is>
          <t>Машини для обробки даних (апаратна частина)</t>
        </is>
      </c>
      <c r="N395" t="inlineStr">
        <is>
          <t>2026-07-14</t>
        </is>
      </c>
      <c r="O395" t="inlineStr">
        <is>
          <t>2026-07-14</t>
        </is>
      </c>
    </row>
    <row r="396">
      <c r="A396" s="5" t="n">
        <v>174</v>
      </c>
      <c r="B396" t="inlineStr">
        <is>
          <t>33463295</t>
        </is>
      </c>
      <c r="C396" t="inlineStr">
        <is>
          <t>ПП "ФІРМА "МОДУЛЬ"</t>
        </is>
      </c>
      <c r="D396" t="inlineStr"/>
      <c r="E396" s="5" t="n">
        <v>6</v>
      </c>
      <c r="F396" s="5" t="n">
        <v>6</v>
      </c>
      <c r="G396" s="13" t="n">
        <v>112682</v>
      </c>
      <c r="H396" s="12" t="n">
        <v>0.0009</v>
      </c>
      <c r="I396" s="13" t="n">
        <v>18780.33</v>
      </c>
      <c r="J396" s="13" t="n">
        <v>16074.5</v>
      </c>
      <c r="K396" s="5" t="n">
        <v>5</v>
      </c>
      <c r="L396" s="5" t="n">
        <v>1</v>
      </c>
      <c r="M396" t="inlineStr">
        <is>
          <t>Комп’ютерне обладнання</t>
        </is>
      </c>
      <c r="N396" t="inlineStr">
        <is>
          <t>2025-09-08</t>
        </is>
      </c>
      <c r="O396" t="inlineStr">
        <is>
          <t>2026-07-14</t>
        </is>
      </c>
    </row>
    <row r="397">
      <c r="A397" s="5" t="n">
        <v>175</v>
      </c>
      <c r="B397" t="inlineStr">
        <is>
          <t>3150203576</t>
        </is>
      </c>
      <c r="C397" t="inlineStr">
        <is>
          <t>ФОП "Ковнер Юрій Вікторович"</t>
        </is>
      </c>
      <c r="D397" t="inlineStr"/>
      <c r="E397" s="5" t="n">
        <v>1</v>
      </c>
      <c r="F397" s="5" t="n">
        <v>1</v>
      </c>
      <c r="G397" s="13" t="n">
        <v>112140</v>
      </c>
      <c r="H397" s="12" t="n">
        <v>0.0009</v>
      </c>
      <c r="I397" s="13" t="n">
        <v>112140</v>
      </c>
      <c r="J397" s="13" t="n">
        <v>112140</v>
      </c>
      <c r="K397" s="5" t="n">
        <v>1</v>
      </c>
      <c r="L397" s="5" t="n">
        <v>1</v>
      </c>
      <c r="M397" t="inlineStr">
        <is>
          <t>Комп’ютерне обладнання</t>
        </is>
      </c>
      <c r="N397" t="inlineStr">
        <is>
          <t>2026-05-06</t>
        </is>
      </c>
      <c r="O397" t="inlineStr">
        <is>
          <t>2026-05-06</t>
        </is>
      </c>
    </row>
    <row r="398">
      <c r="A398" s="5" t="n">
        <v>176</v>
      </c>
      <c r="B398" t="inlineStr">
        <is>
          <t>1909104167</t>
        </is>
      </c>
      <c r="C398" t="inlineStr">
        <is>
          <t>ФОП Маркова Тетяна Петрівна</t>
        </is>
      </c>
      <c r="D398" t="inlineStr"/>
      <c r="E398" s="5" t="n">
        <v>2</v>
      </c>
      <c r="F398" s="5" t="n">
        <v>2</v>
      </c>
      <c r="G398" s="13" t="n">
        <v>106258</v>
      </c>
      <c r="H398" s="12" t="n">
        <v>0.0009</v>
      </c>
      <c r="I398" s="13" t="n">
        <v>53129</v>
      </c>
      <c r="J398" s="13" t="n">
        <v>53129</v>
      </c>
      <c r="K398" s="5" t="n">
        <v>2</v>
      </c>
      <c r="L398" s="5" t="n">
        <v>1</v>
      </c>
      <c r="M398" t="inlineStr">
        <is>
          <t>Машини для обробки даних (апаратна частина)</t>
        </is>
      </c>
      <c r="N398" t="inlineStr">
        <is>
          <t>2025-11-11</t>
        </is>
      </c>
      <c r="O398" t="inlineStr">
        <is>
          <t>2026-07-21</t>
        </is>
      </c>
    </row>
    <row r="399">
      <c r="A399" s="5" t="n">
        <v>177</v>
      </c>
      <c r="B399" t="inlineStr">
        <is>
          <t>3376813375</t>
        </is>
      </c>
      <c r="C399" t="inlineStr">
        <is>
          <t>ІВАНЮК АНДРІЙ ОЛЕКСАНДРОВИЧ</t>
        </is>
      </c>
      <c r="D399" t="inlineStr"/>
      <c r="E399" s="5" t="n">
        <v>3</v>
      </c>
      <c r="F399" s="5" t="n">
        <v>3</v>
      </c>
      <c r="G399" s="13" t="n">
        <v>104970</v>
      </c>
      <c r="H399" s="12" t="n">
        <v>0.0009</v>
      </c>
      <c r="I399" s="13" t="n">
        <v>34990</v>
      </c>
      <c r="J399" s="13" t="n">
        <v>19000</v>
      </c>
      <c r="K399" s="5" t="n">
        <v>2</v>
      </c>
      <c r="L399" s="5" t="n">
        <v>1</v>
      </c>
      <c r="M399" t="inlineStr">
        <is>
          <t>Комп’ютерне обладнання</t>
        </is>
      </c>
      <c r="N399" t="inlineStr">
        <is>
          <t>2025-12-02</t>
        </is>
      </c>
      <c r="O399" t="inlineStr">
        <is>
          <t>2026-07-27</t>
        </is>
      </c>
    </row>
    <row r="400">
      <c r="A400" s="5" t="n">
        <v>178</v>
      </c>
      <c r="B400" t="inlineStr">
        <is>
          <t>3556909580</t>
        </is>
      </c>
      <c r="C400" t="inlineStr">
        <is>
          <t>ФОП ДАРАДУДА БОГДАНА МИКОЛАЇВНА</t>
        </is>
      </c>
      <c r="D400" t="inlineStr"/>
      <c r="E400" s="5" t="n">
        <v>1</v>
      </c>
      <c r="F400" s="5" t="n">
        <v>1</v>
      </c>
      <c r="G400" s="13" t="n">
        <v>102990</v>
      </c>
      <c r="H400" s="12" t="n">
        <v>0.0009</v>
      </c>
      <c r="I400" s="13" t="n">
        <v>102990</v>
      </c>
      <c r="J400" s="13" t="n">
        <v>102990</v>
      </c>
      <c r="K400" s="5" t="n">
        <v>1</v>
      </c>
      <c r="L400" s="5" t="n">
        <v>1</v>
      </c>
      <c r="M400" t="inlineStr">
        <is>
          <t>Машини для обробки даних (апаратна частина)</t>
        </is>
      </c>
      <c r="N400" t="inlineStr">
        <is>
          <t>2026-02-23</t>
        </is>
      </c>
      <c r="O400" t="inlineStr">
        <is>
          <t>2026-02-23</t>
        </is>
      </c>
    </row>
    <row r="401">
      <c r="A401" s="5" t="n">
        <v>179</v>
      </c>
      <c r="B401" t="inlineStr">
        <is>
          <t>2476710990</t>
        </is>
      </c>
      <c r="C401" t="inlineStr">
        <is>
          <t>Підприємець Гладищук Ярослав Іванович</t>
        </is>
      </c>
      <c r="D401" t="inlineStr"/>
      <c r="E401" s="5" t="n">
        <v>6</v>
      </c>
      <c r="F401" s="5" t="n">
        <v>6</v>
      </c>
      <c r="G401" s="13" t="n">
        <v>100760</v>
      </c>
      <c r="H401" s="12" t="n">
        <v>0.0008</v>
      </c>
      <c r="I401" s="13" t="n">
        <v>16793.33</v>
      </c>
      <c r="J401" s="13" t="n">
        <v>9534</v>
      </c>
      <c r="K401" s="5" t="n">
        <v>1</v>
      </c>
      <c r="L401" s="5" t="n">
        <v>1</v>
      </c>
      <c r="M401" t="inlineStr">
        <is>
          <t>Комп’ютерне обладнання</t>
        </is>
      </c>
      <c r="N401" t="inlineStr">
        <is>
          <t>2025-09-19</t>
        </is>
      </c>
      <c r="O401" t="inlineStr">
        <is>
          <t>2026-05-19</t>
        </is>
      </c>
    </row>
    <row r="402">
      <c r="A402" s="5" t="n">
        <v>180</v>
      </c>
      <c r="B402" t="inlineStr">
        <is>
          <t>39910296</t>
        </is>
      </c>
      <c r="C402" t="inlineStr">
        <is>
          <t>ТОВ "КСМ ЮА"</t>
        </is>
      </c>
      <c r="D402" t="inlineStr"/>
      <c r="E402" s="5" t="n">
        <v>1</v>
      </c>
      <c r="F402" s="5" t="n">
        <v>1</v>
      </c>
      <c r="G402" s="13" t="n">
        <v>99900</v>
      </c>
      <c r="H402" s="12" t="n">
        <v>0.0008</v>
      </c>
      <c r="I402" s="13" t="n">
        <v>99900</v>
      </c>
      <c r="J402" s="13" t="n">
        <v>99900</v>
      </c>
      <c r="K402" s="5" t="n">
        <v>1</v>
      </c>
      <c r="L402" s="5" t="n">
        <v>1</v>
      </c>
      <c r="M402" t="inlineStr">
        <is>
          <t>Комп’ютерне обладнання</t>
        </is>
      </c>
      <c r="N402" t="inlineStr">
        <is>
          <t>2026-07-22</t>
        </is>
      </c>
      <c r="O402" t="inlineStr">
        <is>
          <t>2026-07-22</t>
        </is>
      </c>
    </row>
    <row r="403">
      <c r="A403" s="5" t="n">
        <v>181</v>
      </c>
      <c r="B403" t="inlineStr">
        <is>
          <t>3254814838</t>
        </is>
      </c>
      <c r="C403" t="inlineStr">
        <is>
          <t>ФОП Сохацький Дмитро Юрійович</t>
        </is>
      </c>
      <c r="D403" t="inlineStr"/>
      <c r="E403" s="5" t="n">
        <v>1</v>
      </c>
      <c r="F403" s="5" t="n">
        <v>1</v>
      </c>
      <c r="G403" s="13" t="n">
        <v>99900</v>
      </c>
      <c r="H403" s="12" t="n">
        <v>0.0008</v>
      </c>
      <c r="I403" s="13" t="n">
        <v>99900</v>
      </c>
      <c r="J403" s="13" t="n">
        <v>99900</v>
      </c>
      <c r="K403" s="5" t="n">
        <v>1</v>
      </c>
      <c r="L403" s="5" t="n">
        <v>1</v>
      </c>
      <c r="M403" t="inlineStr">
        <is>
          <t>Комп’ютерне обладнання та приладдя</t>
        </is>
      </c>
      <c r="N403" t="inlineStr">
        <is>
          <t>2026-03-30</t>
        </is>
      </c>
      <c r="O403" t="inlineStr">
        <is>
          <t>2026-03-30</t>
        </is>
      </c>
    </row>
    <row r="404">
      <c r="A404" s="5" t="n">
        <v>182</v>
      </c>
      <c r="B404" t="inlineStr">
        <is>
          <t>3345814420</t>
        </is>
      </c>
      <c r="C404" t="inlineStr">
        <is>
          <t>МЕЛЬНИЧУК ІРИНА МИКОЛАЇВНА</t>
        </is>
      </c>
      <c r="D404" t="inlineStr"/>
      <c r="E404" s="5" t="n">
        <v>1</v>
      </c>
      <c r="F404" s="5" t="n">
        <v>1</v>
      </c>
      <c r="G404" s="13" t="n">
        <v>99440</v>
      </c>
      <c r="H404" s="12" t="n">
        <v>0.0008</v>
      </c>
      <c r="I404" s="13" t="n">
        <v>99440</v>
      </c>
      <c r="J404" s="13" t="n">
        <v>99440</v>
      </c>
      <c r="K404" s="5" t="n">
        <v>1</v>
      </c>
      <c r="L404" s="5" t="n">
        <v>1</v>
      </c>
      <c r="M404" t="inlineStr">
        <is>
          <t>Комп’ютерне обладнання</t>
        </is>
      </c>
      <c r="N404" t="inlineStr">
        <is>
          <t>2026-05-15</t>
        </is>
      </c>
      <c r="O404" t="inlineStr">
        <is>
          <t>2026-05-15</t>
        </is>
      </c>
    </row>
    <row r="405">
      <c r="A405" s="5" t="n">
        <v>183</v>
      </c>
      <c r="B405" t="inlineStr">
        <is>
          <t>13362621</t>
        </is>
      </c>
      <c r="C405" t="inlineStr">
        <is>
          <t>МАЛЕ ПП "МЕДІА"</t>
        </is>
      </c>
      <c r="D405" t="inlineStr"/>
      <c r="E405" s="5" t="n">
        <v>1</v>
      </c>
      <c r="F405" s="5" t="n">
        <v>1</v>
      </c>
      <c r="G405" s="13" t="n">
        <v>99417</v>
      </c>
      <c r="H405" s="12" t="n">
        <v>0.0008</v>
      </c>
      <c r="I405" s="13" t="n">
        <v>99417</v>
      </c>
      <c r="J405" s="13" t="n">
        <v>99417</v>
      </c>
      <c r="K405" s="5" t="n">
        <v>1</v>
      </c>
      <c r="L405" s="5" t="n">
        <v>1</v>
      </c>
      <c r="M405" t="inlineStr">
        <is>
          <t>Комп’ютерне обладнання</t>
        </is>
      </c>
      <c r="N405" t="inlineStr">
        <is>
          <t>2026-07-27</t>
        </is>
      </c>
      <c r="O405" t="inlineStr">
        <is>
          <t>2026-07-27</t>
        </is>
      </c>
    </row>
    <row r="406">
      <c r="A406" s="5" t="n">
        <v>184</v>
      </c>
      <c r="B406" t="inlineStr">
        <is>
          <t>3312618308</t>
        </is>
      </c>
      <c r="C406" t="inlineStr">
        <is>
          <t>ФОП "Ахмедова Анна Ігорівна"</t>
        </is>
      </c>
      <c r="D406" t="inlineStr"/>
      <c r="E406" s="5" t="n">
        <v>1</v>
      </c>
      <c r="F406" s="5" t="n">
        <v>1</v>
      </c>
      <c r="G406" s="13" t="n">
        <v>97600</v>
      </c>
      <c r="H406" s="12" t="n">
        <v>0.0008</v>
      </c>
      <c r="I406" s="13" t="n">
        <v>97600</v>
      </c>
      <c r="J406" s="13" t="n">
        <v>97600</v>
      </c>
      <c r="K406" s="5" t="n">
        <v>1</v>
      </c>
      <c r="L406" s="5" t="n">
        <v>1</v>
      </c>
      <c r="M406" t="inlineStr">
        <is>
          <t>Машини для обробки даних (апаратна частина)</t>
        </is>
      </c>
      <c r="N406" t="inlineStr">
        <is>
          <t>2025-12-10</t>
        </is>
      </c>
      <c r="O406" t="inlineStr">
        <is>
          <t>2025-12-10</t>
        </is>
      </c>
    </row>
    <row r="407">
      <c r="A407" s="5" t="n">
        <v>185</v>
      </c>
      <c r="B407" t="inlineStr">
        <is>
          <t>41678302</t>
        </is>
      </c>
      <c r="C407" t="inlineStr">
        <is>
          <t>ТОВ "ПРОДЖЕКТ СОЛЮШН"</t>
        </is>
      </c>
      <c r="D407" t="inlineStr"/>
      <c r="E407" s="5" t="n">
        <v>1</v>
      </c>
      <c r="F407" s="5" t="n">
        <v>1</v>
      </c>
      <c r="G407" s="13" t="n">
        <v>96015</v>
      </c>
      <c r="H407" s="12" t="n">
        <v>0.0008</v>
      </c>
      <c r="I407" s="13" t="n">
        <v>96015</v>
      </c>
      <c r="J407" s="13" t="n">
        <v>96015</v>
      </c>
      <c r="K407" s="5" t="n">
        <v>1</v>
      </c>
      <c r="L407" s="5" t="n">
        <v>1</v>
      </c>
      <c r="M407" t="inlineStr">
        <is>
          <t>Комп’ютерне обладнання</t>
        </is>
      </c>
      <c r="N407" t="inlineStr">
        <is>
          <t>2026-05-05</t>
        </is>
      </c>
      <c r="O407" t="inlineStr">
        <is>
          <t>2026-05-05</t>
        </is>
      </c>
    </row>
    <row r="408">
      <c r="A408" s="5" t="n">
        <v>186</v>
      </c>
      <c r="B408" t="inlineStr">
        <is>
          <t>39674149</t>
        </is>
      </c>
      <c r="C408" t="inlineStr">
        <is>
          <t>ТОВ "ПРІНТ СІСТЕМ"</t>
        </is>
      </c>
      <c r="D408" t="inlineStr"/>
      <c r="E408" s="5" t="n">
        <v>1</v>
      </c>
      <c r="F408" s="5" t="n">
        <v>1</v>
      </c>
      <c r="G408" s="13" t="n">
        <v>96000</v>
      </c>
      <c r="H408" s="12" t="n">
        <v>0.0008</v>
      </c>
      <c r="I408" s="13" t="n">
        <v>96000</v>
      </c>
      <c r="J408" s="13" t="n">
        <v>96000</v>
      </c>
      <c r="K408" s="5" t="n">
        <v>1</v>
      </c>
      <c r="L408" s="5" t="n">
        <v>1</v>
      </c>
      <c r="M408" t="inlineStr">
        <is>
          <t>Комп’ютерне обладнання</t>
        </is>
      </c>
      <c r="N408" t="inlineStr">
        <is>
          <t>2025-12-01</t>
        </is>
      </c>
      <c r="O408" t="inlineStr">
        <is>
          <t>2025-12-01</t>
        </is>
      </c>
    </row>
    <row r="409">
      <c r="A409" s="5" t="n">
        <v>187</v>
      </c>
      <c r="B409" t="inlineStr">
        <is>
          <t>42929861</t>
        </is>
      </c>
      <c r="C409" t="inlineStr">
        <is>
          <t>ТОВ "ЕКО ДРУК"</t>
        </is>
      </c>
      <c r="D409" t="inlineStr"/>
      <c r="E409" s="5" t="n">
        <v>1</v>
      </c>
      <c r="F409" s="5" t="n">
        <v>1</v>
      </c>
      <c r="G409" s="13" t="n">
        <v>95310</v>
      </c>
      <c r="H409" s="12" t="n">
        <v>0.0008</v>
      </c>
      <c r="I409" s="13" t="n">
        <v>95310</v>
      </c>
      <c r="J409" s="13" t="n">
        <v>95310</v>
      </c>
      <c r="K409" s="5" t="n">
        <v>1</v>
      </c>
      <c r="L409" s="5" t="n">
        <v>1</v>
      </c>
      <c r="M409" t="inlineStr">
        <is>
          <t>Комп’ютерне обладнання</t>
        </is>
      </c>
      <c r="N409" t="inlineStr">
        <is>
          <t>2025-12-22</t>
        </is>
      </c>
      <c r="O409" t="inlineStr">
        <is>
          <t>2025-12-22</t>
        </is>
      </c>
    </row>
    <row r="410">
      <c r="A410" s="5" t="n">
        <v>188</v>
      </c>
      <c r="B410" t="inlineStr">
        <is>
          <t>2972304611</t>
        </is>
      </c>
      <c r="C410" t="inlineStr">
        <is>
          <t>ФОП Завадський Андрій Анатолійович</t>
        </is>
      </c>
      <c r="D410" t="inlineStr"/>
      <c r="E410" s="5" t="n">
        <v>3</v>
      </c>
      <c r="F410" s="5" t="n">
        <v>3</v>
      </c>
      <c r="G410" s="13" t="n">
        <v>93442</v>
      </c>
      <c r="H410" s="12" t="n">
        <v>0.0008</v>
      </c>
      <c r="I410" s="13" t="n">
        <v>31147.33</v>
      </c>
      <c r="J410" s="13" t="n">
        <v>30242</v>
      </c>
      <c r="K410" s="5" t="n">
        <v>2</v>
      </c>
      <c r="L410" s="5" t="n">
        <v>1</v>
      </c>
      <c r="M410" t="inlineStr">
        <is>
          <t>Комп’ютерне обладнання</t>
        </is>
      </c>
      <c r="N410" t="inlineStr">
        <is>
          <t>2025-11-17</t>
        </is>
      </c>
      <c r="O410" t="inlineStr">
        <is>
          <t>2025-12-18</t>
        </is>
      </c>
    </row>
    <row r="411">
      <c r="A411" s="5" t="n">
        <v>189</v>
      </c>
      <c r="B411" t="inlineStr">
        <is>
          <t>14167502</t>
        </is>
      </c>
      <c r="C411" t="inlineStr">
        <is>
          <t>ПрАТ "Мікросистема"</t>
        </is>
      </c>
      <c r="D411" t="inlineStr"/>
      <c r="E411" s="5" t="n">
        <v>2</v>
      </c>
      <c r="F411" s="5" t="n">
        <v>2</v>
      </c>
      <c r="G411" s="13" t="n">
        <v>93316</v>
      </c>
      <c r="H411" s="12" t="n">
        <v>0.0008</v>
      </c>
      <c r="I411" s="13" t="n">
        <v>46658</v>
      </c>
      <c r="J411" s="13" t="n">
        <v>46658</v>
      </c>
      <c r="K411" s="5" t="n">
        <v>1</v>
      </c>
      <c r="L411" s="5" t="n">
        <v>1</v>
      </c>
      <c r="M411" t="inlineStr">
        <is>
          <t>Комп’ютерне обладнання</t>
        </is>
      </c>
      <c r="N411" t="inlineStr">
        <is>
          <t>2025-12-19</t>
        </is>
      </c>
      <c r="O411" t="inlineStr">
        <is>
          <t>2025-12-19</t>
        </is>
      </c>
    </row>
    <row r="412">
      <c r="A412" s="5" t="n">
        <v>190</v>
      </c>
      <c r="B412" t="inlineStr">
        <is>
          <t>21738690</t>
        </is>
      </c>
      <c r="C412" t="inlineStr">
        <is>
          <t>ТзОВ "Лафіт"</t>
        </is>
      </c>
      <c r="D412" t="inlineStr"/>
      <c r="E412" s="5" t="n">
        <v>8</v>
      </c>
      <c r="F412" s="5" t="n">
        <v>8</v>
      </c>
      <c r="G412" s="13" t="n">
        <v>91344</v>
      </c>
      <c r="H412" s="12" t="n">
        <v>0.0008</v>
      </c>
      <c r="I412" s="13" t="n">
        <v>11418</v>
      </c>
      <c r="J412" s="13" t="n">
        <v>2730</v>
      </c>
      <c r="K412" s="5" t="n">
        <v>3</v>
      </c>
      <c r="L412" s="5" t="n">
        <v>1</v>
      </c>
      <c r="M412" t="inlineStr">
        <is>
          <t>Машини для обробки даних (апаратна частина)</t>
        </is>
      </c>
      <c r="N412" t="inlineStr">
        <is>
          <t>2026-01-13</t>
        </is>
      </c>
      <c r="O412" t="inlineStr">
        <is>
          <t>2026-07-22</t>
        </is>
      </c>
    </row>
    <row r="413">
      <c r="A413" s="5" t="n">
        <v>191</v>
      </c>
      <c r="B413" t="inlineStr">
        <is>
          <t>0507195032</t>
        </is>
      </c>
      <c r="C413" t="inlineStr">
        <is>
          <t>ФОП Кучмук Євгеній Євгенович</t>
        </is>
      </c>
      <c r="D413" t="inlineStr"/>
      <c r="E413" s="5" t="n">
        <v>3</v>
      </c>
      <c r="F413" s="5" t="n">
        <v>3</v>
      </c>
      <c r="G413" s="13" t="n">
        <v>91330</v>
      </c>
      <c r="H413" s="12" t="n">
        <v>0.0008</v>
      </c>
      <c r="I413" s="13" t="n">
        <v>30443.33</v>
      </c>
      <c r="J413" s="13" t="n">
        <v>30800</v>
      </c>
      <c r="K413" s="5" t="n">
        <v>1</v>
      </c>
      <c r="L413" s="5" t="n">
        <v>1</v>
      </c>
      <c r="M413" t="inlineStr">
        <is>
          <t>Комп’ютерне обладнання</t>
        </is>
      </c>
      <c r="N413" t="inlineStr">
        <is>
          <t>2025-12-17</t>
        </is>
      </c>
      <c r="O413" t="inlineStr">
        <is>
          <t>2026-08-20</t>
        </is>
      </c>
    </row>
    <row r="414">
      <c r="A414" s="5" t="n">
        <v>192</v>
      </c>
      <c r="B414" t="inlineStr">
        <is>
          <t>2116908226</t>
        </is>
      </c>
      <c r="C414" t="inlineStr">
        <is>
          <t>ФОП Бурнишева Т.Ф.</t>
        </is>
      </c>
      <c r="D414" t="inlineStr"/>
      <c r="E414" s="5" t="n">
        <v>1</v>
      </c>
      <c r="F414" s="5" t="n">
        <v>1</v>
      </c>
      <c r="G414" s="13" t="n">
        <v>90000</v>
      </c>
      <c r="H414" s="12" t="n">
        <v>0.0008</v>
      </c>
      <c r="I414" s="13" t="n">
        <v>90000</v>
      </c>
      <c r="J414" s="13" t="n">
        <v>90000</v>
      </c>
      <c r="K414" s="5" t="n">
        <v>1</v>
      </c>
      <c r="L414" s="5" t="n">
        <v>1</v>
      </c>
      <c r="M414" t="inlineStr">
        <is>
          <t>Машини для обробки даних (апаратна частина)</t>
        </is>
      </c>
      <c r="N414" t="inlineStr">
        <is>
          <t>2025-10-20</t>
        </is>
      </c>
      <c r="O414" t="inlineStr">
        <is>
          <t>2025-10-20</t>
        </is>
      </c>
    </row>
    <row r="415">
      <c r="A415" s="5" t="n">
        <v>193</v>
      </c>
      <c r="B415" t="inlineStr">
        <is>
          <t>31587269</t>
        </is>
      </c>
      <c r="C415" t="inlineStr">
        <is>
          <t>ТОВ "УКРТЕХНОСПЕЦПОСТАЧ"</t>
        </is>
      </c>
      <c r="D415" t="inlineStr"/>
      <c r="E415" s="5" t="n">
        <v>1</v>
      </c>
      <c r="F415" s="5" t="n">
        <v>1</v>
      </c>
      <c r="G415" s="13" t="n">
        <v>89400</v>
      </c>
      <c r="H415" s="12" t="n">
        <v>0.0008</v>
      </c>
      <c r="I415" s="13" t="n">
        <v>89400</v>
      </c>
      <c r="J415" s="13" t="n">
        <v>89400</v>
      </c>
      <c r="K415" s="5" t="n">
        <v>1</v>
      </c>
      <c r="L415" s="5" t="n">
        <v>1</v>
      </c>
      <c r="M415" t="inlineStr">
        <is>
          <t>Машини для обробки даних (апаратна частина)</t>
        </is>
      </c>
      <c r="N415" t="inlineStr">
        <is>
          <t>2025-12-24</t>
        </is>
      </c>
      <c r="O415" t="inlineStr">
        <is>
          <t>2025-12-24</t>
        </is>
      </c>
    </row>
    <row r="416">
      <c r="A416" s="5" t="n">
        <v>194</v>
      </c>
      <c r="B416" t="inlineStr">
        <is>
          <t>13354188</t>
        </is>
      </c>
      <c r="C416" t="inlineStr">
        <is>
          <t>ПП «МП СПРАЙТ»</t>
        </is>
      </c>
      <c r="D416" t="inlineStr"/>
      <c r="E416" s="5" t="n">
        <v>2</v>
      </c>
      <c r="F416" s="5" t="n">
        <v>2</v>
      </c>
      <c r="G416" s="13" t="n">
        <v>88999.56</v>
      </c>
      <c r="H416" s="12" t="n">
        <v>0.0007</v>
      </c>
      <c r="I416" s="13" t="n">
        <v>44499.78</v>
      </c>
      <c r="J416" s="13" t="n">
        <v>44499.78</v>
      </c>
      <c r="K416" s="5" t="n">
        <v>1</v>
      </c>
      <c r="L416" s="5" t="n">
        <v>1</v>
      </c>
      <c r="M416" t="inlineStr">
        <is>
          <t>Машини для обробки даних (апаратна частина)</t>
        </is>
      </c>
      <c r="N416" t="inlineStr">
        <is>
          <t>2026-07-15</t>
        </is>
      </c>
      <c r="O416" t="inlineStr">
        <is>
          <t>2026-07-15</t>
        </is>
      </c>
    </row>
    <row r="417">
      <c r="A417" s="5" t="n">
        <v>195</v>
      </c>
      <c r="B417" t="inlineStr">
        <is>
          <t>2901605484</t>
        </is>
      </c>
      <c r="C417" t="inlineStr">
        <is>
          <t>ФОП "БІЛОЗЕРСЬКА СВІТЛАНА ОЛЕГІВНА"</t>
        </is>
      </c>
      <c r="D417" t="inlineStr"/>
      <c r="E417" s="5" t="n">
        <v>5</v>
      </c>
      <c r="F417" s="5" t="n">
        <v>5</v>
      </c>
      <c r="G417" s="13" t="n">
        <v>88003.99000000001</v>
      </c>
      <c r="H417" s="12" t="n">
        <v>0.0007</v>
      </c>
      <c r="I417" s="13" t="n">
        <v>17600.8</v>
      </c>
      <c r="J417" s="13" t="n">
        <v>16573.52</v>
      </c>
      <c r="K417" s="5" t="n">
        <v>4</v>
      </c>
      <c r="L417" s="5" t="n">
        <v>1</v>
      </c>
      <c r="M417" t="inlineStr">
        <is>
          <t>Комп’ютерне обладнання</t>
        </is>
      </c>
      <c r="N417" t="inlineStr">
        <is>
          <t>2025-10-29</t>
        </is>
      </c>
      <c r="O417" t="inlineStr">
        <is>
          <t>2025-12-24</t>
        </is>
      </c>
    </row>
    <row r="418">
      <c r="A418" s="5" t="n">
        <v>196</v>
      </c>
      <c r="B418" t="inlineStr">
        <is>
          <t>3307208132</t>
        </is>
      </c>
      <c r="C418" t="inlineStr">
        <is>
          <t>ФОП Атаманський Богдан Миколайович</t>
        </is>
      </c>
      <c r="D418" t="inlineStr"/>
      <c r="E418" s="5" t="n">
        <v>1</v>
      </c>
      <c r="F418" s="5" t="n">
        <v>1</v>
      </c>
      <c r="G418" s="13" t="n">
        <v>87200</v>
      </c>
      <c r="H418" s="12" t="n">
        <v>0.0007</v>
      </c>
      <c r="I418" s="13" t="n">
        <v>87200</v>
      </c>
      <c r="J418" s="13" t="n">
        <v>87200</v>
      </c>
      <c r="K418" s="5" t="n">
        <v>1</v>
      </c>
      <c r="L418" s="5" t="n">
        <v>1</v>
      </c>
      <c r="M418" t="inlineStr">
        <is>
          <t>Машини для обробки даних (апаратна частина)</t>
        </is>
      </c>
      <c r="N418" t="inlineStr">
        <is>
          <t>2025-10-03</t>
        </is>
      </c>
      <c r="O418" t="inlineStr">
        <is>
          <t>2025-10-03</t>
        </is>
      </c>
    </row>
    <row r="419">
      <c r="A419" s="5" t="n">
        <v>197</v>
      </c>
      <c r="B419" t="inlineStr">
        <is>
          <t>2862414684</t>
        </is>
      </c>
      <c r="C419" t="inlineStr">
        <is>
          <t>ФОП Філіпчук Оксана Іванівна</t>
        </is>
      </c>
      <c r="D419" t="inlineStr"/>
      <c r="E419" s="5" t="n">
        <v>7</v>
      </c>
      <c r="F419" s="5" t="n">
        <v>7</v>
      </c>
      <c r="G419" s="13" t="n">
        <v>85680</v>
      </c>
      <c r="H419" s="12" t="n">
        <v>0.0007</v>
      </c>
      <c r="I419" s="13" t="n">
        <v>12240</v>
      </c>
      <c r="J419" s="13" t="n">
        <v>13900</v>
      </c>
      <c r="K419" s="5" t="n">
        <v>4</v>
      </c>
      <c r="L419" s="5" t="n">
        <v>1</v>
      </c>
      <c r="M419" t="inlineStr">
        <is>
          <t>Комп’ютерне обладнання</t>
        </is>
      </c>
      <c r="N419" t="inlineStr">
        <is>
          <t>2025-10-16</t>
        </is>
      </c>
      <c r="O419" t="inlineStr">
        <is>
          <t>2026-06-01</t>
        </is>
      </c>
    </row>
    <row r="420">
      <c r="A420" s="5" t="n">
        <v>198</v>
      </c>
      <c r="B420" t="inlineStr">
        <is>
          <t>2980901639</t>
        </is>
      </c>
      <c r="C420" t="inlineStr">
        <is>
          <t>П-ць Ушарук Леонід Миколайович</t>
        </is>
      </c>
      <c r="D420" t="inlineStr"/>
      <c r="E420" s="5" t="n">
        <v>13</v>
      </c>
      <c r="F420" s="5" t="n">
        <v>13</v>
      </c>
      <c r="G420" s="13" t="n">
        <v>85550</v>
      </c>
      <c r="H420" s="12" t="n">
        <v>0.0007</v>
      </c>
      <c r="I420" s="13" t="n">
        <v>6580.77</v>
      </c>
      <c r="J420" s="13" t="n">
        <v>2120</v>
      </c>
      <c r="K420" s="5" t="n">
        <v>5</v>
      </c>
      <c r="L420" s="5" t="n">
        <v>1</v>
      </c>
      <c r="M420" t="inlineStr">
        <is>
          <t>Комп’ютерне обладнання</t>
        </is>
      </c>
      <c r="N420" t="inlineStr">
        <is>
          <t>2025-09-02</t>
        </is>
      </c>
      <c r="O420" t="inlineStr">
        <is>
          <t>2026-08-24</t>
        </is>
      </c>
    </row>
    <row r="421">
      <c r="A421" s="5" t="n">
        <v>199</v>
      </c>
      <c r="B421" t="inlineStr">
        <is>
          <t>40526877</t>
        </is>
      </c>
      <c r="C421" t="inlineStr">
        <is>
          <t>ТОВ "ШПАНОВСЬКИЙ ІМПОРТ-ЕКСПОРТ" (ТОВ "ШПАНОВСЬКИЙ ІМПОРТ-ЕКСПОРТ")</t>
        </is>
      </c>
      <c r="D421" t="inlineStr"/>
      <c r="E421" s="5" t="n">
        <v>7</v>
      </c>
      <c r="F421" s="5" t="n">
        <v>7</v>
      </c>
      <c r="G421" s="13" t="n">
        <v>85480.17</v>
      </c>
      <c r="H421" s="12" t="n">
        <v>0.0007</v>
      </c>
      <c r="I421" s="13" t="n">
        <v>12211.45</v>
      </c>
      <c r="J421" s="13" t="n">
        <v>639.63</v>
      </c>
      <c r="K421" s="5" t="n">
        <v>4</v>
      </c>
      <c r="L421" s="5" t="n">
        <v>1</v>
      </c>
      <c r="M421" t="inlineStr">
        <is>
          <t>Комп’ютерне обладнання</t>
        </is>
      </c>
      <c r="N421" t="inlineStr">
        <is>
          <t>2025-09-04</t>
        </is>
      </c>
      <c r="O421" t="inlineStr">
        <is>
          <t>2026-08-17</t>
        </is>
      </c>
    </row>
    <row r="422">
      <c r="A422" s="5" t="n">
        <v>200</v>
      </c>
      <c r="B422" t="inlineStr">
        <is>
          <t>3279417021</t>
        </is>
      </c>
      <c r="C422" t="inlineStr">
        <is>
          <t>ФОП Скопюк Юлія Іллівна</t>
        </is>
      </c>
      <c r="D422" t="inlineStr"/>
      <c r="E422" s="5" t="n">
        <v>1</v>
      </c>
      <c r="F422" s="5" t="n">
        <v>1</v>
      </c>
      <c r="G422" s="13" t="n">
        <v>84952</v>
      </c>
      <c r="H422" s="12" t="n">
        <v>0.0007</v>
      </c>
      <c r="I422" s="13" t="n">
        <v>84952</v>
      </c>
      <c r="J422" s="13" t="n">
        <v>84952</v>
      </c>
      <c r="K422" s="5" t="n">
        <v>1</v>
      </c>
      <c r="L422" s="5" t="n">
        <v>1</v>
      </c>
      <c r="M422" t="inlineStr">
        <is>
          <t>Комп’ютерне обладнання та приладдя</t>
        </is>
      </c>
      <c r="N422" t="inlineStr">
        <is>
          <t>2026-05-01</t>
        </is>
      </c>
      <c r="O422" t="inlineStr">
        <is>
          <t>2026-05-01</t>
        </is>
      </c>
    </row>
    <row r="423">
      <c r="A423" s="5" t="n">
        <v>201</v>
      </c>
      <c r="B423" t="inlineStr">
        <is>
          <t>3689310610</t>
        </is>
      </c>
      <c r="C423" t="inlineStr">
        <is>
          <t>ФОП Господенко Олександр Романович</t>
        </is>
      </c>
      <c r="D423" t="inlineStr"/>
      <c r="E423" s="5" t="n">
        <v>5</v>
      </c>
      <c r="F423" s="5" t="n">
        <v>5</v>
      </c>
      <c r="G423" s="13" t="n">
        <v>84947</v>
      </c>
      <c r="H423" s="12" t="n">
        <v>0.0007</v>
      </c>
      <c r="I423" s="13" t="n">
        <v>16989.4</v>
      </c>
      <c r="J423" s="13" t="n">
        <v>7672</v>
      </c>
      <c r="K423" s="5" t="n">
        <v>3</v>
      </c>
      <c r="L423" s="5" t="n">
        <v>1</v>
      </c>
      <c r="M423" t="inlineStr">
        <is>
          <t>Комп’ютерне обладнання</t>
        </is>
      </c>
      <c r="N423" t="inlineStr">
        <is>
          <t>2025-09-30</t>
        </is>
      </c>
      <c r="O423" t="inlineStr">
        <is>
          <t>2026-06-18</t>
        </is>
      </c>
    </row>
    <row r="424">
      <c r="A424" s="5" t="n">
        <v>202</v>
      </c>
      <c r="B424" t="inlineStr">
        <is>
          <t>38233958</t>
        </is>
      </c>
      <c r="C424" t="inlineStr">
        <is>
          <t>ТОВ "ПРОТОН-ІТ"</t>
        </is>
      </c>
      <c r="D424" t="inlineStr"/>
      <c r="E424" s="5" t="n">
        <v>1</v>
      </c>
      <c r="F424" s="5" t="n">
        <v>1</v>
      </c>
      <c r="G424" s="13" t="n">
        <v>84600</v>
      </c>
      <c r="H424" s="12" t="n">
        <v>0.0007</v>
      </c>
      <c r="I424" s="13" t="n">
        <v>84600</v>
      </c>
      <c r="J424" s="13" t="n">
        <v>84600</v>
      </c>
      <c r="K424" s="5" t="n">
        <v>1</v>
      </c>
      <c r="L424" s="5" t="n">
        <v>1</v>
      </c>
      <c r="M424" t="inlineStr">
        <is>
          <t>Комп’ютерне обладнання</t>
        </is>
      </c>
      <c r="N424" t="inlineStr">
        <is>
          <t>2026-08-03</t>
        </is>
      </c>
      <c r="O424" t="inlineStr">
        <is>
          <t>2026-08-03</t>
        </is>
      </c>
    </row>
    <row r="425">
      <c r="A425" s="5" t="n">
        <v>203</v>
      </c>
      <c r="B425" t="inlineStr">
        <is>
          <t>3427708144</t>
        </is>
      </c>
      <c r="C425" t="inlineStr">
        <is>
          <t>ФОП "БАРАНОВА ЮЛІЯ СЕРГІЇВНА"</t>
        </is>
      </c>
      <c r="D425" t="inlineStr"/>
      <c r="E425" s="5" t="n">
        <v>1</v>
      </c>
      <c r="F425" s="5" t="n">
        <v>1</v>
      </c>
      <c r="G425" s="13" t="n">
        <v>83800</v>
      </c>
      <c r="H425" s="12" t="n">
        <v>0.0007</v>
      </c>
      <c r="I425" s="13" t="n">
        <v>83800</v>
      </c>
      <c r="J425" s="13" t="n">
        <v>83800</v>
      </c>
      <c r="K425" s="5" t="n">
        <v>1</v>
      </c>
      <c r="L425" s="5" t="n">
        <v>1</v>
      </c>
      <c r="M425" t="inlineStr">
        <is>
          <t>Комп’ютерне обладнання</t>
        </is>
      </c>
      <c r="N425" t="inlineStr">
        <is>
          <t>2026-04-22</t>
        </is>
      </c>
      <c r="O425" t="inlineStr">
        <is>
          <t>2026-04-22</t>
        </is>
      </c>
    </row>
    <row r="426">
      <c r="A426" s="5" t="n">
        <v>204</v>
      </c>
      <c r="B426" t="inlineStr">
        <is>
          <t>2989909250</t>
        </is>
      </c>
      <c r="C426" t="inlineStr">
        <is>
          <t>ФОП Вахула Федір Андрійович</t>
        </is>
      </c>
      <c r="D426" t="inlineStr"/>
      <c r="E426" s="5" t="n">
        <v>2</v>
      </c>
      <c r="F426" s="5" t="n">
        <v>2</v>
      </c>
      <c r="G426" s="13" t="n">
        <v>81330</v>
      </c>
      <c r="H426" s="12" t="n">
        <v>0.0007</v>
      </c>
      <c r="I426" s="13" t="n">
        <v>40665</v>
      </c>
      <c r="J426" s="13" t="n">
        <v>40665</v>
      </c>
      <c r="K426" s="5" t="n">
        <v>2</v>
      </c>
      <c r="L426" s="5" t="n">
        <v>1</v>
      </c>
      <c r="M426" t="inlineStr">
        <is>
          <t>Комп’ютерне обладнання</t>
        </is>
      </c>
      <c r="N426" t="inlineStr">
        <is>
          <t>2026-08-28</t>
        </is>
      </c>
      <c r="O426" t="inlineStr">
        <is>
          <t>2026-08-31</t>
        </is>
      </c>
    </row>
    <row r="427">
      <c r="A427" s="5" t="n">
        <v>205</v>
      </c>
      <c r="B427" t="inlineStr">
        <is>
          <t>3129814267</t>
        </is>
      </c>
      <c r="C427" t="inlineStr">
        <is>
          <t>ФОП "НАГОРНА ІННА ЛЕОНІДІВНА"</t>
        </is>
      </c>
      <c r="D427" t="inlineStr"/>
      <c r="E427" s="5" t="n">
        <v>1</v>
      </c>
      <c r="F427" s="5" t="n">
        <v>1</v>
      </c>
      <c r="G427" s="13" t="n">
        <v>81000</v>
      </c>
      <c r="H427" s="12" t="n">
        <v>0.0007</v>
      </c>
      <c r="I427" s="13" t="n">
        <v>81000</v>
      </c>
      <c r="J427" s="13" t="n">
        <v>81000</v>
      </c>
      <c r="K427" s="5" t="n">
        <v>1</v>
      </c>
      <c r="L427" s="5" t="n">
        <v>1</v>
      </c>
      <c r="M427" t="inlineStr">
        <is>
          <t>Машини для обробки даних (апаратна частина)</t>
        </is>
      </c>
      <c r="N427" t="inlineStr">
        <is>
          <t>2026-04-29</t>
        </is>
      </c>
      <c r="O427" t="inlineStr">
        <is>
          <t>2026-04-29</t>
        </is>
      </c>
    </row>
    <row r="428">
      <c r="A428" s="5" t="n">
        <v>206</v>
      </c>
      <c r="B428" t="inlineStr">
        <is>
          <t>2371213034</t>
        </is>
      </c>
      <c r="C428" t="inlineStr">
        <is>
          <t>ФОП Андросович Сергій Адамович</t>
        </is>
      </c>
      <c r="D428" t="inlineStr"/>
      <c r="E428" s="5" t="n">
        <v>1</v>
      </c>
      <c r="F428" s="5" t="n">
        <v>1</v>
      </c>
      <c r="G428" s="13" t="n">
        <v>80682</v>
      </c>
      <c r="H428" s="12" t="n">
        <v>0.0007</v>
      </c>
      <c r="I428" s="13" t="n">
        <v>80682</v>
      </c>
      <c r="J428" s="13" t="n">
        <v>80682</v>
      </c>
      <c r="K428" s="5" t="n">
        <v>1</v>
      </c>
      <c r="L428" s="5" t="n">
        <v>1</v>
      </c>
      <c r="M428" t="inlineStr">
        <is>
          <t>Комп’ютерне обладнання</t>
        </is>
      </c>
      <c r="N428" t="inlineStr">
        <is>
          <t>2026-06-29</t>
        </is>
      </c>
      <c r="O428" t="inlineStr">
        <is>
          <t>2026-06-29</t>
        </is>
      </c>
    </row>
    <row r="429">
      <c r="A429" s="5" t="n">
        <v>207</v>
      </c>
      <c r="B429" t="inlineStr">
        <is>
          <t>41944852</t>
        </is>
      </c>
      <c r="C429" t="inlineStr">
        <is>
          <t>ТОВ "КОМПЛЕКСНІ РІШЕННЯ МЕРЕЖ"</t>
        </is>
      </c>
      <c r="D429" t="inlineStr"/>
      <c r="E429" s="5" t="n">
        <v>1</v>
      </c>
      <c r="F429" s="5" t="n">
        <v>1</v>
      </c>
      <c r="G429" s="13" t="n">
        <v>78878.88</v>
      </c>
      <c r="H429" s="12" t="n">
        <v>0.0007</v>
      </c>
      <c r="I429" s="13" t="n">
        <v>78878.88</v>
      </c>
      <c r="J429" s="13" t="n">
        <v>78878.88</v>
      </c>
      <c r="K429" s="5" t="n">
        <v>1</v>
      </c>
      <c r="L429" s="5" t="n">
        <v>1</v>
      </c>
      <c r="M429" t="inlineStr">
        <is>
          <t>Комп’ютерне обладнання</t>
        </is>
      </c>
      <c r="N429" t="inlineStr">
        <is>
          <t>2025-12-17</t>
        </is>
      </c>
      <c r="O429" t="inlineStr">
        <is>
          <t>2025-12-17</t>
        </is>
      </c>
    </row>
    <row r="430">
      <c r="A430" s="5" t="n">
        <v>208</v>
      </c>
      <c r="B430" t="inlineStr">
        <is>
          <t>3334206876</t>
        </is>
      </c>
      <c r="C430" t="inlineStr">
        <is>
          <t>Віннічук Андрій Іванович</t>
        </is>
      </c>
      <c r="D430" t="inlineStr"/>
      <c r="E430" s="5" t="n">
        <v>6</v>
      </c>
      <c r="F430" s="5" t="n">
        <v>6</v>
      </c>
      <c r="G430" s="13" t="n">
        <v>78300</v>
      </c>
      <c r="H430" s="12" t="n">
        <v>0.0007</v>
      </c>
      <c r="I430" s="13" t="n">
        <v>13050</v>
      </c>
      <c r="J430" s="13" t="n">
        <v>12450</v>
      </c>
      <c r="K430" s="5" t="n">
        <v>2</v>
      </c>
      <c r="L430" s="5" t="n">
        <v>1</v>
      </c>
      <c r="M430" t="inlineStr">
        <is>
          <t>Комп’ютерне обладнання</t>
        </is>
      </c>
      <c r="N430" t="inlineStr">
        <is>
          <t>2025-09-11</t>
        </is>
      </c>
      <c r="O430" t="inlineStr">
        <is>
          <t>2026-08-11</t>
        </is>
      </c>
    </row>
    <row r="431">
      <c r="A431" s="5" t="n">
        <v>209</v>
      </c>
      <c r="B431" t="inlineStr">
        <is>
          <t>2864306439</t>
        </is>
      </c>
      <c r="C431" t="inlineStr">
        <is>
          <t>CПД ФО Уласевич Сергій Олександрович</t>
        </is>
      </c>
      <c r="D431" t="inlineStr"/>
      <c r="E431" s="5" t="n">
        <v>8</v>
      </c>
      <c r="F431" s="5" t="n">
        <v>8</v>
      </c>
      <c r="G431" s="13" t="n">
        <v>76928</v>
      </c>
      <c r="H431" s="12" t="n">
        <v>0.0005999999999999999</v>
      </c>
      <c r="I431" s="13" t="n">
        <v>9616</v>
      </c>
      <c r="J431" s="13" t="n">
        <v>6804</v>
      </c>
      <c r="K431" s="5" t="n">
        <v>4</v>
      </c>
      <c r="L431" s="5" t="n">
        <v>1</v>
      </c>
      <c r="M431" t="inlineStr">
        <is>
          <t>Комп’ютерне обладнання</t>
        </is>
      </c>
      <c r="N431" t="inlineStr">
        <is>
          <t>2025-09-23</t>
        </is>
      </c>
      <c r="O431" t="inlineStr">
        <is>
          <t>2026-08-20</t>
        </is>
      </c>
    </row>
    <row r="432">
      <c r="A432" s="5" t="n">
        <v>210</v>
      </c>
      <c r="B432" t="inlineStr">
        <is>
          <t>32881326</t>
        </is>
      </c>
      <c r="C432" t="inlineStr">
        <is>
          <t>ПП "КОМТЕХСЕРВІС"</t>
        </is>
      </c>
      <c r="D432" t="inlineStr"/>
      <c r="E432" s="5" t="n">
        <v>3</v>
      </c>
      <c r="F432" s="5" t="n">
        <v>3</v>
      </c>
      <c r="G432" s="13" t="n">
        <v>76857</v>
      </c>
      <c r="H432" s="12" t="n">
        <v>0.0005999999999999999</v>
      </c>
      <c r="I432" s="13" t="n">
        <v>25619</v>
      </c>
      <c r="J432" s="13" t="n">
        <v>37725</v>
      </c>
      <c r="K432" s="5" t="n">
        <v>2</v>
      </c>
      <c r="L432" s="5" t="n">
        <v>1</v>
      </c>
      <c r="M432" t="inlineStr">
        <is>
          <t>Комп’ютерне обладнання</t>
        </is>
      </c>
      <c r="N432" t="inlineStr">
        <is>
          <t>2025-10-17</t>
        </is>
      </c>
      <c r="O432" t="inlineStr">
        <is>
          <t>2026-06-11</t>
        </is>
      </c>
    </row>
    <row r="433">
      <c r="A433" s="5" t="n">
        <v>211</v>
      </c>
      <c r="B433" t="inlineStr">
        <is>
          <t>46184550</t>
        </is>
      </c>
      <c r="C433" t="inlineStr">
        <is>
          <t>ТОВ "КТС Бізнес"</t>
        </is>
      </c>
      <c r="D433" t="inlineStr"/>
      <c r="E433" s="5" t="n">
        <v>1</v>
      </c>
      <c r="F433" s="5" t="n">
        <v>1</v>
      </c>
      <c r="G433" s="13" t="n">
        <v>75960</v>
      </c>
      <c r="H433" s="12" t="n">
        <v>0.0005999999999999999</v>
      </c>
      <c r="I433" s="13" t="n">
        <v>75960</v>
      </c>
      <c r="J433" s="13" t="n">
        <v>75960</v>
      </c>
      <c r="K433" s="5" t="n">
        <v>1</v>
      </c>
      <c r="L433" s="5" t="n">
        <v>1</v>
      </c>
      <c r="M433" t="inlineStr">
        <is>
          <t>Комп’ютерне обладнання</t>
        </is>
      </c>
      <c r="N433" t="inlineStr">
        <is>
          <t>2026-08-26</t>
        </is>
      </c>
      <c r="O433" t="inlineStr">
        <is>
          <t>2026-08-26</t>
        </is>
      </c>
    </row>
    <row r="434">
      <c r="A434" s="5" t="n">
        <v>212</v>
      </c>
      <c r="B434" t="inlineStr">
        <is>
          <t>3434814354</t>
        </is>
      </c>
      <c r="C434" t="inlineStr">
        <is>
          <t>ФОП Романик Віктор Вікторович</t>
        </is>
      </c>
      <c r="D434" t="inlineStr"/>
      <c r="E434" s="5" t="n">
        <v>2</v>
      </c>
      <c r="F434" s="5" t="n">
        <v>2</v>
      </c>
      <c r="G434" s="13" t="n">
        <v>74416</v>
      </c>
      <c r="H434" s="12" t="n">
        <v>0.0005999999999999999</v>
      </c>
      <c r="I434" s="13" t="n">
        <v>37208</v>
      </c>
      <c r="J434" s="13" t="n">
        <v>37208</v>
      </c>
      <c r="K434" s="5" t="n">
        <v>1</v>
      </c>
      <c r="L434" s="5" t="n">
        <v>1</v>
      </c>
      <c r="M434" t="inlineStr">
        <is>
          <t>Комп’ютерне обладнання</t>
        </is>
      </c>
      <c r="N434" t="inlineStr">
        <is>
          <t>2025-09-16</t>
        </is>
      </c>
      <c r="O434" t="inlineStr">
        <is>
          <t>2026-07-02</t>
        </is>
      </c>
    </row>
    <row r="435">
      <c r="A435" s="5" t="n">
        <v>213</v>
      </c>
      <c r="B435" t="inlineStr">
        <is>
          <t>2978900762</t>
        </is>
      </c>
      <c r="C435" t="inlineStr">
        <is>
          <t>ФОП МІЩЕНКО ОЛЕНА АНАТОЛІЇВНА</t>
        </is>
      </c>
      <c r="D435" t="inlineStr"/>
      <c r="E435" s="5" t="n">
        <v>2</v>
      </c>
      <c r="F435" s="5" t="n">
        <v>2</v>
      </c>
      <c r="G435" s="13" t="n">
        <v>73558</v>
      </c>
      <c r="H435" s="12" t="n">
        <v>0.0005999999999999999</v>
      </c>
      <c r="I435" s="13" t="n">
        <v>36779</v>
      </c>
      <c r="J435" s="13" t="n">
        <v>36779</v>
      </c>
      <c r="K435" s="5" t="n">
        <v>1</v>
      </c>
      <c r="L435" s="5" t="n">
        <v>1</v>
      </c>
      <c r="M435" t="inlineStr">
        <is>
          <t>Комп’ютерне обладнання</t>
        </is>
      </c>
      <c r="N435" t="inlineStr">
        <is>
          <t>2025-11-12</t>
        </is>
      </c>
      <c r="O435" t="inlineStr">
        <is>
          <t>2026-04-02</t>
        </is>
      </c>
    </row>
    <row r="436">
      <c r="A436" s="5" t="n">
        <v>214</v>
      </c>
      <c r="B436" t="inlineStr">
        <is>
          <t>3447101710</t>
        </is>
      </c>
      <c r="C436" t="inlineStr">
        <is>
          <t>ФОП Виничук Артем Юрійович</t>
        </is>
      </c>
      <c r="D436" t="inlineStr"/>
      <c r="E436" s="5" t="n">
        <v>2</v>
      </c>
      <c r="F436" s="5" t="n">
        <v>2</v>
      </c>
      <c r="G436" s="13" t="n">
        <v>73002</v>
      </c>
      <c r="H436" s="12" t="n">
        <v>0.0005999999999999999</v>
      </c>
      <c r="I436" s="13" t="n">
        <v>36501</v>
      </c>
      <c r="J436" s="13" t="n">
        <v>36501</v>
      </c>
      <c r="K436" s="5" t="n">
        <v>2</v>
      </c>
      <c r="L436" s="5" t="n">
        <v>1</v>
      </c>
      <c r="M436" t="inlineStr">
        <is>
          <t>Машини для обробки даних (апаратна частина)</t>
        </is>
      </c>
      <c r="N436" t="inlineStr">
        <is>
          <t>2026-03-31</t>
        </is>
      </c>
      <c r="O436" t="inlineStr">
        <is>
          <t>2026-04-15</t>
        </is>
      </c>
    </row>
    <row r="437">
      <c r="A437" s="5" t="n">
        <v>215</v>
      </c>
      <c r="B437" t="inlineStr">
        <is>
          <t>3463605322</t>
        </is>
      </c>
      <c r="C437" t="inlineStr">
        <is>
          <t>ФОП «Самардак Василина Олегівна»</t>
        </is>
      </c>
      <c r="D437" t="inlineStr"/>
      <c r="E437" s="5" t="n">
        <v>30</v>
      </c>
      <c r="F437" s="5" t="n">
        <v>30</v>
      </c>
      <c r="G437" s="13" t="n">
        <v>71833</v>
      </c>
      <c r="H437" s="12" t="n">
        <v>0.0005999999999999999</v>
      </c>
      <c r="I437" s="13" t="n">
        <v>2394.43</v>
      </c>
      <c r="J437" s="13" t="n">
        <v>1655</v>
      </c>
      <c r="K437" s="5" t="n">
        <v>22</v>
      </c>
      <c r="L437" s="5" t="n">
        <v>1</v>
      </c>
      <c r="M437" t="inlineStr">
        <is>
          <t>Комп’ютерне обладнання</t>
        </is>
      </c>
      <c r="N437" t="inlineStr">
        <is>
          <t>2025-09-03</t>
        </is>
      </c>
      <c r="O437" t="inlineStr">
        <is>
          <t>2026-08-31</t>
        </is>
      </c>
    </row>
    <row r="438">
      <c r="A438" s="5" t="n">
        <v>216</v>
      </c>
      <c r="B438" t="inlineStr">
        <is>
          <t>2859811970</t>
        </is>
      </c>
      <c r="C438" t="inlineStr">
        <is>
          <t>РАБЧУК СЕРГІЙ ІВАНОВИЧ</t>
        </is>
      </c>
      <c r="D438" t="inlineStr"/>
      <c r="E438" s="5" t="n">
        <v>3</v>
      </c>
      <c r="F438" s="5" t="n">
        <v>3</v>
      </c>
      <c r="G438" s="13" t="n">
        <v>69000</v>
      </c>
      <c r="H438" s="12" t="n">
        <v>0.0005999999999999999</v>
      </c>
      <c r="I438" s="13" t="n">
        <v>23000</v>
      </c>
      <c r="J438" s="13" t="n">
        <v>21500</v>
      </c>
      <c r="K438" s="5" t="n">
        <v>1</v>
      </c>
      <c r="L438" s="5" t="n">
        <v>1</v>
      </c>
      <c r="M438" t="inlineStr">
        <is>
          <t>Машини для обробки даних (апаратна частина)</t>
        </is>
      </c>
      <c r="N438" t="inlineStr">
        <is>
          <t>2026-01-24</t>
        </is>
      </c>
      <c r="O438" t="inlineStr">
        <is>
          <t>2026-01-24</t>
        </is>
      </c>
    </row>
    <row r="439">
      <c r="A439" s="5" t="n">
        <v>217</v>
      </c>
      <c r="B439" t="inlineStr">
        <is>
          <t>3475603421</t>
        </is>
      </c>
      <c r="C439" t="inlineStr">
        <is>
          <t>ФОП Свищук Тетяна Павлівна</t>
        </is>
      </c>
      <c r="D439" t="inlineStr"/>
      <c r="E439" s="5" t="n">
        <v>8</v>
      </c>
      <c r="F439" s="5" t="n">
        <v>8</v>
      </c>
      <c r="G439" s="13" t="n">
        <v>68820</v>
      </c>
      <c r="H439" s="12" t="n">
        <v>0.0005999999999999999</v>
      </c>
      <c r="I439" s="13" t="n">
        <v>8602.5</v>
      </c>
      <c r="J439" s="13" t="n">
        <v>720</v>
      </c>
      <c r="K439" s="5" t="n">
        <v>4</v>
      </c>
      <c r="L439" s="5" t="n">
        <v>1</v>
      </c>
      <c r="M439" t="inlineStr">
        <is>
          <t>Машини для обробки даних (апаратна частина)</t>
        </is>
      </c>
      <c r="N439" t="inlineStr">
        <is>
          <t>2025-10-24</t>
        </is>
      </c>
      <c r="O439" t="inlineStr">
        <is>
          <t>2026-07-23</t>
        </is>
      </c>
    </row>
    <row r="440">
      <c r="A440" s="5" t="n">
        <v>218</v>
      </c>
      <c r="B440" t="inlineStr">
        <is>
          <t>1526207145</t>
        </is>
      </c>
      <c r="C440" t="inlineStr">
        <is>
          <t>ГАЛКІНА ТАМАРА ІВАНІВНА</t>
        </is>
      </c>
      <c r="D440" t="inlineStr"/>
      <c r="E440" s="5" t="n">
        <v>1</v>
      </c>
      <c r="F440" s="5" t="n">
        <v>1</v>
      </c>
      <c r="G440" s="13" t="n">
        <v>68580</v>
      </c>
      <c r="H440" s="12" t="n">
        <v>0.0005999999999999999</v>
      </c>
      <c r="I440" s="13" t="n">
        <v>68580</v>
      </c>
      <c r="J440" s="13" t="n">
        <v>68580</v>
      </c>
      <c r="K440" s="5" t="n">
        <v>1</v>
      </c>
      <c r="L440" s="5" t="n">
        <v>1</v>
      </c>
      <c r="M440" t="inlineStr">
        <is>
          <t>Комп’ютерне обладнання</t>
        </is>
      </c>
      <c r="N440" t="inlineStr">
        <is>
          <t>2026-05-11</t>
        </is>
      </c>
      <c r="O440" t="inlineStr">
        <is>
          <t>2026-05-11</t>
        </is>
      </c>
    </row>
    <row r="441">
      <c r="A441" s="5" t="n">
        <v>219</v>
      </c>
      <c r="B441" t="inlineStr">
        <is>
          <t>3247807260</t>
        </is>
      </c>
      <c r="C441" t="inlineStr">
        <is>
          <t>ПАСІЧКО ГАЛИНА ПЕТРІВНА</t>
        </is>
      </c>
      <c r="D441" t="inlineStr"/>
      <c r="E441" s="5" t="n">
        <v>4</v>
      </c>
      <c r="F441" s="5" t="n">
        <v>4</v>
      </c>
      <c r="G441" s="13" t="n">
        <v>68546</v>
      </c>
      <c r="H441" s="12" t="n">
        <v>0.0005999999999999999</v>
      </c>
      <c r="I441" s="13" t="n">
        <v>17136.5</v>
      </c>
      <c r="J441" s="13" t="n">
        <v>13328</v>
      </c>
      <c r="K441" s="5" t="n">
        <v>3</v>
      </c>
      <c r="L441" s="5" t="n">
        <v>1</v>
      </c>
      <c r="M441" t="inlineStr">
        <is>
          <t>Машини для обробки даних (апаратна частина)</t>
        </is>
      </c>
      <c r="N441" t="inlineStr">
        <is>
          <t>2025-10-06</t>
        </is>
      </c>
      <c r="O441" t="inlineStr">
        <is>
          <t>2025-12-11</t>
        </is>
      </c>
    </row>
    <row r="442">
      <c r="A442" s="5" t="n">
        <v>220</v>
      </c>
      <c r="B442" t="inlineStr">
        <is>
          <t>3333009088</t>
        </is>
      </c>
      <c r="C442" t="inlineStr">
        <is>
          <t>КЛЕЙМЕНОВА ВІКТОРІЯ ОЛЕКСІЇВНА</t>
        </is>
      </c>
      <c r="D442" t="inlineStr"/>
      <c r="E442" s="5" t="n">
        <v>3</v>
      </c>
      <c r="F442" s="5" t="n">
        <v>3</v>
      </c>
      <c r="G442" s="13" t="n">
        <v>68400</v>
      </c>
      <c r="H442" s="12" t="n">
        <v>0.0005999999999999999</v>
      </c>
      <c r="I442" s="13" t="n">
        <v>22800</v>
      </c>
      <c r="J442" s="13" t="n">
        <v>19200</v>
      </c>
      <c r="K442" s="5" t="n">
        <v>1</v>
      </c>
      <c r="L442" s="5" t="n">
        <v>1</v>
      </c>
      <c r="M442" t="inlineStr">
        <is>
          <t>Комп’ютерне обладнання</t>
        </is>
      </c>
      <c r="N442" t="inlineStr">
        <is>
          <t>2026-06-16</t>
        </is>
      </c>
      <c r="O442" t="inlineStr">
        <is>
          <t>2026-06-16</t>
        </is>
      </c>
    </row>
    <row r="443">
      <c r="A443" s="5" t="n">
        <v>221</v>
      </c>
      <c r="B443" t="inlineStr">
        <is>
          <t>3626907460</t>
        </is>
      </c>
      <c r="C443" t="inlineStr">
        <is>
          <t>ФОП "Приступа Єлизавета Борисівна"</t>
        </is>
      </c>
      <c r="D443" t="inlineStr"/>
      <c r="E443" s="5" t="n">
        <v>2</v>
      </c>
      <c r="F443" s="5" t="n">
        <v>2</v>
      </c>
      <c r="G443" s="13" t="n">
        <v>68216</v>
      </c>
      <c r="H443" s="12" t="n">
        <v>0.0005999999999999999</v>
      </c>
      <c r="I443" s="13" t="n">
        <v>34108</v>
      </c>
      <c r="J443" s="13" t="n">
        <v>34108</v>
      </c>
      <c r="K443" s="5" t="n">
        <v>2</v>
      </c>
      <c r="L443" s="5" t="n">
        <v>1</v>
      </c>
      <c r="M443" t="inlineStr">
        <is>
          <t>Машини для обробки даних (апаратна частина)</t>
        </is>
      </c>
      <c r="N443" t="inlineStr">
        <is>
          <t>2025-12-03</t>
        </is>
      </c>
      <c r="O443" t="inlineStr">
        <is>
          <t>2025-12-12</t>
        </is>
      </c>
    </row>
    <row r="444">
      <c r="A444" s="5" t="n">
        <v>222</v>
      </c>
      <c r="B444" t="inlineStr">
        <is>
          <t>36962487</t>
        </is>
      </c>
      <c r="C444" t="inlineStr">
        <is>
          <t>ТОВ "КОМФІ ТРЕЙД"</t>
        </is>
      </c>
      <c r="D444" t="inlineStr"/>
      <c r="E444" s="5" t="n">
        <v>4</v>
      </c>
      <c r="F444" s="5" t="n">
        <v>4</v>
      </c>
      <c r="G444" s="13" t="n">
        <v>66445</v>
      </c>
      <c r="H444" s="12" t="n">
        <v>0.0005999999999999999</v>
      </c>
      <c r="I444" s="13" t="n">
        <v>16611.25</v>
      </c>
      <c r="J444" s="13" t="n">
        <v>14478.5</v>
      </c>
      <c r="K444" s="5" t="n">
        <v>3</v>
      </c>
      <c r="L444" s="5" t="n">
        <v>1</v>
      </c>
      <c r="M444" t="inlineStr">
        <is>
          <t>Комп’ютерне обладнання</t>
        </is>
      </c>
      <c r="N444" t="inlineStr">
        <is>
          <t>2025-10-13</t>
        </is>
      </c>
      <c r="O444" t="inlineStr">
        <is>
          <t>2026-03-16</t>
        </is>
      </c>
    </row>
    <row r="445">
      <c r="A445" s="5" t="n">
        <v>223</v>
      </c>
      <c r="B445" t="inlineStr">
        <is>
          <t>3383703724</t>
        </is>
      </c>
      <c r="C445" t="inlineStr">
        <is>
          <t>ФОП "Чернявська Анастасія Юріївна"</t>
        </is>
      </c>
      <c r="D445" t="inlineStr"/>
      <c r="E445" s="5" t="n">
        <v>2</v>
      </c>
      <c r="F445" s="5" t="n">
        <v>2</v>
      </c>
      <c r="G445" s="13" t="n">
        <v>65000</v>
      </c>
      <c r="H445" s="12" t="n">
        <v>0.0005</v>
      </c>
      <c r="I445" s="13" t="n">
        <v>32500</v>
      </c>
      <c r="J445" s="13" t="n">
        <v>32500</v>
      </c>
      <c r="K445" s="5" t="n">
        <v>2</v>
      </c>
      <c r="L445" s="5" t="n">
        <v>1</v>
      </c>
      <c r="M445" t="inlineStr">
        <is>
          <t>Машини для обробки даних (апаратна частина)</t>
        </is>
      </c>
      <c r="N445" t="inlineStr">
        <is>
          <t>2025-10-27</t>
        </is>
      </c>
      <c r="O445" t="inlineStr">
        <is>
          <t>2025-11-21</t>
        </is>
      </c>
    </row>
    <row r="446">
      <c r="A446" s="5" t="n">
        <v>224</v>
      </c>
      <c r="B446" t="inlineStr">
        <is>
          <t>35353622</t>
        </is>
      </c>
      <c r="C446" t="inlineStr">
        <is>
          <t>ТОВ" Бізнес.Інформ.Консалтинг"</t>
        </is>
      </c>
      <c r="D446" t="inlineStr"/>
      <c r="E446" s="5" t="n">
        <v>2</v>
      </c>
      <c r="F446" s="5" t="n">
        <v>2</v>
      </c>
      <c r="G446" s="13" t="n">
        <v>63962</v>
      </c>
      <c r="H446" s="12" t="n">
        <v>0.0005</v>
      </c>
      <c r="I446" s="13" t="n">
        <v>31981</v>
      </c>
      <c r="J446" s="13" t="n">
        <v>31981</v>
      </c>
      <c r="K446" s="5" t="n">
        <v>1</v>
      </c>
      <c r="L446" s="5" t="n">
        <v>1</v>
      </c>
      <c r="M446" t="inlineStr">
        <is>
          <t>Комп’ютерне обладнання</t>
        </is>
      </c>
      <c r="N446" t="inlineStr">
        <is>
          <t>2026-02-09</t>
        </is>
      </c>
      <c r="O446" t="inlineStr">
        <is>
          <t>2026-02-09</t>
        </is>
      </c>
    </row>
    <row r="447">
      <c r="A447" s="5" t="n">
        <v>225</v>
      </c>
      <c r="B447" t="inlineStr">
        <is>
          <t>2377111025</t>
        </is>
      </c>
      <c r="C447" t="inlineStr">
        <is>
          <t>ФОП "Кізима Олександра Ярославівна"</t>
        </is>
      </c>
      <c r="D447" t="inlineStr"/>
      <c r="E447" s="5" t="n">
        <v>1</v>
      </c>
      <c r="F447" s="5" t="n">
        <v>1</v>
      </c>
      <c r="G447" s="13" t="n">
        <v>63630</v>
      </c>
      <c r="H447" s="12" t="n">
        <v>0.0005</v>
      </c>
      <c r="I447" s="13" t="n">
        <v>63630</v>
      </c>
      <c r="J447" s="13" t="n">
        <v>63630</v>
      </c>
      <c r="K447" s="5" t="n">
        <v>1</v>
      </c>
      <c r="L447" s="5" t="n">
        <v>1</v>
      </c>
      <c r="M447" t="inlineStr">
        <is>
          <t>Комп’ютерне обладнання</t>
        </is>
      </c>
      <c r="N447" t="inlineStr">
        <is>
          <t>2026-02-20</t>
        </is>
      </c>
      <c r="O447" t="inlineStr">
        <is>
          <t>2026-02-20</t>
        </is>
      </c>
    </row>
    <row r="448">
      <c r="A448" s="5" t="n">
        <v>226</v>
      </c>
      <c r="B448" t="inlineStr">
        <is>
          <t>2716515197</t>
        </is>
      </c>
      <c r="C448" t="inlineStr">
        <is>
          <t>ФОп Студинський Юрій Ярославович</t>
        </is>
      </c>
      <c r="D448" t="inlineStr"/>
      <c r="E448" s="5" t="n">
        <v>10</v>
      </c>
      <c r="F448" s="5" t="n">
        <v>10</v>
      </c>
      <c r="G448" s="13" t="n">
        <v>63580.91</v>
      </c>
      <c r="H448" s="12" t="n">
        <v>0.0005</v>
      </c>
      <c r="I448" s="13" t="n">
        <v>6358.09</v>
      </c>
      <c r="J448" s="13" t="n">
        <v>1950</v>
      </c>
      <c r="K448" s="5" t="n">
        <v>7</v>
      </c>
      <c r="L448" s="5" t="n">
        <v>1</v>
      </c>
      <c r="M448" t="inlineStr">
        <is>
          <t>Комп’ютерне обладнання</t>
        </is>
      </c>
      <c r="N448" t="inlineStr">
        <is>
          <t>2025-09-10</t>
        </is>
      </c>
      <c r="O448" t="inlineStr">
        <is>
          <t>2026-08-07</t>
        </is>
      </c>
    </row>
    <row r="449">
      <c r="A449" s="5" t="n">
        <v>227</v>
      </c>
      <c r="B449" t="inlineStr">
        <is>
          <t>3169808300</t>
        </is>
      </c>
      <c r="C449" t="inlineStr">
        <is>
          <t>ФОП ЛІТКОВИЧ АЛЛА ГРИГОРІВНА</t>
        </is>
      </c>
      <c r="D449" t="inlineStr"/>
      <c r="E449" s="5" t="n">
        <v>12</v>
      </c>
      <c r="F449" s="5" t="n">
        <v>12</v>
      </c>
      <c r="G449" s="13" t="n">
        <v>62084.97</v>
      </c>
      <c r="H449" s="12" t="n">
        <v>0.0005</v>
      </c>
      <c r="I449" s="13" t="n">
        <v>5173.75</v>
      </c>
      <c r="J449" s="13" t="n">
        <v>749.85</v>
      </c>
      <c r="K449" s="5" t="n">
        <v>10</v>
      </c>
      <c r="L449" s="5" t="n">
        <v>1</v>
      </c>
      <c r="M449" t="inlineStr">
        <is>
          <t>Машини для обробки даних (апаратна частина)</t>
        </is>
      </c>
      <c r="N449" t="inlineStr">
        <is>
          <t>2025-10-28</t>
        </is>
      </c>
      <c r="O449" t="inlineStr">
        <is>
          <t>2026-08-17</t>
        </is>
      </c>
    </row>
    <row r="450">
      <c r="A450" s="5" t="n">
        <v>228</v>
      </c>
      <c r="B450" t="inlineStr">
        <is>
          <t>2469420934</t>
        </is>
      </c>
      <c r="C450" t="inlineStr">
        <is>
          <t>КІСЕЛЬОВ ВЯЧЕСЛАВ ЛЬВОВИЧ</t>
        </is>
      </c>
      <c r="D450" t="inlineStr"/>
      <c r="E450" s="5" t="n">
        <v>3</v>
      </c>
      <c r="F450" s="5" t="n">
        <v>3</v>
      </c>
      <c r="G450" s="13" t="n">
        <v>61179</v>
      </c>
      <c r="H450" s="12" t="n">
        <v>0.0005</v>
      </c>
      <c r="I450" s="13" t="n">
        <v>20393</v>
      </c>
      <c r="J450" s="13" t="n">
        <v>9305</v>
      </c>
      <c r="K450" s="5" t="n">
        <v>3</v>
      </c>
      <c r="L450" s="5" t="n">
        <v>1</v>
      </c>
      <c r="M450" t="inlineStr">
        <is>
          <t>Комп’ютерне обладнання</t>
        </is>
      </c>
      <c r="N450" t="inlineStr">
        <is>
          <t>2025-12-11</t>
        </is>
      </c>
      <c r="O450" t="inlineStr">
        <is>
          <t>2026-05-29</t>
        </is>
      </c>
    </row>
    <row r="451">
      <c r="A451" s="5" t="n">
        <v>229</v>
      </c>
      <c r="B451" t="inlineStr">
        <is>
          <t>2272813578</t>
        </is>
      </c>
      <c r="C451" t="inlineStr">
        <is>
          <t>Кучер Борис Борисович</t>
        </is>
      </c>
      <c r="D451" t="inlineStr"/>
      <c r="E451" s="5" t="n">
        <v>1</v>
      </c>
      <c r="F451" s="5" t="n">
        <v>1</v>
      </c>
      <c r="G451" s="13" t="n">
        <v>59700</v>
      </c>
      <c r="H451" s="12" t="n">
        <v>0.0005</v>
      </c>
      <c r="I451" s="13" t="n">
        <v>59700</v>
      </c>
      <c r="J451" s="13" t="n">
        <v>59700</v>
      </c>
      <c r="K451" s="5" t="n">
        <v>1</v>
      </c>
      <c r="L451" s="5" t="n">
        <v>1</v>
      </c>
      <c r="M451" t="inlineStr">
        <is>
          <t>Комп’ютерне обладнання</t>
        </is>
      </c>
      <c r="N451" t="inlineStr">
        <is>
          <t>2025-12-18</t>
        </is>
      </c>
      <c r="O451" t="inlineStr">
        <is>
          <t>2025-12-18</t>
        </is>
      </c>
    </row>
    <row r="452">
      <c r="A452" s="5" t="n">
        <v>230</v>
      </c>
      <c r="B452" t="inlineStr">
        <is>
          <t>3145508140</t>
        </is>
      </c>
      <c r="C452" t="inlineStr">
        <is>
          <t>ФОП "Слободенюк Катерина Леонідівна"</t>
        </is>
      </c>
      <c r="D452" t="inlineStr"/>
      <c r="E452" s="5" t="n">
        <v>1</v>
      </c>
      <c r="F452" s="5" t="n">
        <v>1</v>
      </c>
      <c r="G452" s="13" t="n">
        <v>56986</v>
      </c>
      <c r="H452" s="12" t="n">
        <v>0.0005</v>
      </c>
      <c r="I452" s="13" t="n">
        <v>56986</v>
      </c>
      <c r="J452" s="13" t="n">
        <v>56986</v>
      </c>
      <c r="K452" s="5" t="n">
        <v>1</v>
      </c>
      <c r="L452" s="5" t="n">
        <v>1</v>
      </c>
      <c r="M452" t="inlineStr">
        <is>
          <t>Машини для обробки даних (апаратна частина)</t>
        </is>
      </c>
      <c r="N452" t="inlineStr">
        <is>
          <t>2026-08-06</t>
        </is>
      </c>
      <c r="O452" t="inlineStr">
        <is>
          <t>2026-08-06</t>
        </is>
      </c>
    </row>
    <row r="453">
      <c r="A453" s="5" t="n">
        <v>231</v>
      </c>
      <c r="B453" t="inlineStr">
        <is>
          <t>42472703</t>
        </is>
      </c>
      <c r="C453" t="inlineStr">
        <is>
          <t>ТОВ "ОЛЛ-ІТ"</t>
        </is>
      </c>
      <c r="D453" t="inlineStr"/>
      <c r="E453" s="5" t="n">
        <v>4</v>
      </c>
      <c r="F453" s="5" t="n">
        <v>4</v>
      </c>
      <c r="G453" s="13" t="n">
        <v>56340</v>
      </c>
      <c r="H453" s="12" t="n">
        <v>0.0005</v>
      </c>
      <c r="I453" s="13" t="n">
        <v>14085</v>
      </c>
      <c r="J453" s="13" t="n">
        <v>14850</v>
      </c>
      <c r="K453" s="5" t="n">
        <v>2</v>
      </c>
      <c r="L453" s="5" t="n">
        <v>1</v>
      </c>
      <c r="M453" t="inlineStr">
        <is>
          <t>Комп’ютерне обладнання</t>
        </is>
      </c>
      <c r="N453" t="inlineStr">
        <is>
          <t>2026-02-19</t>
        </is>
      </c>
      <c r="O453" t="inlineStr">
        <is>
          <t>2026-03-31</t>
        </is>
      </c>
    </row>
    <row r="454">
      <c r="A454" s="5" t="n">
        <v>232</v>
      </c>
      <c r="B454" t="inlineStr">
        <is>
          <t>38502019</t>
        </is>
      </c>
      <c r="C454" t="inlineStr">
        <is>
          <t>ТзОВ "НЕО-ІТ"</t>
        </is>
      </c>
      <c r="D454" t="inlineStr"/>
      <c r="E454" s="5" t="n">
        <v>2</v>
      </c>
      <c r="F454" s="5" t="n">
        <v>2</v>
      </c>
      <c r="G454" s="13" t="n">
        <v>54000</v>
      </c>
      <c r="H454" s="12" t="n">
        <v>0.0005</v>
      </c>
      <c r="I454" s="13" t="n">
        <v>27000</v>
      </c>
      <c r="J454" s="13" t="n">
        <v>27000</v>
      </c>
      <c r="K454" s="5" t="n">
        <v>1</v>
      </c>
      <c r="L454" s="5" t="n">
        <v>1</v>
      </c>
      <c r="M454" t="inlineStr">
        <is>
          <t>Машини для обробки даних (апаратна частина)</t>
        </is>
      </c>
      <c r="N454" t="inlineStr">
        <is>
          <t>2026-04-09</t>
        </is>
      </c>
      <c r="O454" t="inlineStr">
        <is>
          <t>2026-04-09</t>
        </is>
      </c>
    </row>
    <row r="455">
      <c r="A455" s="5" t="n">
        <v>233</v>
      </c>
      <c r="B455" t="inlineStr">
        <is>
          <t>3612006961</t>
        </is>
      </c>
      <c r="C455" t="inlineStr">
        <is>
          <t>МИХАЙЛЮК МАРІЯ ІВАНІВНА</t>
        </is>
      </c>
      <c r="D455" t="inlineStr"/>
      <c r="E455" s="5" t="n">
        <v>1</v>
      </c>
      <c r="F455" s="5" t="n">
        <v>1</v>
      </c>
      <c r="G455" s="13" t="n">
        <v>53700</v>
      </c>
      <c r="H455" s="12" t="n">
        <v>0.0005</v>
      </c>
      <c r="I455" s="13" t="n">
        <v>53700</v>
      </c>
      <c r="J455" s="13" t="n">
        <v>53700</v>
      </c>
      <c r="K455" s="5" t="n">
        <v>1</v>
      </c>
      <c r="L455" s="5" t="n">
        <v>1</v>
      </c>
      <c r="M455" t="inlineStr">
        <is>
          <t>Машини для обробки даних (апаратна частина)</t>
        </is>
      </c>
      <c r="N455" t="inlineStr">
        <is>
          <t>2025-12-18</t>
        </is>
      </c>
      <c r="O455" t="inlineStr">
        <is>
          <t>2025-12-18</t>
        </is>
      </c>
    </row>
    <row r="456">
      <c r="A456" s="5" t="n">
        <v>234</v>
      </c>
      <c r="B456" t="inlineStr">
        <is>
          <t>2801303990</t>
        </is>
      </c>
      <c r="C456" t="inlineStr">
        <is>
          <t>ФОП Кукатов Віталій Юрійович</t>
        </is>
      </c>
      <c r="D456" t="inlineStr"/>
      <c r="E456" s="5" t="n">
        <v>4</v>
      </c>
      <c r="F456" s="5" t="n">
        <v>4</v>
      </c>
      <c r="G456" s="13" t="n">
        <v>51155</v>
      </c>
      <c r="H456" s="12" t="n">
        <v>0.0004</v>
      </c>
      <c r="I456" s="13" t="n">
        <v>12788.75</v>
      </c>
      <c r="J456" s="13" t="n">
        <v>10115</v>
      </c>
      <c r="K456" s="5" t="n">
        <v>2</v>
      </c>
      <c r="L456" s="5" t="n">
        <v>1</v>
      </c>
      <c r="M456" t="inlineStr">
        <is>
          <t>Комп’ютерне обладнання</t>
        </is>
      </c>
      <c r="N456" t="inlineStr">
        <is>
          <t>2026-05-11</t>
        </is>
      </c>
      <c r="O456" t="inlineStr">
        <is>
          <t>2026-07-10</t>
        </is>
      </c>
    </row>
    <row r="457">
      <c r="A457" s="5" t="n">
        <v>235</v>
      </c>
      <c r="B457" t="inlineStr">
        <is>
          <t>2161517020</t>
        </is>
      </c>
      <c r="C457" t="inlineStr">
        <is>
          <t>ФОП Висоцька Марія Анатоліївна</t>
        </is>
      </c>
      <c r="D457" t="inlineStr"/>
      <c r="E457" s="5" t="n">
        <v>1</v>
      </c>
      <c r="F457" s="5" t="n">
        <v>1</v>
      </c>
      <c r="G457" s="13" t="n">
        <v>51030</v>
      </c>
      <c r="H457" s="12" t="n">
        <v>0.0004</v>
      </c>
      <c r="I457" s="13" t="n">
        <v>51030</v>
      </c>
      <c r="J457" s="13" t="n">
        <v>51030</v>
      </c>
      <c r="K457" s="5" t="n">
        <v>1</v>
      </c>
      <c r="L457" s="5" t="n">
        <v>1</v>
      </c>
      <c r="M457" t="inlineStr">
        <is>
          <t>Комп’ютерне обладнання</t>
        </is>
      </c>
      <c r="N457" t="inlineStr">
        <is>
          <t>2026-04-07</t>
        </is>
      </c>
      <c r="O457" t="inlineStr">
        <is>
          <t>2026-04-07</t>
        </is>
      </c>
    </row>
    <row r="458">
      <c r="A458" s="5" t="n">
        <v>236</v>
      </c>
      <c r="B458" t="inlineStr">
        <is>
          <t>3536905721</t>
        </is>
      </c>
      <c r="C458" t="inlineStr">
        <is>
          <t>ФОП "Вудвуд Марина Іванівна"</t>
        </is>
      </c>
      <c r="D458" t="inlineStr"/>
      <c r="E458" s="5" t="n">
        <v>1</v>
      </c>
      <c r="F458" s="5" t="n">
        <v>1</v>
      </c>
      <c r="G458" s="13" t="n">
        <v>50100</v>
      </c>
      <c r="H458" s="12" t="n">
        <v>0.0004</v>
      </c>
      <c r="I458" s="13" t="n">
        <v>50100</v>
      </c>
      <c r="J458" s="13" t="n">
        <v>50100</v>
      </c>
      <c r="K458" s="5" t="n">
        <v>1</v>
      </c>
      <c r="L458" s="5" t="n">
        <v>1</v>
      </c>
      <c r="M458" t="inlineStr">
        <is>
          <t>Машини для обробки даних (апаратна частина)</t>
        </is>
      </c>
      <c r="N458" t="inlineStr">
        <is>
          <t>2025-10-23</t>
        </is>
      </c>
      <c r="O458" t="inlineStr">
        <is>
          <t>2025-10-23</t>
        </is>
      </c>
    </row>
    <row r="459">
      <c r="A459" s="5" t="n">
        <v>237</v>
      </c>
      <c r="B459" t="inlineStr">
        <is>
          <t>2852108127</t>
        </is>
      </c>
      <c r="C459" t="inlineStr">
        <is>
          <t>ДМИТРУК ЖАННА АНАТОЛІЇВНА</t>
        </is>
      </c>
      <c r="D459" t="inlineStr"/>
      <c r="E459" s="5" t="n">
        <v>1</v>
      </c>
      <c r="F459" s="5" t="n">
        <v>1</v>
      </c>
      <c r="G459" s="13" t="n">
        <v>50000</v>
      </c>
      <c r="H459" s="12" t="n">
        <v>0.0004</v>
      </c>
      <c r="I459" s="13" t="n">
        <v>50000</v>
      </c>
      <c r="J459" s="13" t="n">
        <v>50000</v>
      </c>
      <c r="K459" s="5" t="n">
        <v>1</v>
      </c>
      <c r="L459" s="5" t="n">
        <v>1</v>
      </c>
      <c r="M459" t="inlineStr">
        <is>
          <t>Машини для обробки даних (апаратна частина)</t>
        </is>
      </c>
      <c r="N459" t="inlineStr">
        <is>
          <t>2026-06-04</t>
        </is>
      </c>
      <c r="O459" t="inlineStr">
        <is>
          <t>2026-06-04</t>
        </is>
      </c>
    </row>
    <row r="460">
      <c r="A460" s="5" t="n">
        <v>238</v>
      </c>
      <c r="B460" t="inlineStr">
        <is>
          <t>3787910462</t>
        </is>
      </c>
      <c r="C460" t="inlineStr">
        <is>
          <t>ФОП "Галушкіна Вероніка Денисівна"</t>
        </is>
      </c>
      <c r="D460" t="inlineStr"/>
      <c r="E460" s="5" t="n">
        <v>1</v>
      </c>
      <c r="F460" s="5" t="n">
        <v>1</v>
      </c>
      <c r="G460" s="13" t="n">
        <v>50000</v>
      </c>
      <c r="H460" s="12" t="n">
        <v>0.0004</v>
      </c>
      <c r="I460" s="13" t="n">
        <v>50000</v>
      </c>
      <c r="J460" s="13" t="n">
        <v>50000</v>
      </c>
      <c r="K460" s="5" t="n">
        <v>1</v>
      </c>
      <c r="L460" s="5" t="n">
        <v>1</v>
      </c>
      <c r="M460" t="inlineStr">
        <is>
          <t>Машини для обробки даних (апаратна частина)</t>
        </is>
      </c>
      <c r="N460" t="inlineStr">
        <is>
          <t>2026-04-07</t>
        </is>
      </c>
      <c r="O460" t="inlineStr">
        <is>
          <t>2026-04-07</t>
        </is>
      </c>
    </row>
    <row r="461">
      <c r="A461" s="5" t="n">
        <v>239</v>
      </c>
      <c r="B461" t="inlineStr">
        <is>
          <t>3663107736</t>
        </is>
      </c>
      <c r="C461" t="inlineStr">
        <is>
          <t>ФОП Мороз Вадим Володимирович</t>
        </is>
      </c>
      <c r="D461" t="inlineStr"/>
      <c r="E461" s="5" t="n">
        <v>1</v>
      </c>
      <c r="F461" s="5" t="n">
        <v>1</v>
      </c>
      <c r="G461" s="13" t="n">
        <v>49999</v>
      </c>
      <c r="H461" s="12" t="n">
        <v>0.0004</v>
      </c>
      <c r="I461" s="13" t="n">
        <v>49999</v>
      </c>
      <c r="J461" s="13" t="n">
        <v>49999</v>
      </c>
      <c r="K461" s="5" t="n">
        <v>1</v>
      </c>
      <c r="L461" s="5" t="n">
        <v>1</v>
      </c>
      <c r="M461" t="inlineStr">
        <is>
          <t>Машини для обробки даних (апаратна частина)</t>
        </is>
      </c>
      <c r="N461" t="inlineStr">
        <is>
          <t>2026-05-05</t>
        </is>
      </c>
      <c r="O461" t="inlineStr">
        <is>
          <t>2026-05-05</t>
        </is>
      </c>
    </row>
    <row r="462">
      <c r="A462" s="5" t="n">
        <v>240</v>
      </c>
      <c r="B462" t="inlineStr">
        <is>
          <t>2777814049</t>
        </is>
      </c>
      <c r="C462" t="inlineStr">
        <is>
          <t>ФОП Цяк Наталія Генадіївна</t>
        </is>
      </c>
      <c r="D462" t="inlineStr"/>
      <c r="E462" s="5" t="n">
        <v>1</v>
      </c>
      <c r="F462" s="5" t="n">
        <v>1</v>
      </c>
      <c r="G462" s="13" t="n">
        <v>49900</v>
      </c>
      <c r="H462" s="12" t="n">
        <v>0.0004</v>
      </c>
      <c r="I462" s="13" t="n">
        <v>49900</v>
      </c>
      <c r="J462" s="13" t="n">
        <v>49900</v>
      </c>
      <c r="K462" s="5" t="n">
        <v>1</v>
      </c>
      <c r="L462" s="5" t="n">
        <v>1</v>
      </c>
      <c r="M462" t="inlineStr">
        <is>
          <t>Комп’ютерне обладнання</t>
        </is>
      </c>
      <c r="N462" t="inlineStr">
        <is>
          <t>2026-02-26</t>
        </is>
      </c>
      <c r="O462" t="inlineStr">
        <is>
          <t>2026-02-26</t>
        </is>
      </c>
    </row>
    <row r="463">
      <c r="A463" s="5" t="n">
        <v>241</v>
      </c>
      <c r="B463" t="inlineStr">
        <is>
          <t>3527210851</t>
        </is>
      </c>
      <c r="C463" t="inlineStr">
        <is>
          <t>ФОП Остапук Андрій Володимирович</t>
        </is>
      </c>
      <c r="D463" t="inlineStr"/>
      <c r="E463" s="5" t="n">
        <v>2</v>
      </c>
      <c r="F463" s="5" t="n">
        <v>2</v>
      </c>
      <c r="G463" s="13" t="n">
        <v>49550</v>
      </c>
      <c r="H463" s="12" t="n">
        <v>0.0004</v>
      </c>
      <c r="I463" s="13" t="n">
        <v>24775</v>
      </c>
      <c r="J463" s="13" t="n">
        <v>24775</v>
      </c>
      <c r="K463" s="5" t="n">
        <v>1</v>
      </c>
      <c r="L463" s="5" t="n">
        <v>1</v>
      </c>
      <c r="M463" t="inlineStr">
        <is>
          <t>Машини для обробки даних (апаратна частина)</t>
        </is>
      </c>
      <c r="N463" t="inlineStr">
        <is>
          <t>2026-03-30</t>
        </is>
      </c>
      <c r="O463" t="inlineStr">
        <is>
          <t>2026-03-30</t>
        </is>
      </c>
    </row>
    <row r="464">
      <c r="A464" s="5" t="n">
        <v>242</v>
      </c>
      <c r="B464" t="inlineStr">
        <is>
          <t>36639379</t>
        </is>
      </c>
      <c r="C464" t="inlineStr">
        <is>
          <t>ТОВ "ДНІПРОБІЗНЕСКОНСАЛТИНГ"</t>
        </is>
      </c>
      <c r="D464" t="inlineStr"/>
      <c r="E464" s="5" t="n">
        <v>1</v>
      </c>
      <c r="F464" s="5" t="n">
        <v>1</v>
      </c>
      <c r="G464" s="13" t="n">
        <v>46700</v>
      </c>
      <c r="H464" s="12" t="n">
        <v>0.0004</v>
      </c>
      <c r="I464" s="13" t="n">
        <v>46700</v>
      </c>
      <c r="J464" s="13" t="n">
        <v>46700</v>
      </c>
      <c r="K464" s="5" t="n">
        <v>1</v>
      </c>
      <c r="L464" s="5" t="n">
        <v>1</v>
      </c>
      <c r="M464" t="inlineStr">
        <is>
          <t>Комп’ютерне обладнання</t>
        </is>
      </c>
      <c r="N464" t="inlineStr">
        <is>
          <t>2026-07-23</t>
        </is>
      </c>
      <c r="O464" t="inlineStr">
        <is>
          <t>2026-07-23</t>
        </is>
      </c>
    </row>
    <row r="465">
      <c r="A465" s="5" t="n">
        <v>243</v>
      </c>
      <c r="B465" t="inlineStr">
        <is>
          <t>44881790</t>
        </is>
      </c>
      <c r="C465" t="inlineStr">
        <is>
          <t>ТОВ «ВИРОБНИЧО-ТЕХНІЧНЕ ПІДПРИЄМСТВО «МЕТАЛОКОНСТРУКЦІЯ»</t>
        </is>
      </c>
      <c r="D465" t="inlineStr"/>
      <c r="E465" s="5" t="n">
        <v>1</v>
      </c>
      <c r="F465" s="5" t="n">
        <v>1</v>
      </c>
      <c r="G465" s="13" t="n">
        <v>46500</v>
      </c>
      <c r="H465" s="12" t="n">
        <v>0.0004</v>
      </c>
      <c r="I465" s="13" t="n">
        <v>46500</v>
      </c>
      <c r="J465" s="13" t="n">
        <v>46500</v>
      </c>
      <c r="K465" s="5" t="n">
        <v>1</v>
      </c>
      <c r="L465" s="5" t="n">
        <v>1</v>
      </c>
      <c r="M465" t="inlineStr">
        <is>
          <t>Машини для обробки даних (апаратна частина)</t>
        </is>
      </c>
      <c r="N465" t="inlineStr">
        <is>
          <t>2026-08-17</t>
        </is>
      </c>
      <c r="O465" t="inlineStr">
        <is>
          <t>2026-08-17</t>
        </is>
      </c>
    </row>
    <row r="466">
      <c r="A466" s="5" t="n">
        <v>244</v>
      </c>
      <c r="B466" t="inlineStr">
        <is>
          <t>2677900888</t>
        </is>
      </c>
      <c r="C466" t="inlineStr">
        <is>
          <t>ФОП Кіреєва Вікторія Анатоліївна</t>
        </is>
      </c>
      <c r="D466" t="inlineStr"/>
      <c r="E466" s="5" t="n">
        <v>2</v>
      </c>
      <c r="F466" s="5" t="n">
        <v>2</v>
      </c>
      <c r="G466" s="13" t="n">
        <v>46060</v>
      </c>
      <c r="H466" s="12" t="n">
        <v>0.0004</v>
      </c>
      <c r="I466" s="13" t="n">
        <v>23030</v>
      </c>
      <c r="J466" s="13" t="n">
        <v>23030</v>
      </c>
      <c r="K466" s="5" t="n">
        <v>2</v>
      </c>
      <c r="L466" s="5" t="n">
        <v>1</v>
      </c>
      <c r="M466" t="inlineStr">
        <is>
          <t>Комп’ютерне обладнання</t>
        </is>
      </c>
      <c r="N466" t="inlineStr">
        <is>
          <t>2025-12-16</t>
        </is>
      </c>
      <c r="O466" t="inlineStr">
        <is>
          <t>2025-12-17</t>
        </is>
      </c>
    </row>
    <row r="467">
      <c r="A467" s="5" t="n">
        <v>245</v>
      </c>
      <c r="B467" t="inlineStr">
        <is>
          <t>3597811488</t>
        </is>
      </c>
      <c r="C467" t="inlineStr">
        <is>
          <t>ФОП "Лучик Оксана Вікторіівна"</t>
        </is>
      </c>
      <c r="D467" t="inlineStr"/>
      <c r="E467" s="5" t="n">
        <v>1</v>
      </c>
      <c r="F467" s="5" t="n">
        <v>1</v>
      </c>
      <c r="G467" s="13" t="n">
        <v>45780</v>
      </c>
      <c r="H467" s="12" t="n">
        <v>0.0004</v>
      </c>
      <c r="I467" s="13" t="n">
        <v>45780</v>
      </c>
      <c r="J467" s="13" t="n">
        <v>45780</v>
      </c>
      <c r="K467" s="5" t="n">
        <v>1</v>
      </c>
      <c r="L467" s="5" t="n">
        <v>1</v>
      </c>
      <c r="M467" t="inlineStr">
        <is>
          <t>Машини для обробки даних (апаратна частина)</t>
        </is>
      </c>
      <c r="N467" t="inlineStr">
        <is>
          <t>2025-12-09</t>
        </is>
      </c>
      <c r="O467" t="inlineStr">
        <is>
          <t>2025-12-09</t>
        </is>
      </c>
    </row>
    <row r="468">
      <c r="A468" s="5" t="n">
        <v>246</v>
      </c>
      <c r="B468" t="inlineStr">
        <is>
          <t>3467108376</t>
        </is>
      </c>
      <c r="C468" t="inlineStr">
        <is>
          <t>ФОП Кофан Дмитро Юрійович</t>
        </is>
      </c>
      <c r="D468" t="inlineStr"/>
      <c r="E468" s="5" t="n">
        <v>2</v>
      </c>
      <c r="F468" s="5" t="n">
        <v>2</v>
      </c>
      <c r="G468" s="13" t="n">
        <v>44770</v>
      </c>
      <c r="H468" s="12" t="n">
        <v>0.0004</v>
      </c>
      <c r="I468" s="13" t="n">
        <v>22385</v>
      </c>
      <c r="J468" s="13" t="n">
        <v>22385</v>
      </c>
      <c r="K468" s="5" t="n">
        <v>2</v>
      </c>
      <c r="L468" s="5" t="n">
        <v>1</v>
      </c>
      <c r="M468" t="inlineStr">
        <is>
          <t>Машини для обробки даних (апаратна частина)</t>
        </is>
      </c>
      <c r="N468" t="inlineStr">
        <is>
          <t>2026-04-06</t>
        </is>
      </c>
      <c r="O468" t="inlineStr">
        <is>
          <t>2026-08-31</t>
        </is>
      </c>
    </row>
    <row r="469">
      <c r="A469" s="5" t="n">
        <v>247</v>
      </c>
      <c r="B469" t="inlineStr">
        <is>
          <t>35323069</t>
        </is>
      </c>
      <c r="C469" t="inlineStr">
        <is>
          <t>ТОВ "ПК-ПАРК"</t>
        </is>
      </c>
      <c r="D469" t="inlineStr"/>
      <c r="E469" s="5" t="n">
        <v>2</v>
      </c>
      <c r="F469" s="5" t="n">
        <v>2</v>
      </c>
      <c r="G469" s="13" t="n">
        <v>43980</v>
      </c>
      <c r="H469" s="12" t="n">
        <v>0.0004</v>
      </c>
      <c r="I469" s="13" t="n">
        <v>21990</v>
      </c>
      <c r="J469" s="13" t="n">
        <v>21990</v>
      </c>
      <c r="K469" s="5" t="n">
        <v>2</v>
      </c>
      <c r="L469" s="5" t="n">
        <v>1</v>
      </c>
      <c r="M469" t="inlineStr">
        <is>
          <t>Комп’ютерне обладнання</t>
        </is>
      </c>
      <c r="N469" t="inlineStr">
        <is>
          <t>2026-01-28</t>
        </is>
      </c>
      <c r="O469" t="inlineStr">
        <is>
          <t>2026-06-12</t>
        </is>
      </c>
    </row>
    <row r="470">
      <c r="A470" s="5" t="n">
        <v>248</v>
      </c>
      <c r="B470" t="inlineStr">
        <is>
          <t>3127021511</t>
        </is>
      </c>
      <c r="C470" t="inlineStr">
        <is>
          <t>ФОП Глазунов Олександр Юрійович</t>
        </is>
      </c>
      <c r="D470" t="inlineStr"/>
      <c r="E470" s="5" t="n">
        <v>2</v>
      </c>
      <c r="F470" s="5" t="n">
        <v>2</v>
      </c>
      <c r="G470" s="13" t="n">
        <v>42872</v>
      </c>
      <c r="H470" s="12" t="n">
        <v>0.0004</v>
      </c>
      <c r="I470" s="13" t="n">
        <v>21436</v>
      </c>
      <c r="J470" s="13" t="n">
        <v>21436</v>
      </c>
      <c r="K470" s="5" t="n">
        <v>1</v>
      </c>
      <c r="L470" s="5" t="n">
        <v>1</v>
      </c>
      <c r="M470" t="inlineStr">
        <is>
          <t>Комп’ютерне обладнання</t>
        </is>
      </c>
      <c r="N470" t="inlineStr">
        <is>
          <t>2026-07-02</t>
        </is>
      </c>
      <c r="O470" t="inlineStr">
        <is>
          <t>2026-07-07</t>
        </is>
      </c>
    </row>
    <row r="471">
      <c r="A471" s="5" t="n">
        <v>249</v>
      </c>
      <c r="B471" t="inlineStr">
        <is>
          <t>2297619621</t>
        </is>
      </c>
      <c r="C471" t="inlineStr">
        <is>
          <t>ФОП Олексієвець Раїса Миколаївна</t>
        </is>
      </c>
      <c r="D471" t="inlineStr"/>
      <c r="E471" s="5" t="n">
        <v>1</v>
      </c>
      <c r="F471" s="5" t="n">
        <v>1</v>
      </c>
      <c r="G471" s="13" t="n">
        <v>42600</v>
      </c>
      <c r="H471" s="12" t="n">
        <v>0.0004</v>
      </c>
      <c r="I471" s="13" t="n">
        <v>42600</v>
      </c>
      <c r="J471" s="13" t="n">
        <v>42600</v>
      </c>
      <c r="K471" s="5" t="n">
        <v>1</v>
      </c>
      <c r="L471" s="5" t="n">
        <v>1</v>
      </c>
      <c r="M471" t="inlineStr">
        <is>
          <t>Комп’ютерне обладнання</t>
        </is>
      </c>
      <c r="N471" t="inlineStr">
        <is>
          <t>2026-02-17</t>
        </is>
      </c>
      <c r="O471" t="inlineStr">
        <is>
          <t>2026-02-17</t>
        </is>
      </c>
    </row>
    <row r="472">
      <c r="A472" s="5" t="n">
        <v>250</v>
      </c>
      <c r="B472" t="inlineStr">
        <is>
          <t>2380013374</t>
        </is>
      </c>
      <c r="C472" t="inlineStr">
        <is>
          <t>ФОП Сорока Віталій Петрович</t>
        </is>
      </c>
      <c r="D472" t="inlineStr"/>
      <c r="E472" s="5" t="n">
        <v>5</v>
      </c>
      <c r="F472" s="5" t="n">
        <v>5</v>
      </c>
      <c r="G472" s="13" t="n">
        <v>42289</v>
      </c>
      <c r="H472" s="12" t="n">
        <v>0.0004</v>
      </c>
      <c r="I472" s="13" t="n">
        <v>8457.799999999999</v>
      </c>
      <c r="J472" s="13" t="n">
        <v>6650</v>
      </c>
      <c r="K472" s="5" t="n">
        <v>1</v>
      </c>
      <c r="L472" s="5" t="n">
        <v>1</v>
      </c>
      <c r="M472" t="inlineStr">
        <is>
          <t>Комп’ютерне обладнання</t>
        </is>
      </c>
      <c r="N472" t="inlineStr">
        <is>
          <t>2026-03-19</t>
        </is>
      </c>
      <c r="O472" t="inlineStr">
        <is>
          <t>2026-05-13</t>
        </is>
      </c>
    </row>
    <row r="473">
      <c r="A473" s="5" t="n">
        <v>251</v>
      </c>
      <c r="B473" t="inlineStr">
        <is>
          <t>2944022810</t>
        </is>
      </c>
      <c r="C473" t="inlineStr">
        <is>
          <t>ФОП "ЛУКАЧ ЯРОСЛАВ ВАСИЛЬОВИЧ"</t>
        </is>
      </c>
      <c r="D473" t="inlineStr"/>
      <c r="E473" s="5" t="n">
        <v>2</v>
      </c>
      <c r="F473" s="5" t="n">
        <v>2</v>
      </c>
      <c r="G473" s="13" t="n">
        <v>41850</v>
      </c>
      <c r="H473" s="12" t="n">
        <v>0.0004</v>
      </c>
      <c r="I473" s="13" t="n">
        <v>20925</v>
      </c>
      <c r="J473" s="13" t="n">
        <v>20925</v>
      </c>
      <c r="K473" s="5" t="n">
        <v>2</v>
      </c>
      <c r="L473" s="5" t="n">
        <v>1</v>
      </c>
      <c r="M473" t="inlineStr">
        <is>
          <t>Машини для обробки даних (апаратна частина)</t>
        </is>
      </c>
      <c r="N473" t="inlineStr">
        <is>
          <t>2026-06-01</t>
        </is>
      </c>
      <c r="O473" t="inlineStr">
        <is>
          <t>2026-06-26</t>
        </is>
      </c>
    </row>
    <row r="474">
      <c r="A474" s="5" t="n">
        <v>252</v>
      </c>
      <c r="B474" t="inlineStr">
        <is>
          <t>38963592</t>
        </is>
      </c>
      <c r="C474" t="inlineStr">
        <is>
          <t>ТОВ "Інженерна компанія "Союз"</t>
        </is>
      </c>
      <c r="D474" t="inlineStr"/>
      <c r="E474" s="5" t="n">
        <v>1</v>
      </c>
      <c r="F474" s="5" t="n">
        <v>1</v>
      </c>
      <c r="G474" s="13" t="n">
        <v>41391</v>
      </c>
      <c r="H474" s="12" t="n">
        <v>0.0003</v>
      </c>
      <c r="I474" s="13" t="n">
        <v>41391</v>
      </c>
      <c r="J474" s="13" t="n">
        <v>41391</v>
      </c>
      <c r="K474" s="5" t="n">
        <v>1</v>
      </c>
      <c r="L474" s="5" t="n">
        <v>1</v>
      </c>
      <c r="M474" t="inlineStr">
        <is>
          <t>Комп’ютерне обладнання</t>
        </is>
      </c>
      <c r="N474" t="inlineStr">
        <is>
          <t>2025-12-16</t>
        </is>
      </c>
      <c r="O474" t="inlineStr">
        <is>
          <t>2025-12-16</t>
        </is>
      </c>
    </row>
    <row r="475">
      <c r="A475" s="5" t="n">
        <v>253</v>
      </c>
      <c r="B475" t="inlineStr">
        <is>
          <t>2984501017</t>
        </is>
      </c>
      <c r="C475" t="inlineStr">
        <is>
          <t>ГРЕК ОЛЕКСАНДР ПЕТРОВИЧ</t>
        </is>
      </c>
      <c r="D475" t="inlineStr"/>
      <c r="E475" s="5" t="n">
        <v>8</v>
      </c>
      <c r="F475" s="5" t="n">
        <v>8</v>
      </c>
      <c r="G475" s="13" t="n">
        <v>41237</v>
      </c>
      <c r="H475" s="12" t="n">
        <v>0.0003</v>
      </c>
      <c r="I475" s="13" t="n">
        <v>5154.62</v>
      </c>
      <c r="J475" s="13" t="n">
        <v>1865</v>
      </c>
      <c r="K475" s="5" t="n">
        <v>3</v>
      </c>
      <c r="L475" s="5" t="n">
        <v>1</v>
      </c>
      <c r="M475" t="inlineStr">
        <is>
          <t>Комп’ютерне обладнання</t>
        </is>
      </c>
      <c r="N475" t="inlineStr">
        <is>
          <t>2025-10-29</t>
        </is>
      </c>
      <c r="O475" t="inlineStr">
        <is>
          <t>2026-07-21</t>
        </is>
      </c>
    </row>
    <row r="476">
      <c r="A476" s="5" t="n">
        <v>254</v>
      </c>
      <c r="B476" t="inlineStr">
        <is>
          <t>36469918</t>
        </is>
      </c>
      <c r="C476" t="inlineStr">
        <is>
          <t>ТОВ "НРП"</t>
        </is>
      </c>
      <c r="D476" t="inlineStr"/>
      <c r="E476" s="5" t="n">
        <v>1</v>
      </c>
      <c r="F476" s="5" t="n">
        <v>1</v>
      </c>
      <c r="G476" s="13" t="n">
        <v>40998</v>
      </c>
      <c r="H476" s="12" t="n">
        <v>0.0003</v>
      </c>
      <c r="I476" s="13" t="n">
        <v>40998</v>
      </c>
      <c r="J476" s="13" t="n">
        <v>40998</v>
      </c>
      <c r="K476" s="5" t="n">
        <v>1</v>
      </c>
      <c r="L476" s="5" t="n">
        <v>1</v>
      </c>
      <c r="M476" t="inlineStr">
        <is>
          <t>Комп’ютерне обладнання</t>
        </is>
      </c>
      <c r="N476" t="inlineStr">
        <is>
          <t>2026-05-20</t>
        </is>
      </c>
      <c r="O476" t="inlineStr">
        <is>
          <t>2026-05-20</t>
        </is>
      </c>
    </row>
    <row r="477">
      <c r="A477" s="5" t="n">
        <v>255</v>
      </c>
      <c r="B477" t="inlineStr">
        <is>
          <t>2989903210</t>
        </is>
      </c>
      <c r="C477" t="inlineStr">
        <is>
          <t>ФОП Головій Роман Васильович</t>
        </is>
      </c>
      <c r="D477" t="inlineStr"/>
      <c r="E477" s="5" t="n">
        <v>1</v>
      </c>
      <c r="F477" s="5" t="n">
        <v>1</v>
      </c>
      <c r="G477" s="13" t="n">
        <v>40355</v>
      </c>
      <c r="H477" s="12" t="n">
        <v>0.0003</v>
      </c>
      <c r="I477" s="13" t="n">
        <v>40355</v>
      </c>
      <c r="J477" s="13" t="n">
        <v>40355</v>
      </c>
      <c r="K477" s="5" t="n">
        <v>1</v>
      </c>
      <c r="L477" s="5" t="n">
        <v>1</v>
      </c>
      <c r="M477" t="inlineStr">
        <is>
          <t>Машини для обробки даних (апаратна частина)</t>
        </is>
      </c>
      <c r="N477" t="inlineStr">
        <is>
          <t>2026-04-14</t>
        </is>
      </c>
      <c r="O477" t="inlineStr">
        <is>
          <t>2026-04-14</t>
        </is>
      </c>
    </row>
    <row r="478">
      <c r="A478" s="5" t="n">
        <v>256</v>
      </c>
      <c r="B478" t="inlineStr">
        <is>
          <t>3827209587</t>
        </is>
      </c>
      <c r="C478" t="inlineStr">
        <is>
          <t>ФОП СТОЯНОВА ІРИНА ВІКТОРІВНА</t>
        </is>
      </c>
      <c r="D478" t="inlineStr"/>
      <c r="E478" s="5" t="n">
        <v>1</v>
      </c>
      <c r="F478" s="5" t="n">
        <v>1</v>
      </c>
      <c r="G478" s="13" t="n">
        <v>35300</v>
      </c>
      <c r="H478" s="12" t="n">
        <v>0.0003</v>
      </c>
      <c r="I478" s="13" t="n">
        <v>35300</v>
      </c>
      <c r="J478" s="13" t="n">
        <v>35300</v>
      </c>
      <c r="K478" s="5" t="n">
        <v>1</v>
      </c>
      <c r="L478" s="5" t="n">
        <v>1</v>
      </c>
      <c r="M478" t="inlineStr">
        <is>
          <t>Комп’ютерне обладнання</t>
        </is>
      </c>
      <c r="N478" t="inlineStr">
        <is>
          <t>2025-11-27</t>
        </is>
      </c>
      <c r="O478" t="inlineStr">
        <is>
          <t>2025-11-27</t>
        </is>
      </c>
    </row>
    <row r="479">
      <c r="A479" s="5" t="n">
        <v>257</v>
      </c>
      <c r="B479" t="inlineStr">
        <is>
          <t>2864607609</t>
        </is>
      </c>
      <c r="C479" t="inlineStr">
        <is>
          <t>ФОП "КРИВЕНКО НАДІЯ МИХАЙЛІВНА"</t>
        </is>
      </c>
      <c r="D479" t="inlineStr"/>
      <c r="E479" s="5" t="n">
        <v>1</v>
      </c>
      <c r="F479" s="5" t="n">
        <v>1</v>
      </c>
      <c r="G479" s="13" t="n">
        <v>35100</v>
      </c>
      <c r="H479" s="12" t="n">
        <v>0.0003</v>
      </c>
      <c r="I479" s="13" t="n">
        <v>35100</v>
      </c>
      <c r="J479" s="13" t="n">
        <v>35100</v>
      </c>
      <c r="K479" s="5" t="n">
        <v>1</v>
      </c>
      <c r="L479" s="5" t="n">
        <v>1</v>
      </c>
      <c r="M479" t="inlineStr">
        <is>
          <t>Комп’ютерне обладнання</t>
        </is>
      </c>
      <c r="N479" t="inlineStr">
        <is>
          <t>2026-02-16</t>
        </is>
      </c>
      <c r="O479" t="inlineStr">
        <is>
          <t>2026-02-16</t>
        </is>
      </c>
    </row>
    <row r="480">
      <c r="A480" s="5" t="n">
        <v>258</v>
      </c>
      <c r="B480" t="inlineStr">
        <is>
          <t>2997519156</t>
        </is>
      </c>
      <c r="C480" t="inlineStr">
        <is>
          <t>ДОЛІНКА ВАСИЛЬ СТАНІСЛАВОВИЧ</t>
        </is>
      </c>
      <c r="D480" t="inlineStr"/>
      <c r="E480" s="5" t="n">
        <v>1</v>
      </c>
      <c r="F480" s="5" t="n">
        <v>1</v>
      </c>
      <c r="G480" s="13" t="n">
        <v>34995</v>
      </c>
      <c r="H480" s="12" t="n">
        <v>0.0003</v>
      </c>
      <c r="I480" s="13" t="n">
        <v>34995</v>
      </c>
      <c r="J480" s="13" t="n">
        <v>34995</v>
      </c>
      <c r="K480" s="5" t="n">
        <v>1</v>
      </c>
      <c r="L480" s="5" t="n">
        <v>1</v>
      </c>
      <c r="M480" t="inlineStr">
        <is>
          <t>Машини для обробки даних (апаратна частина)</t>
        </is>
      </c>
      <c r="N480" t="inlineStr">
        <is>
          <t>2026-08-03</t>
        </is>
      </c>
      <c r="O480" t="inlineStr">
        <is>
          <t>2026-08-03</t>
        </is>
      </c>
    </row>
    <row r="481">
      <c r="A481" s="5" t="n">
        <v>259</v>
      </c>
      <c r="B481" t="inlineStr">
        <is>
          <t>1955604217</t>
        </is>
      </c>
      <c r="C481" t="inlineStr">
        <is>
          <t>ФОП Ліпський Анатолій Михайлович</t>
        </is>
      </c>
      <c r="D481" t="inlineStr"/>
      <c r="E481" s="5" t="n">
        <v>3</v>
      </c>
      <c r="F481" s="5" t="n">
        <v>3</v>
      </c>
      <c r="G481" s="13" t="n">
        <v>34325</v>
      </c>
      <c r="H481" s="12" t="n">
        <v>0.0003</v>
      </c>
      <c r="I481" s="13" t="n">
        <v>11441.67</v>
      </c>
      <c r="J481" s="13" t="n">
        <v>9950</v>
      </c>
      <c r="K481" s="5" t="n">
        <v>2</v>
      </c>
      <c r="L481" s="5" t="n">
        <v>1</v>
      </c>
      <c r="M481" t="inlineStr">
        <is>
          <t>Комп’ютерне обладнання</t>
        </is>
      </c>
      <c r="N481" t="inlineStr">
        <is>
          <t>2025-10-01</t>
        </is>
      </c>
      <c r="O481" t="inlineStr">
        <is>
          <t>2025-12-18</t>
        </is>
      </c>
    </row>
    <row r="482">
      <c r="A482" s="5" t="n">
        <v>260</v>
      </c>
      <c r="B482" t="inlineStr">
        <is>
          <t>1974306055</t>
        </is>
      </c>
      <c r="C482" t="inlineStr">
        <is>
          <t>ФОП "БІЛОЗЕРСЬКИЙ ОЛЕГ МИКОЛАЙОВИЧ"</t>
        </is>
      </c>
      <c r="D482" t="inlineStr"/>
      <c r="E482" s="5" t="n">
        <v>2</v>
      </c>
      <c r="F482" s="5" t="n">
        <v>2</v>
      </c>
      <c r="G482" s="13" t="n">
        <v>33587.47</v>
      </c>
      <c r="H482" s="12" t="n">
        <v>0.0003</v>
      </c>
      <c r="I482" s="13" t="n">
        <v>16793.74</v>
      </c>
      <c r="J482" s="13" t="n">
        <v>16793.74</v>
      </c>
      <c r="K482" s="5" t="n">
        <v>2</v>
      </c>
      <c r="L482" s="5" t="n">
        <v>1</v>
      </c>
      <c r="M482" t="inlineStr">
        <is>
          <t>Комп’ютерне обладнання</t>
        </is>
      </c>
      <c r="N482" t="inlineStr">
        <is>
          <t>2026-04-30</t>
        </is>
      </c>
      <c r="O482" t="inlineStr">
        <is>
          <t>2026-07-01</t>
        </is>
      </c>
    </row>
    <row r="483">
      <c r="A483" s="5" t="n">
        <v>261</v>
      </c>
      <c r="B483" t="inlineStr">
        <is>
          <t>2713403143</t>
        </is>
      </c>
      <c r="C483" t="inlineStr">
        <is>
          <t>ФОП Риженко Наталія Вікторівна</t>
        </is>
      </c>
      <c r="D483" t="inlineStr"/>
      <c r="E483" s="5" t="n">
        <v>2</v>
      </c>
      <c r="F483" s="5" t="n">
        <v>2</v>
      </c>
      <c r="G483" s="13" t="n">
        <v>33400</v>
      </c>
      <c r="H483" s="12" t="n">
        <v>0.0003</v>
      </c>
      <c r="I483" s="13" t="n">
        <v>16700</v>
      </c>
      <c r="J483" s="13" t="n">
        <v>16700</v>
      </c>
      <c r="K483" s="5" t="n">
        <v>1</v>
      </c>
      <c r="L483" s="5" t="n">
        <v>1</v>
      </c>
      <c r="M483" t="inlineStr">
        <is>
          <t>Машини для обробки даних (апаратна частина)</t>
        </is>
      </c>
      <c r="N483" t="inlineStr">
        <is>
          <t>2025-12-17</t>
        </is>
      </c>
      <c r="O483" t="inlineStr">
        <is>
          <t>2025-12-17</t>
        </is>
      </c>
    </row>
    <row r="484">
      <c r="A484" s="5" t="n">
        <v>262</v>
      </c>
      <c r="B484" t="inlineStr">
        <is>
          <t>3330015710</t>
        </is>
      </c>
      <c r="C484" t="inlineStr">
        <is>
          <t>ЗАІМ ІВАН ПЕТРОВИЧ</t>
        </is>
      </c>
      <c r="D484" t="inlineStr"/>
      <c r="E484" s="5" t="n">
        <v>1</v>
      </c>
      <c r="F484" s="5" t="n">
        <v>1</v>
      </c>
      <c r="G484" s="13" t="n">
        <v>33000</v>
      </c>
      <c r="H484" s="12" t="n">
        <v>0.0003</v>
      </c>
      <c r="I484" s="13" t="n">
        <v>33000</v>
      </c>
      <c r="J484" s="13" t="n">
        <v>33000</v>
      </c>
      <c r="K484" s="5" t="n">
        <v>1</v>
      </c>
      <c r="L484" s="5" t="n">
        <v>1</v>
      </c>
      <c r="M484" t="inlineStr">
        <is>
          <t>Машини для обробки даних (апаратна частина)</t>
        </is>
      </c>
      <c r="N484" t="inlineStr">
        <is>
          <t>2026-05-26</t>
        </is>
      </c>
      <c r="O484" t="inlineStr">
        <is>
          <t>2026-05-26</t>
        </is>
      </c>
    </row>
    <row r="485">
      <c r="A485" s="5" t="n">
        <v>263</v>
      </c>
      <c r="B485" t="inlineStr">
        <is>
          <t>3208920994</t>
        </is>
      </c>
      <c r="C485" t="inlineStr">
        <is>
          <t>ШЕВЧУК ПЕТРО ОЛЕКСАНДРОВИЧ</t>
        </is>
      </c>
      <c r="D485" t="inlineStr"/>
      <c r="E485" s="5" t="n">
        <v>1</v>
      </c>
      <c r="F485" s="5" t="n">
        <v>1</v>
      </c>
      <c r="G485" s="13" t="n">
        <v>33000</v>
      </c>
      <c r="H485" s="12" t="n">
        <v>0.0003</v>
      </c>
      <c r="I485" s="13" t="n">
        <v>33000</v>
      </c>
      <c r="J485" s="13" t="n">
        <v>33000</v>
      </c>
      <c r="K485" s="5" t="n">
        <v>1</v>
      </c>
      <c r="L485" s="5" t="n">
        <v>1</v>
      </c>
      <c r="M485" t="inlineStr">
        <is>
          <t>Машини для обробки даних (апаратна частина)</t>
        </is>
      </c>
      <c r="N485" t="inlineStr">
        <is>
          <t>2026-04-27</t>
        </is>
      </c>
      <c r="O485" t="inlineStr">
        <is>
          <t>2026-04-27</t>
        </is>
      </c>
    </row>
    <row r="486">
      <c r="A486" s="5" t="n">
        <v>264</v>
      </c>
      <c r="B486" t="inlineStr">
        <is>
          <t>3171603483</t>
        </is>
      </c>
      <c r="C486" t="inlineStr">
        <is>
          <t>ФОП Дуляницька Леся Степанівна</t>
        </is>
      </c>
      <c r="D486" t="inlineStr"/>
      <c r="E486" s="5" t="n">
        <v>1</v>
      </c>
      <c r="F486" s="5" t="n">
        <v>1</v>
      </c>
      <c r="G486" s="13" t="n">
        <v>33000</v>
      </c>
      <c r="H486" s="12" t="n">
        <v>0.0003</v>
      </c>
      <c r="I486" s="13" t="n">
        <v>33000</v>
      </c>
      <c r="J486" s="13" t="n">
        <v>33000</v>
      </c>
      <c r="K486" s="5" t="n">
        <v>1</v>
      </c>
      <c r="L486" s="5" t="n">
        <v>1</v>
      </c>
      <c r="M486" t="inlineStr">
        <is>
          <t>Машини для обробки даних (апаратна частина)</t>
        </is>
      </c>
      <c r="N486" t="inlineStr">
        <is>
          <t>2025-12-18</t>
        </is>
      </c>
      <c r="O486" t="inlineStr">
        <is>
          <t>2025-12-18</t>
        </is>
      </c>
    </row>
    <row r="487">
      <c r="A487" s="5" t="n">
        <v>265</v>
      </c>
      <c r="B487" t="inlineStr">
        <is>
          <t>37537831</t>
        </is>
      </c>
      <c r="C487" t="inlineStr">
        <is>
          <t>ТОВ "ІТ-ОЛІМП"</t>
        </is>
      </c>
      <c r="D487" t="inlineStr"/>
      <c r="E487" s="5" t="n">
        <v>3</v>
      </c>
      <c r="F487" s="5" t="n">
        <v>3</v>
      </c>
      <c r="G487" s="13" t="n">
        <v>32780</v>
      </c>
      <c r="H487" s="12" t="n">
        <v>0.0003</v>
      </c>
      <c r="I487" s="13" t="n">
        <v>10926.67</v>
      </c>
      <c r="J487" s="13" t="n">
        <v>14040</v>
      </c>
      <c r="K487" s="5" t="n">
        <v>1</v>
      </c>
      <c r="L487" s="5" t="n">
        <v>1</v>
      </c>
      <c r="M487" t="inlineStr">
        <is>
          <t>Комп’ютерне обладнання</t>
        </is>
      </c>
      <c r="N487" t="inlineStr">
        <is>
          <t>2025-11-05</t>
        </is>
      </c>
      <c r="O487" t="inlineStr">
        <is>
          <t>2026-03-04</t>
        </is>
      </c>
    </row>
    <row r="488">
      <c r="A488" s="5" t="n">
        <v>266</v>
      </c>
      <c r="B488" t="inlineStr">
        <is>
          <t>21607462</t>
        </is>
      </c>
      <c r="C488" t="inlineStr">
        <is>
          <t>ТОВ «Сучасні інформаційні технології «Інсіт»</t>
        </is>
      </c>
      <c r="D488" t="inlineStr"/>
      <c r="E488" s="5" t="n">
        <v>1</v>
      </c>
      <c r="F488" s="5" t="n">
        <v>1</v>
      </c>
      <c r="G488" s="13" t="n">
        <v>31920</v>
      </c>
      <c r="H488" s="12" t="n">
        <v>0.0003</v>
      </c>
      <c r="I488" s="13" t="n">
        <v>31920</v>
      </c>
      <c r="J488" s="13" t="n">
        <v>31920</v>
      </c>
      <c r="K488" s="5" t="n">
        <v>1</v>
      </c>
      <c r="L488" s="5" t="n">
        <v>1</v>
      </c>
      <c r="M488" t="inlineStr">
        <is>
          <t>Комп’ютерне обладнання</t>
        </is>
      </c>
      <c r="N488" t="inlineStr">
        <is>
          <t>2026-07-17</t>
        </is>
      </c>
      <c r="O488" t="inlineStr">
        <is>
          <t>2026-07-17</t>
        </is>
      </c>
    </row>
    <row r="489">
      <c r="A489" s="5" t="n">
        <v>267</v>
      </c>
      <c r="B489" t="inlineStr">
        <is>
          <t>2325315598</t>
        </is>
      </c>
      <c r="C489" t="inlineStr">
        <is>
          <t>КИРИЧОК ОЛЕГ АНДРІЙОВИЧ</t>
        </is>
      </c>
      <c r="D489" t="inlineStr"/>
      <c r="E489" s="5" t="n">
        <v>2</v>
      </c>
      <c r="F489" s="5" t="n">
        <v>2</v>
      </c>
      <c r="G489" s="13" t="n">
        <v>30710</v>
      </c>
      <c r="H489" s="12" t="n">
        <v>0.0003</v>
      </c>
      <c r="I489" s="13" t="n">
        <v>15355</v>
      </c>
      <c r="J489" s="13" t="n">
        <v>15355</v>
      </c>
      <c r="K489" s="5" t="n">
        <v>1</v>
      </c>
      <c r="L489" s="5" t="n">
        <v>1</v>
      </c>
      <c r="M489" t="inlineStr">
        <is>
          <t>Комп’ютерне обладнання</t>
        </is>
      </c>
      <c r="N489" t="inlineStr">
        <is>
          <t>2026-08-07</t>
        </is>
      </c>
      <c r="O489" t="inlineStr">
        <is>
          <t>2026-08-07</t>
        </is>
      </c>
    </row>
    <row r="490">
      <c r="A490" s="5" t="n">
        <v>268</v>
      </c>
      <c r="B490" t="inlineStr">
        <is>
          <t>22906244</t>
        </is>
      </c>
      <c r="C490" t="inlineStr">
        <is>
          <t>ТзДВ "Інженерно-будівельна фірма "ЛДС"</t>
        </is>
      </c>
      <c r="D490" t="inlineStr"/>
      <c r="E490" s="5" t="n">
        <v>1</v>
      </c>
      <c r="F490" s="5" t="n">
        <v>1</v>
      </c>
      <c r="G490" s="13" t="n">
        <v>30600</v>
      </c>
      <c r="H490" s="12" t="n">
        <v>0.0003</v>
      </c>
      <c r="I490" s="13" t="n">
        <v>30600</v>
      </c>
      <c r="J490" s="13" t="n">
        <v>30600</v>
      </c>
      <c r="K490" s="5" t="n">
        <v>1</v>
      </c>
      <c r="L490" s="5" t="n">
        <v>1</v>
      </c>
      <c r="M490" t="inlineStr">
        <is>
          <t>Машини для обробки даних (апаратна частина)</t>
        </is>
      </c>
      <c r="N490" t="inlineStr">
        <is>
          <t>2025-12-02</t>
        </is>
      </c>
      <c r="O490" t="inlineStr">
        <is>
          <t>2025-12-02</t>
        </is>
      </c>
    </row>
    <row r="491">
      <c r="A491" s="5" t="n">
        <v>269</v>
      </c>
      <c r="B491" t="inlineStr">
        <is>
          <t>1962814181</t>
        </is>
      </c>
      <c r="C491" t="inlineStr">
        <is>
          <t>ФОП "Лугавцова Ганна Федорівна"</t>
        </is>
      </c>
      <c r="D491" t="inlineStr"/>
      <c r="E491" s="5" t="n">
        <v>1</v>
      </c>
      <c r="F491" s="5" t="n">
        <v>1</v>
      </c>
      <c r="G491" s="13" t="n">
        <v>30500</v>
      </c>
      <c r="H491" s="12" t="n">
        <v>0.0003</v>
      </c>
      <c r="I491" s="13" t="n">
        <v>30500</v>
      </c>
      <c r="J491" s="13" t="n">
        <v>30500</v>
      </c>
      <c r="K491" s="5" t="n">
        <v>1</v>
      </c>
      <c r="L491" s="5" t="n">
        <v>1</v>
      </c>
      <c r="M491" t="inlineStr">
        <is>
          <t>Комп’ютерне обладнання</t>
        </is>
      </c>
      <c r="N491" t="inlineStr">
        <is>
          <t>2026-08-31</t>
        </is>
      </c>
      <c r="O491" t="inlineStr">
        <is>
          <t>2026-08-31</t>
        </is>
      </c>
    </row>
    <row r="492">
      <c r="A492" s="5" t="n">
        <v>270</v>
      </c>
      <c r="B492" t="inlineStr">
        <is>
          <t>44754310</t>
        </is>
      </c>
      <c r="C492" t="inlineStr">
        <is>
          <t>ТОВ "ТОП ЮНІТІ"</t>
        </is>
      </c>
      <c r="D492" t="inlineStr"/>
      <c r="E492" s="5" t="n">
        <v>1</v>
      </c>
      <c r="F492" s="5" t="n">
        <v>1</v>
      </c>
      <c r="G492" s="13" t="n">
        <v>30496.8</v>
      </c>
      <c r="H492" s="12" t="n">
        <v>0.0003</v>
      </c>
      <c r="I492" s="13" t="n">
        <v>30496.8</v>
      </c>
      <c r="J492" s="13" t="n">
        <v>30496.8</v>
      </c>
      <c r="K492" s="5" t="n">
        <v>1</v>
      </c>
      <c r="L492" s="5" t="n">
        <v>1</v>
      </c>
      <c r="M492" t="inlineStr">
        <is>
          <t>Комп’ютерне обладнання</t>
        </is>
      </c>
      <c r="N492" t="inlineStr">
        <is>
          <t>2025-11-05</t>
        </is>
      </c>
      <c r="O492" t="inlineStr">
        <is>
          <t>2025-11-05</t>
        </is>
      </c>
    </row>
    <row r="493">
      <c r="A493" s="5" t="n">
        <v>271</v>
      </c>
      <c r="B493" t="inlineStr">
        <is>
          <t>2611403815</t>
        </is>
      </c>
      <c r="C493" t="inlineStr">
        <is>
          <t>ФОП Зінчук Сергій Андрійович</t>
        </is>
      </c>
      <c r="D493" t="inlineStr"/>
      <c r="E493" s="5" t="n">
        <v>1</v>
      </c>
      <c r="F493" s="5" t="n">
        <v>1</v>
      </c>
      <c r="G493" s="13" t="n">
        <v>29927</v>
      </c>
      <c r="H493" s="12" t="n">
        <v>0.0003</v>
      </c>
      <c r="I493" s="13" t="n">
        <v>29927</v>
      </c>
      <c r="J493" s="13" t="n">
        <v>29927</v>
      </c>
      <c r="K493" s="5" t="n">
        <v>1</v>
      </c>
      <c r="L493" s="5" t="n">
        <v>1</v>
      </c>
      <c r="M493" t="inlineStr">
        <is>
          <t>Машини для обробки даних (апаратна частина)</t>
        </is>
      </c>
      <c r="N493" t="inlineStr">
        <is>
          <t>2025-10-22</t>
        </is>
      </c>
      <c r="O493" t="inlineStr">
        <is>
          <t>2025-10-22</t>
        </is>
      </c>
    </row>
    <row r="494">
      <c r="A494" s="5" t="n">
        <v>272</v>
      </c>
      <c r="B494" t="inlineStr">
        <is>
          <t>2362519120</t>
        </is>
      </c>
      <c r="C494" t="inlineStr">
        <is>
          <t>ФОП "Штефюк Марія Іванівна"</t>
        </is>
      </c>
      <c r="D494" t="inlineStr"/>
      <c r="E494" s="5" t="n">
        <v>1</v>
      </c>
      <c r="F494" s="5" t="n">
        <v>1</v>
      </c>
      <c r="G494" s="13" t="n">
        <v>28200</v>
      </c>
      <c r="H494" s="12" t="n">
        <v>0.0002</v>
      </c>
      <c r="I494" s="13" t="n">
        <v>28200</v>
      </c>
      <c r="J494" s="13" t="n">
        <v>28200</v>
      </c>
      <c r="K494" s="5" t="n">
        <v>1</v>
      </c>
      <c r="L494" s="5" t="n">
        <v>1</v>
      </c>
      <c r="M494" t="inlineStr">
        <is>
          <t>Комп’ютерне обладнання</t>
        </is>
      </c>
      <c r="N494" t="inlineStr">
        <is>
          <t>2025-10-21</t>
        </is>
      </c>
      <c r="O494" t="inlineStr">
        <is>
          <t>2025-10-21</t>
        </is>
      </c>
    </row>
    <row r="495">
      <c r="A495" s="5" t="n">
        <v>273</v>
      </c>
      <c r="B495" t="inlineStr">
        <is>
          <t>3782007134</t>
        </is>
      </c>
      <c r="C495" t="inlineStr">
        <is>
          <t>Фізична особа - підприємиць Якимовський Роман Анатолійович</t>
        </is>
      </c>
      <c r="D495" t="inlineStr"/>
      <c r="E495" s="5" t="n">
        <v>1</v>
      </c>
      <c r="F495" s="5" t="n">
        <v>1</v>
      </c>
      <c r="G495" s="13" t="n">
        <v>26949.25</v>
      </c>
      <c r="H495" s="12" t="n">
        <v>0.0002</v>
      </c>
      <c r="I495" s="13" t="n">
        <v>26949.25</v>
      </c>
      <c r="J495" s="13" t="n">
        <v>26949.25</v>
      </c>
      <c r="K495" s="5" t="n">
        <v>1</v>
      </c>
      <c r="L495" s="5" t="n">
        <v>1</v>
      </c>
      <c r="M495" t="inlineStr">
        <is>
          <t>Комп’ютерне обладнання</t>
        </is>
      </c>
      <c r="N495" t="inlineStr">
        <is>
          <t>2025-10-14</t>
        </is>
      </c>
      <c r="O495" t="inlineStr">
        <is>
          <t>2025-10-14</t>
        </is>
      </c>
    </row>
    <row r="496">
      <c r="A496" s="5" t="n">
        <v>274</v>
      </c>
      <c r="B496" t="inlineStr">
        <is>
          <t>3146506998</t>
        </is>
      </c>
      <c r="C496" t="inlineStr">
        <is>
          <t>ЛЕЛЮХ ВАСИЛЬ ВОЛОДИМИРОВИЧ</t>
        </is>
      </c>
      <c r="D496" t="inlineStr"/>
      <c r="E496" s="5" t="n">
        <v>3</v>
      </c>
      <c r="F496" s="5" t="n">
        <v>3</v>
      </c>
      <c r="G496" s="13" t="n">
        <v>26780</v>
      </c>
      <c r="H496" s="12" t="n">
        <v>0.0002</v>
      </c>
      <c r="I496" s="13" t="n">
        <v>8926.67</v>
      </c>
      <c r="J496" s="13" t="n">
        <v>9600</v>
      </c>
      <c r="K496" s="5" t="n">
        <v>3</v>
      </c>
      <c r="L496" s="5" t="n">
        <v>1</v>
      </c>
      <c r="M496" t="inlineStr">
        <is>
          <t>Комп’ютерне обладнання</t>
        </is>
      </c>
      <c r="N496" t="inlineStr">
        <is>
          <t>2025-09-23</t>
        </is>
      </c>
      <c r="O496" t="inlineStr">
        <is>
          <t>2026-06-22</t>
        </is>
      </c>
    </row>
    <row r="497">
      <c r="A497" s="5" t="n">
        <v>275</v>
      </c>
      <c r="B497" t="inlineStr">
        <is>
          <t>2774000324</t>
        </is>
      </c>
      <c r="C497" t="inlineStr">
        <is>
          <t>ФОП "Згоннікова Юлія Станіславівна "</t>
        </is>
      </c>
      <c r="D497" t="inlineStr"/>
      <c r="E497" s="5" t="n">
        <v>1</v>
      </c>
      <c r="F497" s="5" t="n">
        <v>1</v>
      </c>
      <c r="G497" s="13" t="n">
        <v>24039.4</v>
      </c>
      <c r="H497" s="12" t="n">
        <v>0.0002</v>
      </c>
      <c r="I497" s="13" t="n">
        <v>24039.4</v>
      </c>
      <c r="J497" s="13" t="n">
        <v>24039.4</v>
      </c>
      <c r="K497" s="5" t="n">
        <v>1</v>
      </c>
      <c r="L497" s="5" t="n">
        <v>1</v>
      </c>
      <c r="M497" t="inlineStr">
        <is>
          <t>Комп’ютерне обладнання</t>
        </is>
      </c>
      <c r="N497" t="inlineStr">
        <is>
          <t>2026-07-21</t>
        </is>
      </c>
      <c r="O497" t="inlineStr">
        <is>
          <t>2026-07-21</t>
        </is>
      </c>
    </row>
    <row r="498">
      <c r="A498" s="5" t="n">
        <v>276</v>
      </c>
      <c r="B498" t="inlineStr">
        <is>
          <t>45234667</t>
        </is>
      </c>
      <c r="C498" t="inlineStr">
        <is>
          <t>ТзОВ "КРОП КОНТРОЛ"</t>
        </is>
      </c>
      <c r="D498" t="inlineStr"/>
      <c r="E498" s="5" t="n">
        <v>1</v>
      </c>
      <c r="F498" s="5" t="n">
        <v>1</v>
      </c>
      <c r="G498" s="13" t="n">
        <v>23800</v>
      </c>
      <c r="H498" s="12" t="n">
        <v>0.0002</v>
      </c>
      <c r="I498" s="13" t="n">
        <v>23800</v>
      </c>
      <c r="J498" s="13" t="n">
        <v>23800</v>
      </c>
      <c r="K498" s="5" t="n">
        <v>1</v>
      </c>
      <c r="L498" s="5" t="n">
        <v>1</v>
      </c>
      <c r="M498" t="inlineStr">
        <is>
          <t>Машини для обробки даних (апаратна частина)</t>
        </is>
      </c>
      <c r="N498" t="inlineStr">
        <is>
          <t>2026-02-03</t>
        </is>
      </c>
      <c r="O498" t="inlineStr">
        <is>
          <t>2026-02-03</t>
        </is>
      </c>
    </row>
    <row r="499">
      <c r="A499" s="5" t="n">
        <v>277</v>
      </c>
      <c r="B499" t="inlineStr">
        <is>
          <t>3287708482</t>
        </is>
      </c>
      <c r="C499" t="inlineStr">
        <is>
          <t>ФОП Данильчук Неля Володимирівна</t>
        </is>
      </c>
      <c r="D499" t="inlineStr"/>
      <c r="E499" s="5" t="n">
        <v>3</v>
      </c>
      <c r="F499" s="5" t="n">
        <v>3</v>
      </c>
      <c r="G499" s="13" t="n">
        <v>23692</v>
      </c>
      <c r="H499" s="12" t="n">
        <v>0.0002</v>
      </c>
      <c r="I499" s="13" t="n">
        <v>7897.33</v>
      </c>
      <c r="J499" s="13" t="n">
        <v>5000</v>
      </c>
      <c r="K499" s="5" t="n">
        <v>3</v>
      </c>
      <c r="L499" s="5" t="n">
        <v>1</v>
      </c>
      <c r="M499" t="inlineStr">
        <is>
          <t>Машини для обробки даних (апаратна частина)</t>
        </is>
      </c>
      <c r="N499" t="inlineStr">
        <is>
          <t>2025-09-22</t>
        </is>
      </c>
      <c r="O499" t="inlineStr">
        <is>
          <t>2026-06-04</t>
        </is>
      </c>
    </row>
    <row r="500">
      <c r="A500" s="5" t="n">
        <v>278</v>
      </c>
      <c r="B500" t="inlineStr">
        <is>
          <t>2275714111</t>
        </is>
      </c>
      <c r="C500" t="inlineStr">
        <is>
          <t>ОСТРЕНКО ЮРІЙ ОЛЕКСАНДРОВИЧ</t>
        </is>
      </c>
      <c r="D500" t="inlineStr"/>
      <c r="E500" s="5" t="n">
        <v>1</v>
      </c>
      <c r="F500" s="5" t="n">
        <v>1</v>
      </c>
      <c r="G500" s="13" t="n">
        <v>23000</v>
      </c>
      <c r="H500" s="12" t="n">
        <v>0.0002</v>
      </c>
      <c r="I500" s="13" t="n">
        <v>23000</v>
      </c>
      <c r="J500" s="13" t="n">
        <v>23000</v>
      </c>
      <c r="K500" s="5" t="n">
        <v>1</v>
      </c>
      <c r="L500" s="5" t="n">
        <v>1</v>
      </c>
      <c r="M500" t="inlineStr">
        <is>
          <t>Комп’ютерне обладнання</t>
        </is>
      </c>
      <c r="N500" t="inlineStr">
        <is>
          <t>2026-01-12</t>
        </is>
      </c>
      <c r="O500" t="inlineStr">
        <is>
          <t>2026-01-12</t>
        </is>
      </c>
    </row>
    <row r="501">
      <c r="A501" s="5" t="n">
        <v>279</v>
      </c>
      <c r="B501" t="inlineStr">
        <is>
          <t>3233707280</t>
        </is>
      </c>
      <c r="C501" t="inlineStr">
        <is>
          <t>ФОП Рубець Ганна Вікторівна</t>
        </is>
      </c>
      <c r="D501" t="inlineStr"/>
      <c r="E501" s="5" t="n">
        <v>1</v>
      </c>
      <c r="F501" s="5" t="n">
        <v>1</v>
      </c>
      <c r="G501" s="13" t="n">
        <v>22780</v>
      </c>
      <c r="H501" s="12" t="n">
        <v>0.0002</v>
      </c>
      <c r="I501" s="13" t="n">
        <v>22780</v>
      </c>
      <c r="J501" s="13" t="n">
        <v>22780</v>
      </c>
      <c r="K501" s="5" t="n">
        <v>1</v>
      </c>
      <c r="L501" s="5" t="n">
        <v>1</v>
      </c>
      <c r="M501" t="inlineStr">
        <is>
          <t>Комп’ютерне обладнання</t>
        </is>
      </c>
      <c r="N501" t="inlineStr">
        <is>
          <t>2025-10-23</t>
        </is>
      </c>
      <c r="O501" t="inlineStr">
        <is>
          <t>2025-10-23</t>
        </is>
      </c>
    </row>
    <row r="502">
      <c r="A502" s="5" t="n">
        <v>280</v>
      </c>
      <c r="B502" t="inlineStr">
        <is>
          <t>3314713968</t>
        </is>
      </c>
      <c r="C502" t="inlineStr">
        <is>
          <t>ФОП Шепель Ірина Василівна</t>
        </is>
      </c>
      <c r="D502" t="inlineStr"/>
      <c r="E502" s="5" t="n">
        <v>2</v>
      </c>
      <c r="F502" s="5" t="n">
        <v>2</v>
      </c>
      <c r="G502" s="13" t="n">
        <v>22638</v>
      </c>
      <c r="H502" s="12" t="n">
        <v>0.0002</v>
      </c>
      <c r="I502" s="13" t="n">
        <v>11319</v>
      </c>
      <c r="J502" s="13" t="n">
        <v>11319</v>
      </c>
      <c r="K502" s="5" t="n">
        <v>1</v>
      </c>
      <c r="L502" s="5" t="n">
        <v>1</v>
      </c>
      <c r="M502" t="inlineStr">
        <is>
          <t>Комп’ютерне обладнання</t>
        </is>
      </c>
      <c r="N502" t="inlineStr">
        <is>
          <t>2025-09-11</t>
        </is>
      </c>
      <c r="O502" t="inlineStr">
        <is>
          <t>2025-10-02</t>
        </is>
      </c>
    </row>
    <row r="503">
      <c r="A503" s="5" t="n">
        <v>281</v>
      </c>
      <c r="B503" t="inlineStr">
        <is>
          <t>40743461</t>
        </is>
      </c>
      <c r="C503" t="inlineStr">
        <is>
          <t>ТОВ "БОНА СЕРВІС"</t>
        </is>
      </c>
      <c r="D503" t="inlineStr"/>
      <c r="E503" s="5" t="n">
        <v>1</v>
      </c>
      <c r="F503" s="5" t="n">
        <v>1</v>
      </c>
      <c r="G503" s="13" t="n">
        <v>19999</v>
      </c>
      <c r="H503" s="12" t="n">
        <v>0.0002</v>
      </c>
      <c r="I503" s="13" t="n">
        <v>19999</v>
      </c>
      <c r="J503" s="13" t="n">
        <v>19999</v>
      </c>
      <c r="K503" s="5" t="n">
        <v>1</v>
      </c>
      <c r="L503" s="5" t="n">
        <v>1</v>
      </c>
      <c r="M503" t="inlineStr">
        <is>
          <t>Машини для обробки даних (апаратна частина)</t>
        </is>
      </c>
      <c r="N503" t="inlineStr">
        <is>
          <t>2025-09-08</t>
        </is>
      </c>
      <c r="O503" t="inlineStr">
        <is>
          <t>2025-09-08</t>
        </is>
      </c>
    </row>
    <row r="504">
      <c r="A504" s="5" t="n">
        <v>282</v>
      </c>
      <c r="B504" t="inlineStr">
        <is>
          <t>45093184</t>
        </is>
      </c>
      <c r="C504" t="inlineStr">
        <is>
          <t>ТОВ "БЕЙКЕР ТЕЙЛ"</t>
        </is>
      </c>
      <c r="D504" t="inlineStr"/>
      <c r="E504" s="5" t="n">
        <v>1</v>
      </c>
      <c r="F504" s="5" t="n">
        <v>1</v>
      </c>
      <c r="G504" s="13" t="n">
        <v>18780</v>
      </c>
      <c r="H504" s="12" t="n">
        <v>0.0002</v>
      </c>
      <c r="I504" s="13" t="n">
        <v>18780</v>
      </c>
      <c r="J504" s="13" t="n">
        <v>18780</v>
      </c>
      <c r="K504" s="5" t="n">
        <v>1</v>
      </c>
      <c r="L504" s="5" t="n">
        <v>1</v>
      </c>
      <c r="M504" t="inlineStr">
        <is>
          <t>Комп’ютерне обладнання</t>
        </is>
      </c>
      <c r="N504" t="inlineStr">
        <is>
          <t>2026-04-21</t>
        </is>
      </c>
      <c r="O504" t="inlineStr">
        <is>
          <t>2026-04-21</t>
        </is>
      </c>
    </row>
    <row r="505">
      <c r="A505" s="5" t="n">
        <v>283</v>
      </c>
      <c r="B505" t="inlineStr">
        <is>
          <t>2656602810</t>
        </is>
      </c>
      <c r="C505" t="inlineStr">
        <is>
          <t>ФОП "ДАСІК РУСЛАН ІВАНОВИЧ"</t>
        </is>
      </c>
      <c r="D505" t="inlineStr"/>
      <c r="E505" s="5" t="n">
        <v>3</v>
      </c>
      <c r="F505" s="5" t="n">
        <v>3</v>
      </c>
      <c r="G505" s="13" t="n">
        <v>17755</v>
      </c>
      <c r="H505" s="12" t="n">
        <v>0.0001</v>
      </c>
      <c r="I505" s="13" t="n">
        <v>5918.33</v>
      </c>
      <c r="J505" s="13" t="n">
        <v>6810</v>
      </c>
      <c r="K505" s="5" t="n">
        <v>2</v>
      </c>
      <c r="L505" s="5" t="n">
        <v>1</v>
      </c>
      <c r="M505" t="inlineStr">
        <is>
          <t>Комп’ютерне обладнання</t>
        </is>
      </c>
      <c r="N505" t="inlineStr">
        <is>
          <t>2025-10-29</t>
        </is>
      </c>
      <c r="O505" t="inlineStr">
        <is>
          <t>2026-07-10</t>
        </is>
      </c>
    </row>
    <row r="506">
      <c r="A506" s="5" t="n">
        <v>284</v>
      </c>
      <c r="B506" t="inlineStr">
        <is>
          <t>20148420</t>
        </is>
      </c>
      <c r="C506" t="inlineStr">
        <is>
          <t>ПП "ХІТА"</t>
        </is>
      </c>
      <c r="D506" t="inlineStr"/>
      <c r="E506" s="5" t="n">
        <v>1</v>
      </c>
      <c r="F506" s="5" t="n">
        <v>1</v>
      </c>
      <c r="G506" s="13" t="n">
        <v>17450</v>
      </c>
      <c r="H506" s="12" t="n">
        <v>0.0001</v>
      </c>
      <c r="I506" s="13" t="n">
        <v>17450</v>
      </c>
      <c r="J506" s="13" t="n">
        <v>17450</v>
      </c>
      <c r="K506" s="5" t="n">
        <v>1</v>
      </c>
      <c r="L506" s="5" t="n">
        <v>1</v>
      </c>
      <c r="M506" t="inlineStr">
        <is>
          <t>Машини для обробки даних (апаратна частина)</t>
        </is>
      </c>
      <c r="N506" t="inlineStr">
        <is>
          <t>2025-09-02</t>
        </is>
      </c>
      <c r="O506" t="inlineStr">
        <is>
          <t>2025-09-02</t>
        </is>
      </c>
    </row>
    <row r="507">
      <c r="A507" s="5" t="n">
        <v>285</v>
      </c>
      <c r="B507" t="inlineStr">
        <is>
          <t>2802607691</t>
        </is>
      </c>
      <c r="C507" t="inlineStr">
        <is>
          <t>ФОП "МИСЬКО АНДРІЙ ІВАНОВИЧ"</t>
        </is>
      </c>
      <c r="D507" t="inlineStr"/>
      <c r="E507" s="5" t="n">
        <v>1</v>
      </c>
      <c r="F507" s="5" t="n">
        <v>1</v>
      </c>
      <c r="G507" s="13" t="n">
        <v>16690</v>
      </c>
      <c r="H507" s="12" t="n">
        <v>0.0001</v>
      </c>
      <c r="I507" s="13" t="n">
        <v>16690</v>
      </c>
      <c r="J507" s="13" t="n">
        <v>16690</v>
      </c>
      <c r="K507" s="5" t="n">
        <v>1</v>
      </c>
      <c r="L507" s="5" t="n">
        <v>1</v>
      </c>
      <c r="M507" t="inlineStr">
        <is>
          <t>Комп’ютерне обладнання</t>
        </is>
      </c>
      <c r="N507" t="inlineStr">
        <is>
          <t>2025-11-17</t>
        </is>
      </c>
      <c r="O507" t="inlineStr">
        <is>
          <t>2025-11-17</t>
        </is>
      </c>
    </row>
    <row r="508">
      <c r="A508" s="5" t="n">
        <v>286</v>
      </c>
      <c r="B508" t="inlineStr">
        <is>
          <t>39257304</t>
        </is>
      </c>
      <c r="C508" t="inlineStr">
        <is>
          <t>ТОВ СЕРПА</t>
        </is>
      </c>
      <c r="D508" t="inlineStr"/>
      <c r="E508" s="5" t="n">
        <v>1</v>
      </c>
      <c r="F508" s="5" t="n">
        <v>1</v>
      </c>
      <c r="G508" s="13" t="n">
        <v>16500</v>
      </c>
      <c r="H508" s="12" t="n">
        <v>0.0001</v>
      </c>
      <c r="I508" s="13" t="n">
        <v>16500</v>
      </c>
      <c r="J508" s="13" t="n">
        <v>16500</v>
      </c>
      <c r="K508" s="5" t="n">
        <v>1</v>
      </c>
      <c r="L508" s="5" t="n">
        <v>1</v>
      </c>
      <c r="M508" t="inlineStr">
        <is>
          <t>Машини для обробки даних (апаратна частина)</t>
        </is>
      </c>
      <c r="N508" t="inlineStr">
        <is>
          <t>2026-03-09</t>
        </is>
      </c>
      <c r="O508" t="inlineStr">
        <is>
          <t>2026-03-09</t>
        </is>
      </c>
    </row>
    <row r="509">
      <c r="A509" s="5" t="n">
        <v>287</v>
      </c>
      <c r="B509" t="inlineStr">
        <is>
          <t>3188420992</t>
        </is>
      </c>
      <c r="C509" t="inlineStr">
        <is>
          <t>Підприємець Кобись Сергій Петрович</t>
        </is>
      </c>
      <c r="D509" t="inlineStr"/>
      <c r="E509" s="5" t="n">
        <v>2</v>
      </c>
      <c r="F509" s="5" t="n">
        <v>2</v>
      </c>
      <c r="G509" s="13" t="n">
        <v>16019</v>
      </c>
      <c r="H509" s="12" t="n">
        <v>0.0001</v>
      </c>
      <c r="I509" s="13" t="n">
        <v>8009.5</v>
      </c>
      <c r="J509" s="13" t="n">
        <v>8009.5</v>
      </c>
      <c r="K509" s="5" t="n">
        <v>1</v>
      </c>
      <c r="L509" s="5" t="n">
        <v>1</v>
      </c>
      <c r="M509" t="inlineStr">
        <is>
          <t>Комп’ютерне обладнання</t>
        </is>
      </c>
      <c r="N509" t="inlineStr">
        <is>
          <t>2025-10-06</t>
        </is>
      </c>
      <c r="O509" t="inlineStr">
        <is>
          <t>2025-10-14</t>
        </is>
      </c>
    </row>
    <row r="510">
      <c r="A510" s="5" t="n">
        <v>288</v>
      </c>
      <c r="B510" t="inlineStr">
        <is>
          <t>20028213</t>
        </is>
      </c>
      <c r="C510" t="inlineStr">
        <is>
          <t>ТОВ "Ворлдвайд Мануфакчурінг, І.Д."</t>
        </is>
      </c>
      <c r="D510" t="inlineStr"/>
      <c r="E510" s="5" t="n">
        <v>1</v>
      </c>
      <c r="F510" s="5" t="n">
        <v>1</v>
      </c>
      <c r="G510" s="13" t="n">
        <v>15800</v>
      </c>
      <c r="H510" s="12" t="n">
        <v>0.0001</v>
      </c>
      <c r="I510" s="13" t="n">
        <v>15800</v>
      </c>
      <c r="J510" s="13" t="n">
        <v>15800</v>
      </c>
      <c r="K510" s="5" t="n">
        <v>1</v>
      </c>
      <c r="L510" s="5" t="n">
        <v>1</v>
      </c>
      <c r="M510" t="inlineStr">
        <is>
          <t>Комп’ютерне обладнання</t>
        </is>
      </c>
      <c r="N510" t="inlineStr">
        <is>
          <t>2026-09-02</t>
        </is>
      </c>
      <c r="O510" t="inlineStr">
        <is>
          <t>2026-09-02</t>
        </is>
      </c>
    </row>
    <row r="511">
      <c r="A511" s="5" t="n">
        <v>289</v>
      </c>
      <c r="B511" t="inlineStr">
        <is>
          <t>1957200071</t>
        </is>
      </c>
      <c r="C511" t="inlineStr">
        <is>
          <t>ФОП Теліцин Володимир Васильович</t>
        </is>
      </c>
      <c r="D511" t="inlineStr"/>
      <c r="E511" s="5" t="n">
        <v>2</v>
      </c>
      <c r="F511" s="5" t="n">
        <v>2</v>
      </c>
      <c r="G511" s="13" t="n">
        <v>15600</v>
      </c>
      <c r="H511" s="12" t="n">
        <v>0.0001</v>
      </c>
      <c r="I511" s="13" t="n">
        <v>7800</v>
      </c>
      <c r="J511" s="13" t="n">
        <v>7800</v>
      </c>
      <c r="K511" s="5" t="n">
        <v>1</v>
      </c>
      <c r="L511" s="5" t="n">
        <v>1</v>
      </c>
      <c r="M511" t="inlineStr">
        <is>
          <t>Комп’ютерне обладнання</t>
        </is>
      </c>
      <c r="N511" t="inlineStr">
        <is>
          <t>2026-05-15</t>
        </is>
      </c>
      <c r="O511" t="inlineStr">
        <is>
          <t>2026-05-15</t>
        </is>
      </c>
    </row>
    <row r="512">
      <c r="A512" s="5" t="n">
        <v>290</v>
      </c>
      <c r="B512" t="inlineStr">
        <is>
          <t>37208082</t>
        </is>
      </c>
      <c r="C512" t="inlineStr">
        <is>
          <t>ТОВ "ТЕХНОЛОДЖИК"</t>
        </is>
      </c>
      <c r="D512" t="inlineStr"/>
      <c r="E512" s="5" t="n">
        <v>1</v>
      </c>
      <c r="F512" s="5" t="n">
        <v>1</v>
      </c>
      <c r="G512" s="13" t="n">
        <v>15464.4</v>
      </c>
      <c r="H512" s="12" t="n">
        <v>0.0001</v>
      </c>
      <c r="I512" s="13" t="n">
        <v>15464.4</v>
      </c>
      <c r="J512" s="13" t="n">
        <v>15464.4</v>
      </c>
      <c r="K512" s="5" t="n">
        <v>1</v>
      </c>
      <c r="L512" s="5" t="n">
        <v>1</v>
      </c>
      <c r="M512" t="inlineStr">
        <is>
          <t>Машини для обробки даних (апаратна частина)</t>
        </is>
      </c>
      <c r="N512" t="inlineStr">
        <is>
          <t>2026-03-16</t>
        </is>
      </c>
      <c r="O512" t="inlineStr">
        <is>
          <t>2026-03-16</t>
        </is>
      </c>
    </row>
    <row r="513">
      <c r="A513" s="5" t="n">
        <v>291</v>
      </c>
      <c r="B513" t="inlineStr">
        <is>
          <t>3563304438</t>
        </is>
      </c>
      <c r="C513" t="inlineStr">
        <is>
          <t>КРАВЧЕНКО ВОЛОДИМИР ІГОРОВИЧ</t>
        </is>
      </c>
      <c r="D513" t="inlineStr"/>
      <c r="E513" s="5" t="n">
        <v>1</v>
      </c>
      <c r="F513" s="5" t="n">
        <v>1</v>
      </c>
      <c r="G513" s="13" t="n">
        <v>15380</v>
      </c>
      <c r="H513" s="12" t="n">
        <v>0.0001</v>
      </c>
      <c r="I513" s="13" t="n">
        <v>15380</v>
      </c>
      <c r="J513" s="13" t="n">
        <v>15380</v>
      </c>
      <c r="K513" s="5" t="n">
        <v>1</v>
      </c>
      <c r="L513" s="5" t="n">
        <v>1</v>
      </c>
      <c r="M513" t="inlineStr">
        <is>
          <t>Комп’ютерне обладнання</t>
        </is>
      </c>
      <c r="N513" t="inlineStr">
        <is>
          <t>2026-05-05</t>
        </is>
      </c>
      <c r="O513" t="inlineStr">
        <is>
          <t>2026-05-05</t>
        </is>
      </c>
    </row>
    <row r="514">
      <c r="A514" s="5" t="n">
        <v>292</v>
      </c>
      <c r="B514" t="inlineStr">
        <is>
          <t>43890029</t>
        </is>
      </c>
      <c r="C514" t="inlineStr">
        <is>
          <t>ТОВ "ФТД-РИТЕЙЛ"</t>
        </is>
      </c>
      <c r="D514" t="inlineStr"/>
      <c r="E514" s="5" t="n">
        <v>1</v>
      </c>
      <c r="F514" s="5" t="n">
        <v>1</v>
      </c>
      <c r="G514" s="13" t="n">
        <v>13959.8</v>
      </c>
      <c r="H514" s="12" t="n">
        <v>0.0001</v>
      </c>
      <c r="I514" s="13" t="n">
        <v>13959.8</v>
      </c>
      <c r="J514" s="13" t="n">
        <v>13959.8</v>
      </c>
      <c r="K514" s="5" t="n">
        <v>1</v>
      </c>
      <c r="L514" s="5" t="n">
        <v>1</v>
      </c>
      <c r="M514" t="inlineStr">
        <is>
          <t>Комп’ютерне обладнання</t>
        </is>
      </c>
      <c r="N514" t="inlineStr">
        <is>
          <t>2026-01-09</t>
        </is>
      </c>
      <c r="O514" t="inlineStr">
        <is>
          <t>2026-01-09</t>
        </is>
      </c>
    </row>
    <row r="515">
      <c r="A515" s="5" t="n">
        <v>293</v>
      </c>
      <c r="B515" t="inlineStr">
        <is>
          <t>33495924</t>
        </is>
      </c>
      <c r="C515" t="inlineStr">
        <is>
          <t>ТОВ "АЛАДДІН СЕК′ЮРІТІ СОЛЮШЕНС"</t>
        </is>
      </c>
      <c r="D515" t="inlineStr"/>
      <c r="E515" s="5" t="n">
        <v>1</v>
      </c>
      <c r="F515" s="5" t="n">
        <v>1</v>
      </c>
      <c r="G515" s="13" t="n">
        <v>13464</v>
      </c>
      <c r="H515" s="12" t="n">
        <v>0.0001</v>
      </c>
      <c r="I515" s="13" t="n">
        <v>13464</v>
      </c>
      <c r="J515" s="13" t="n">
        <v>13464</v>
      </c>
      <c r="K515" s="5" t="n">
        <v>1</v>
      </c>
      <c r="L515" s="5" t="n">
        <v>1</v>
      </c>
      <c r="M515" t="inlineStr">
        <is>
          <t>Комп’ютерне обладнання</t>
        </is>
      </c>
      <c r="N515" t="inlineStr">
        <is>
          <t>2025-10-14</t>
        </is>
      </c>
      <c r="O515" t="inlineStr">
        <is>
          <t>2025-10-14</t>
        </is>
      </c>
    </row>
    <row r="516">
      <c r="A516" s="5" t="n">
        <v>294</v>
      </c>
      <c r="B516" t="inlineStr">
        <is>
          <t>3187920986</t>
        </is>
      </c>
      <c r="C516" t="inlineStr">
        <is>
          <t>Валуйко Оксана Юріївна</t>
        </is>
      </c>
      <c r="D516" t="inlineStr"/>
      <c r="E516" s="5" t="n">
        <v>1</v>
      </c>
      <c r="F516" s="5" t="n">
        <v>1</v>
      </c>
      <c r="G516" s="13" t="n">
        <v>13410</v>
      </c>
      <c r="H516" s="12" t="n">
        <v>0.0001</v>
      </c>
      <c r="I516" s="13" t="n">
        <v>13410</v>
      </c>
      <c r="J516" s="13" t="n">
        <v>13410</v>
      </c>
      <c r="K516" s="5" t="n">
        <v>1</v>
      </c>
      <c r="L516" s="5" t="n">
        <v>1</v>
      </c>
      <c r="M516" t="inlineStr">
        <is>
          <t>Комп’ютерне обладнання</t>
        </is>
      </c>
      <c r="N516" t="inlineStr">
        <is>
          <t>2026-05-08</t>
        </is>
      </c>
      <c r="O516" t="inlineStr">
        <is>
          <t>2026-05-08</t>
        </is>
      </c>
    </row>
    <row r="517">
      <c r="A517" s="5" t="n">
        <v>295</v>
      </c>
      <c r="B517" t="inlineStr">
        <is>
          <t>3254206763</t>
        </is>
      </c>
      <c r="C517" t="inlineStr">
        <is>
          <t>ЛАВРЕНЮК АЛІНА СТЕПАНІВНА</t>
        </is>
      </c>
      <c r="D517" t="inlineStr"/>
      <c r="E517" s="5" t="n">
        <v>3</v>
      </c>
      <c r="F517" s="5" t="n">
        <v>3</v>
      </c>
      <c r="G517" s="13" t="n">
        <v>13230</v>
      </c>
      <c r="H517" s="12" t="n">
        <v>0.0001</v>
      </c>
      <c r="I517" s="13" t="n">
        <v>4410</v>
      </c>
      <c r="J517" s="13" t="n">
        <v>3750</v>
      </c>
      <c r="K517" s="5" t="n">
        <v>1</v>
      </c>
      <c r="L517" s="5" t="n">
        <v>1</v>
      </c>
      <c r="M517" t="inlineStr">
        <is>
          <t>Комп’ютерне обладнання</t>
        </is>
      </c>
      <c r="N517" t="inlineStr">
        <is>
          <t>2026-05-19</t>
        </is>
      </c>
      <c r="O517" t="inlineStr">
        <is>
          <t>2026-08-13</t>
        </is>
      </c>
    </row>
    <row r="518">
      <c r="A518" s="5" t="n">
        <v>296</v>
      </c>
      <c r="B518" t="inlineStr">
        <is>
          <t>3167819395</t>
        </is>
      </c>
      <c r="C518" t="inlineStr">
        <is>
          <t>ШЕВЧУК ІГОР МИКОЛАЙОВИЧ</t>
        </is>
      </c>
      <c r="D518" t="inlineStr"/>
      <c r="E518" s="5" t="n">
        <v>1</v>
      </c>
      <c r="F518" s="5" t="n">
        <v>1</v>
      </c>
      <c r="G518" s="13" t="n">
        <v>13100</v>
      </c>
      <c r="H518" s="12" t="n">
        <v>0.0001</v>
      </c>
      <c r="I518" s="13" t="n">
        <v>13100</v>
      </c>
      <c r="J518" s="13" t="n">
        <v>13100</v>
      </c>
      <c r="K518" s="5" t="n">
        <v>1</v>
      </c>
      <c r="L518" s="5" t="n">
        <v>1</v>
      </c>
      <c r="M518" t="inlineStr">
        <is>
          <t>Комп’ютерне обладнання</t>
        </is>
      </c>
      <c r="N518" t="inlineStr">
        <is>
          <t>2025-09-09</t>
        </is>
      </c>
      <c r="O518" t="inlineStr">
        <is>
          <t>2025-09-09</t>
        </is>
      </c>
    </row>
    <row r="519">
      <c r="A519" s="5" t="n">
        <v>297</v>
      </c>
      <c r="B519" t="inlineStr">
        <is>
          <t>3291606641</t>
        </is>
      </c>
      <c r="C519" t="inlineStr">
        <is>
          <t>ФОП Невар Н.С.</t>
        </is>
      </c>
      <c r="D519" t="inlineStr"/>
      <c r="E519" s="5" t="n">
        <v>1</v>
      </c>
      <c r="F519" s="5" t="n">
        <v>1</v>
      </c>
      <c r="G519" s="13" t="n">
        <v>11987</v>
      </c>
      <c r="H519" s="12" t="n">
        <v>0.0001</v>
      </c>
      <c r="I519" s="13" t="n">
        <v>11987</v>
      </c>
      <c r="J519" s="13" t="n">
        <v>11987</v>
      </c>
      <c r="K519" s="5" t="n">
        <v>1</v>
      </c>
      <c r="L519" s="5" t="n">
        <v>1</v>
      </c>
      <c r="M519" t="inlineStr">
        <is>
          <t>Комп’ютерне обладнання</t>
        </is>
      </c>
      <c r="N519" t="inlineStr">
        <is>
          <t>2025-12-16</t>
        </is>
      </c>
      <c r="O519" t="inlineStr">
        <is>
          <t>2025-12-16</t>
        </is>
      </c>
    </row>
    <row r="520">
      <c r="A520" s="5" t="n">
        <v>298</v>
      </c>
      <c r="B520" t="inlineStr">
        <is>
          <t>2265417783</t>
        </is>
      </c>
      <c r="C520" t="inlineStr">
        <is>
          <t>ФОП Пундор Наталія Олександрівна</t>
        </is>
      </c>
      <c r="D520" t="inlineStr"/>
      <c r="E520" s="5" t="n">
        <v>1</v>
      </c>
      <c r="F520" s="5" t="n">
        <v>1</v>
      </c>
      <c r="G520" s="13" t="n">
        <v>11840</v>
      </c>
      <c r="H520" s="12" t="n">
        <v>0.0001</v>
      </c>
      <c r="I520" s="13" t="n">
        <v>11840</v>
      </c>
      <c r="J520" s="13" t="n">
        <v>11840</v>
      </c>
      <c r="K520" s="5" t="n">
        <v>1</v>
      </c>
      <c r="L520" s="5" t="n">
        <v>1</v>
      </c>
      <c r="M520" t="inlineStr">
        <is>
          <t>Комп’ютерне обладнання</t>
        </is>
      </c>
      <c r="N520" t="inlineStr">
        <is>
          <t>2025-12-18</t>
        </is>
      </c>
      <c r="O520" t="inlineStr">
        <is>
          <t>2025-12-18</t>
        </is>
      </c>
    </row>
    <row r="521">
      <c r="A521" s="5" t="n">
        <v>299</v>
      </c>
      <c r="B521" t="inlineStr">
        <is>
          <t>14305453</t>
        </is>
      </c>
      <c r="C521" t="inlineStr">
        <is>
          <t>ТОВ "Науково- впроваджувальна фірма "ГРАНАТО"</t>
        </is>
      </c>
      <c r="D521" t="inlineStr"/>
      <c r="E521" s="5" t="n">
        <v>1</v>
      </c>
      <c r="F521" s="5" t="n">
        <v>1</v>
      </c>
      <c r="G521" s="13" t="n">
        <v>11796</v>
      </c>
      <c r="H521" s="12" t="n">
        <v>0.0001</v>
      </c>
      <c r="I521" s="13" t="n">
        <v>11796</v>
      </c>
      <c r="J521" s="13" t="n">
        <v>11796</v>
      </c>
      <c r="K521" s="5" t="n">
        <v>1</v>
      </c>
      <c r="L521" s="5" t="n">
        <v>1</v>
      </c>
      <c r="M521" t="inlineStr">
        <is>
          <t>Комп’ютерне обладнання</t>
        </is>
      </c>
      <c r="N521" t="inlineStr">
        <is>
          <t>2025-09-12</t>
        </is>
      </c>
      <c r="O521" t="inlineStr">
        <is>
          <t>2025-09-12</t>
        </is>
      </c>
    </row>
    <row r="522">
      <c r="A522" s="5" t="n">
        <v>300</v>
      </c>
      <c r="B522" t="inlineStr">
        <is>
          <t>3608709751</t>
        </is>
      </c>
      <c r="C522" t="inlineStr">
        <is>
          <t>ЦИПЛЮК СЕРГІЙ ВОЛОДИМИРОВИЧ</t>
        </is>
      </c>
      <c r="D522" t="inlineStr"/>
      <c r="E522" s="5" t="n">
        <v>12</v>
      </c>
      <c r="F522" s="5" t="n">
        <v>12</v>
      </c>
      <c r="G522" s="13" t="n">
        <v>11348.13</v>
      </c>
      <c r="H522" s="12" t="n">
        <v>0.0001</v>
      </c>
      <c r="I522" s="13" t="n">
        <v>945.6799999999999</v>
      </c>
      <c r="J522" s="13" t="n">
        <v>604.29</v>
      </c>
      <c r="K522" s="5" t="n">
        <v>6</v>
      </c>
      <c r="L522" s="5" t="n">
        <v>1</v>
      </c>
      <c r="M522" t="inlineStr">
        <is>
          <t>Комп’ютерне обладнання</t>
        </is>
      </c>
      <c r="N522" t="inlineStr">
        <is>
          <t>2025-09-18</t>
        </is>
      </c>
      <c r="O522" t="inlineStr">
        <is>
          <t>2026-08-24</t>
        </is>
      </c>
    </row>
    <row r="523">
      <c r="A523" s="5" t="n">
        <v>301</v>
      </c>
      <c r="B523" t="inlineStr">
        <is>
          <t>3008901876</t>
        </is>
      </c>
      <c r="C523" t="inlineStr">
        <is>
          <t>ВАСИЛЬЄВ ВІТАЛІЙ ВАЛЕРІЙОВИЧ</t>
        </is>
      </c>
      <c r="D523" t="inlineStr"/>
      <c r="E523" s="5" t="n">
        <v>1</v>
      </c>
      <c r="F523" s="5" t="n">
        <v>1</v>
      </c>
      <c r="G523" s="13" t="n">
        <v>11000</v>
      </c>
      <c r="H523" s="12" t="n">
        <v>0.0001</v>
      </c>
      <c r="I523" s="13" t="n">
        <v>11000</v>
      </c>
      <c r="J523" s="13" t="n">
        <v>11000</v>
      </c>
      <c r="K523" s="5" t="n">
        <v>1</v>
      </c>
      <c r="L523" s="5" t="n">
        <v>1</v>
      </c>
      <c r="M523" t="inlineStr">
        <is>
          <t>Машини для обробки даних (апаратна частина)</t>
        </is>
      </c>
      <c r="N523" t="inlineStr">
        <is>
          <t>2025-11-19</t>
        </is>
      </c>
      <c r="O523" t="inlineStr">
        <is>
          <t>2025-11-19</t>
        </is>
      </c>
    </row>
    <row r="524">
      <c r="A524" s="5" t="n">
        <v>302</v>
      </c>
      <c r="B524" t="inlineStr">
        <is>
          <t>323498660</t>
        </is>
      </c>
      <c r="C524" t="inlineStr">
        <is>
          <t>ФОП Балух С.В.</t>
        </is>
      </c>
      <c r="D524" t="inlineStr"/>
      <c r="E524" s="5" t="n">
        <v>1</v>
      </c>
      <c r="F524" s="5" t="n">
        <v>1</v>
      </c>
      <c r="G524" s="13" t="n">
        <v>10700</v>
      </c>
      <c r="H524" s="12" t="n">
        <v>0.0001</v>
      </c>
      <c r="I524" s="13" t="n">
        <v>10700</v>
      </c>
      <c r="J524" s="13" t="n">
        <v>10700</v>
      </c>
      <c r="K524" s="5" t="n">
        <v>1</v>
      </c>
      <c r="L524" s="5" t="n">
        <v>1</v>
      </c>
      <c r="M524" t="inlineStr">
        <is>
          <t>Комп’ютерне обладнання</t>
        </is>
      </c>
      <c r="N524" t="inlineStr">
        <is>
          <t>2025-12-12</t>
        </is>
      </c>
      <c r="O524" t="inlineStr">
        <is>
          <t>2025-12-12</t>
        </is>
      </c>
    </row>
    <row r="525">
      <c r="A525" s="5" t="n">
        <v>303</v>
      </c>
      <c r="B525" t="inlineStr">
        <is>
          <t>3127907658</t>
        </is>
      </c>
      <c r="C525" t="inlineStr">
        <is>
          <t>ФОП "РОМАНЮК ОРЕСТ ЯРОСЛАВОВИЧ"</t>
        </is>
      </c>
      <c r="D525" t="inlineStr"/>
      <c r="E525" s="5" t="n">
        <v>1</v>
      </c>
      <c r="F525" s="5" t="n">
        <v>1</v>
      </c>
      <c r="G525" s="13" t="n">
        <v>10200</v>
      </c>
      <c r="H525" s="12" t="n">
        <v>0.0001</v>
      </c>
      <c r="I525" s="13" t="n">
        <v>10200</v>
      </c>
      <c r="J525" s="13" t="n">
        <v>10200</v>
      </c>
      <c r="K525" s="5" t="n">
        <v>1</v>
      </c>
      <c r="L525" s="5" t="n">
        <v>1</v>
      </c>
      <c r="M525" t="inlineStr">
        <is>
          <t>Комп’ютерне обладнання</t>
        </is>
      </c>
      <c r="N525" t="inlineStr">
        <is>
          <t>2025-12-23</t>
        </is>
      </c>
      <c r="O525" t="inlineStr">
        <is>
          <t>2025-12-23</t>
        </is>
      </c>
    </row>
    <row r="526">
      <c r="A526" s="5" t="n">
        <v>304</v>
      </c>
      <c r="B526" t="inlineStr">
        <is>
          <t>2296101950</t>
        </is>
      </c>
      <c r="C526" t="inlineStr">
        <is>
          <t>ЧАШУК АНАТОЛІЙ ІСАКОВИЧ</t>
        </is>
      </c>
      <c r="D526" t="inlineStr"/>
      <c r="E526" s="5" t="n">
        <v>1</v>
      </c>
      <c r="F526" s="5" t="n">
        <v>1</v>
      </c>
      <c r="G526" s="13" t="n">
        <v>8500</v>
      </c>
      <c r="H526" s="12" t="n">
        <v>0.0001</v>
      </c>
      <c r="I526" s="13" t="n">
        <v>8500</v>
      </c>
      <c r="J526" s="13" t="n">
        <v>8500</v>
      </c>
      <c r="K526" s="5" t="n">
        <v>1</v>
      </c>
      <c r="L526" s="5" t="n">
        <v>1</v>
      </c>
      <c r="M526" t="inlineStr">
        <is>
          <t>Комп’ютерне обладнання</t>
        </is>
      </c>
      <c r="N526" t="inlineStr">
        <is>
          <t>2026-05-18</t>
        </is>
      </c>
      <c r="O526" t="inlineStr">
        <is>
          <t>2026-05-18</t>
        </is>
      </c>
    </row>
    <row r="527">
      <c r="A527" s="5" t="n">
        <v>305</v>
      </c>
      <c r="B527" t="inlineStr">
        <is>
          <t>45108111</t>
        </is>
      </c>
      <c r="C527" t="inlineStr">
        <is>
          <t>ТОВ "АЙПІМОЛ"</t>
        </is>
      </c>
      <c r="D527" t="inlineStr"/>
      <c r="E527" s="5" t="n">
        <v>1</v>
      </c>
      <c r="F527" s="5" t="n">
        <v>1</v>
      </c>
      <c r="G527" s="13" t="n">
        <v>8190</v>
      </c>
      <c r="H527" s="12" t="n">
        <v>0.0001</v>
      </c>
      <c r="I527" s="13" t="n">
        <v>8190</v>
      </c>
      <c r="J527" s="13" t="n">
        <v>8190</v>
      </c>
      <c r="K527" s="5" t="n">
        <v>1</v>
      </c>
      <c r="L527" s="5" t="n">
        <v>1</v>
      </c>
      <c r="M527" t="inlineStr">
        <is>
          <t>Комп’ютерне обладнання</t>
        </is>
      </c>
      <c r="N527" t="inlineStr">
        <is>
          <t>2026-06-09</t>
        </is>
      </c>
      <c r="O527" t="inlineStr">
        <is>
          <t>2026-06-09</t>
        </is>
      </c>
    </row>
    <row r="528">
      <c r="A528" s="5" t="n">
        <v>306</v>
      </c>
      <c r="B528" t="inlineStr">
        <is>
          <t>2505902447</t>
        </is>
      </c>
      <c r="C528" t="inlineStr">
        <is>
          <t>ФОП Бакун Руслана Мойсеївна</t>
        </is>
      </c>
      <c r="D528" t="inlineStr"/>
      <c r="E528" s="5" t="n">
        <v>5</v>
      </c>
      <c r="F528" s="5" t="n">
        <v>5</v>
      </c>
      <c r="G528" s="13" t="n">
        <v>7950</v>
      </c>
      <c r="H528" s="12" t="n">
        <v>0.0001</v>
      </c>
      <c r="I528" s="13" t="n">
        <v>1590</v>
      </c>
      <c r="J528" s="13" t="n">
        <v>1500</v>
      </c>
      <c r="K528" s="5" t="n">
        <v>5</v>
      </c>
      <c r="L528" s="5" t="n">
        <v>1</v>
      </c>
      <c r="M528" t="inlineStr">
        <is>
          <t>Комп’ютерне обладнання</t>
        </is>
      </c>
      <c r="N528" t="inlineStr">
        <is>
          <t>2025-11-25</t>
        </is>
      </c>
      <c r="O528" t="inlineStr">
        <is>
          <t>2026-05-26</t>
        </is>
      </c>
    </row>
    <row r="529">
      <c r="A529" s="5" t="n">
        <v>307</v>
      </c>
      <c r="B529" t="inlineStr">
        <is>
          <t>36376733</t>
        </is>
      </c>
      <c r="C529" t="inlineStr">
        <is>
          <t>ТОВ "О-2" (ТОВ "О-2")</t>
        </is>
      </c>
      <c r="D529" t="inlineStr"/>
      <c r="E529" s="5" t="n">
        <v>1</v>
      </c>
      <c r="F529" s="5" t="n">
        <v>1</v>
      </c>
      <c r="G529" s="13" t="n">
        <v>7920</v>
      </c>
      <c r="H529" s="12" t="n">
        <v>0.0001</v>
      </c>
      <c r="I529" s="13" t="n">
        <v>7920</v>
      </c>
      <c r="J529" s="13" t="n">
        <v>7920</v>
      </c>
      <c r="K529" s="5" t="n">
        <v>1</v>
      </c>
      <c r="L529" s="5" t="n">
        <v>1</v>
      </c>
      <c r="M529" t="inlineStr">
        <is>
          <t>Комп’ютерне обладнання</t>
        </is>
      </c>
      <c r="N529" t="inlineStr">
        <is>
          <t>2026-05-27</t>
        </is>
      </c>
      <c r="O529" t="inlineStr">
        <is>
          <t>2026-05-27</t>
        </is>
      </c>
    </row>
    <row r="530">
      <c r="A530" s="5" t="n">
        <v>308</v>
      </c>
      <c r="B530" t="inlineStr">
        <is>
          <t>3227606705</t>
        </is>
      </c>
      <c r="C530" t="inlineStr">
        <is>
          <t>ФОП ІЗВАРІНА ЮЛІЯ ВЛАДИСЛАВІВНА</t>
        </is>
      </c>
      <c r="D530" t="inlineStr"/>
      <c r="E530" s="5" t="n">
        <v>2</v>
      </c>
      <c r="F530" s="5" t="n">
        <v>2</v>
      </c>
      <c r="G530" s="13" t="n">
        <v>6737</v>
      </c>
      <c r="H530" s="12" t="n">
        <v>0.0001</v>
      </c>
      <c r="I530" s="13" t="n">
        <v>3368.5</v>
      </c>
      <c r="J530" s="13" t="n">
        <v>3368.5</v>
      </c>
      <c r="K530" s="5" t="n">
        <v>1</v>
      </c>
      <c r="L530" s="5" t="n">
        <v>1</v>
      </c>
      <c r="M530" t="inlineStr">
        <is>
          <t>Комп’ютерне обладнання</t>
        </is>
      </c>
      <c r="N530" t="inlineStr">
        <is>
          <t>2026-03-04</t>
        </is>
      </c>
      <c r="O530" t="inlineStr">
        <is>
          <t>2026-03-09</t>
        </is>
      </c>
    </row>
    <row r="531">
      <c r="A531" s="5" t="n">
        <v>309</v>
      </c>
      <c r="B531" t="inlineStr">
        <is>
          <t>2593338078</t>
        </is>
      </c>
      <c r="C531" t="inlineStr">
        <is>
          <t>ФОП ШВАЙ АНАТОЛІЙ ФЕДОРОВИЧ</t>
        </is>
      </c>
      <c r="D531" t="inlineStr"/>
      <c r="E531" s="5" t="n">
        <v>4</v>
      </c>
      <c r="F531" s="5" t="n">
        <v>4</v>
      </c>
      <c r="G531" s="13" t="n">
        <v>6340</v>
      </c>
      <c r="H531" s="12" t="n">
        <v>0.0001</v>
      </c>
      <c r="I531" s="13" t="n">
        <v>1585</v>
      </c>
      <c r="J531" s="13" t="n">
        <v>1675</v>
      </c>
      <c r="K531" s="5" t="n">
        <v>1</v>
      </c>
      <c r="L531" s="5" t="n">
        <v>1</v>
      </c>
      <c r="M531" t="inlineStr">
        <is>
          <t>Комп’ютерне обладнання</t>
        </is>
      </c>
      <c r="N531" t="inlineStr">
        <is>
          <t>2025-09-23</t>
        </is>
      </c>
      <c r="O531" t="inlineStr">
        <is>
          <t>2026-06-23</t>
        </is>
      </c>
    </row>
    <row r="532">
      <c r="A532" s="5" t="n">
        <v>310</v>
      </c>
      <c r="B532" t="inlineStr">
        <is>
          <t>3231004865</t>
        </is>
      </c>
      <c r="C532" t="inlineStr">
        <is>
          <t>Прокурат Мар'яна Миколаївна</t>
        </is>
      </c>
      <c r="D532" t="inlineStr"/>
      <c r="E532" s="5" t="n">
        <v>1</v>
      </c>
      <c r="F532" s="5" t="n">
        <v>1</v>
      </c>
      <c r="G532" s="13" t="n">
        <v>6200</v>
      </c>
      <c r="H532" s="12" t="n">
        <v>0.0001</v>
      </c>
      <c r="I532" s="13" t="n">
        <v>6200</v>
      </c>
      <c r="J532" s="13" t="n">
        <v>6200</v>
      </c>
      <c r="K532" s="5" t="n">
        <v>1</v>
      </c>
      <c r="L532" s="5" t="n">
        <v>1</v>
      </c>
      <c r="M532" t="inlineStr">
        <is>
          <t>Комп’ютерне обладнання</t>
        </is>
      </c>
      <c r="N532" t="inlineStr">
        <is>
          <t>2026-05-13</t>
        </is>
      </c>
      <c r="O532" t="inlineStr">
        <is>
          <t>2026-05-13</t>
        </is>
      </c>
    </row>
    <row r="533">
      <c r="A533" s="5" t="n">
        <v>311</v>
      </c>
      <c r="B533" t="inlineStr">
        <is>
          <t>3197305816</t>
        </is>
      </c>
      <c r="C533" t="inlineStr">
        <is>
          <t>Мерлюк Максим Степанович</t>
        </is>
      </c>
      <c r="D533" t="inlineStr"/>
      <c r="E533" s="5" t="n">
        <v>1</v>
      </c>
      <c r="F533" s="5" t="n">
        <v>1</v>
      </c>
      <c r="G533" s="13" t="n">
        <v>6200</v>
      </c>
      <c r="H533" s="12" t="n">
        <v>0.0001</v>
      </c>
      <c r="I533" s="13" t="n">
        <v>6200</v>
      </c>
      <c r="J533" s="13" t="n">
        <v>6200</v>
      </c>
      <c r="K533" s="5" t="n">
        <v>1</v>
      </c>
      <c r="L533" s="5" t="n">
        <v>1</v>
      </c>
      <c r="M533" t="inlineStr">
        <is>
          <t>Комп’ютерне обладнання</t>
        </is>
      </c>
      <c r="N533" t="inlineStr">
        <is>
          <t>2026-03-12</t>
        </is>
      </c>
      <c r="O533" t="inlineStr">
        <is>
          <t>2026-03-12</t>
        </is>
      </c>
    </row>
    <row r="534">
      <c r="A534" s="5" t="n">
        <v>312</v>
      </c>
      <c r="B534" t="inlineStr">
        <is>
          <t>39787008</t>
        </is>
      </c>
      <c r="C534" t="inlineStr">
        <is>
          <t>ДП "НАЦІОНАЛЬНІ ІНФОРМАЦІЙНІ СИСТЕМИ"</t>
        </is>
      </c>
      <c r="D534" t="inlineStr"/>
      <c r="E534" s="5" t="n">
        <v>4</v>
      </c>
      <c r="F534" s="5" t="n">
        <v>4</v>
      </c>
      <c r="G534" s="13" t="n">
        <v>6135</v>
      </c>
      <c r="H534" s="12" t="n">
        <v>0.0001</v>
      </c>
      <c r="I534" s="13" t="n">
        <v>1533.75</v>
      </c>
      <c r="J534" s="13" t="n">
        <v>1350</v>
      </c>
      <c r="K534" s="5" t="n">
        <v>4</v>
      </c>
      <c r="L534" s="5" t="n">
        <v>1</v>
      </c>
      <c r="M534" t="inlineStr">
        <is>
          <t>Комп’ютерне обладнання</t>
        </is>
      </c>
      <c r="N534" t="inlineStr">
        <is>
          <t>2025-11-06</t>
        </is>
      </c>
      <c r="O534" t="inlineStr">
        <is>
          <t>2026-08-24</t>
        </is>
      </c>
    </row>
    <row r="535">
      <c r="A535" s="5" t="n">
        <v>313</v>
      </c>
      <c r="B535" t="inlineStr">
        <is>
          <t>2721112096</t>
        </is>
      </c>
      <c r="C535" t="inlineStr">
        <is>
          <t>САРДАЧУК ВОЛОДИМИР ЛЕОНТІЙОВИЧ</t>
        </is>
      </c>
      <c r="D535" t="inlineStr"/>
      <c r="E535" s="5" t="n">
        <v>1</v>
      </c>
      <c r="F535" s="5" t="n">
        <v>1</v>
      </c>
      <c r="G535" s="13" t="n">
        <v>5600</v>
      </c>
      <c r="H535" s="12" t="n">
        <v>0</v>
      </c>
      <c r="I535" s="13" t="n">
        <v>5600</v>
      </c>
      <c r="J535" s="13" t="n">
        <v>5600</v>
      </c>
      <c r="K535" s="5" t="n">
        <v>1</v>
      </c>
      <c r="L535" s="5" t="n">
        <v>1</v>
      </c>
      <c r="M535" t="inlineStr">
        <is>
          <t>Машини для обробки даних (апаратна частина)</t>
        </is>
      </c>
      <c r="N535" t="inlineStr">
        <is>
          <t>2026-04-01</t>
        </is>
      </c>
      <c r="O535" t="inlineStr">
        <is>
          <t>2026-04-01</t>
        </is>
      </c>
    </row>
    <row r="536">
      <c r="A536" s="5" t="n">
        <v>314</v>
      </c>
      <c r="B536" t="inlineStr">
        <is>
          <t>2507509383</t>
        </is>
      </c>
      <c r="C536" t="inlineStr">
        <is>
          <t>ФОП Глушневська Тамара Іванівна</t>
        </is>
      </c>
      <c r="D536" t="inlineStr"/>
      <c r="E536" s="5" t="n">
        <v>4</v>
      </c>
      <c r="F536" s="5" t="n">
        <v>4</v>
      </c>
      <c r="G536" s="13" t="n">
        <v>5296</v>
      </c>
      <c r="H536" s="12" t="n">
        <v>0</v>
      </c>
      <c r="I536" s="13" t="n">
        <v>1324</v>
      </c>
      <c r="J536" s="13" t="n">
        <v>678</v>
      </c>
      <c r="K536" s="5" t="n">
        <v>3</v>
      </c>
      <c r="L536" s="5" t="n">
        <v>1</v>
      </c>
      <c r="M536" t="inlineStr">
        <is>
          <t>Комп’ютерне обладнання</t>
        </is>
      </c>
      <c r="N536" t="inlineStr">
        <is>
          <t>2025-11-04</t>
        </is>
      </c>
      <c r="O536" t="inlineStr">
        <is>
          <t>2026-08-07</t>
        </is>
      </c>
    </row>
    <row r="537">
      <c r="A537" s="5" t="n">
        <v>315</v>
      </c>
      <c r="B537" t="inlineStr">
        <is>
          <t>2502203616</t>
        </is>
      </c>
      <c r="C537" t="inlineStr">
        <is>
          <t>СЕМЕНЮК ВАДИМ ОЛЕКСАНДРОВИЧ</t>
        </is>
      </c>
      <c r="D537" t="inlineStr"/>
      <c r="E537" s="5" t="n">
        <v>1</v>
      </c>
      <c r="F537" s="5" t="n">
        <v>1</v>
      </c>
      <c r="G537" s="13" t="n">
        <v>5200</v>
      </c>
      <c r="H537" s="12" t="n">
        <v>0</v>
      </c>
      <c r="I537" s="13" t="n">
        <v>5200</v>
      </c>
      <c r="J537" s="13" t="n">
        <v>5200</v>
      </c>
      <c r="K537" s="5" t="n">
        <v>1</v>
      </c>
      <c r="L537" s="5" t="n">
        <v>1</v>
      </c>
      <c r="M537" t="inlineStr">
        <is>
          <t>Комп’ютерне обладнання</t>
        </is>
      </c>
      <c r="N537" t="inlineStr">
        <is>
          <t>2026-06-05</t>
        </is>
      </c>
      <c r="O537" t="inlineStr">
        <is>
          <t>2026-06-05</t>
        </is>
      </c>
    </row>
    <row r="538">
      <c r="A538" s="5" t="n">
        <v>316</v>
      </c>
      <c r="B538" t="inlineStr">
        <is>
          <t>3234908660</t>
        </is>
      </c>
      <c r="C538" t="inlineStr">
        <is>
          <t>ФОП Балух С.В.</t>
        </is>
      </c>
      <c r="D538" t="inlineStr"/>
      <c r="E538" s="5" t="n">
        <v>1</v>
      </c>
      <c r="F538" s="5" t="n">
        <v>1</v>
      </c>
      <c r="G538" s="13" t="n">
        <v>4820</v>
      </c>
      <c r="H538" s="12" t="n">
        <v>0</v>
      </c>
      <c r="I538" s="13" t="n">
        <v>4820</v>
      </c>
      <c r="J538" s="13" t="n">
        <v>4820</v>
      </c>
      <c r="K538" s="5" t="n">
        <v>1</v>
      </c>
      <c r="L538" s="5" t="n">
        <v>1</v>
      </c>
      <c r="M538" t="inlineStr">
        <is>
          <t>Комп’ютерне обладнання</t>
        </is>
      </c>
      <c r="N538" t="inlineStr">
        <is>
          <t>2025-11-27</t>
        </is>
      </c>
      <c r="O538" t="inlineStr">
        <is>
          <t>2025-11-27</t>
        </is>
      </c>
    </row>
    <row r="539">
      <c r="A539" s="5" t="n">
        <v>317</v>
      </c>
      <c r="B539" t="inlineStr">
        <is>
          <t>2938406342</t>
        </is>
      </c>
      <c r="C539" t="inlineStr">
        <is>
          <t>МАЛИШ КАТЕРИНА ОЛЕГІВНА</t>
        </is>
      </c>
      <c r="D539" t="inlineStr"/>
      <c r="E539" s="5" t="n">
        <v>1</v>
      </c>
      <c r="F539" s="5" t="n">
        <v>1</v>
      </c>
      <c r="G539" s="13" t="n">
        <v>4750</v>
      </c>
      <c r="H539" s="12" t="n">
        <v>0</v>
      </c>
      <c r="I539" s="13" t="n">
        <v>4750</v>
      </c>
      <c r="J539" s="13" t="n">
        <v>4750</v>
      </c>
      <c r="K539" s="5" t="n">
        <v>1</v>
      </c>
      <c r="L539" s="5" t="n">
        <v>1</v>
      </c>
      <c r="M539" t="inlineStr">
        <is>
          <t>Комп’ютерне обладнання</t>
        </is>
      </c>
      <c r="N539" t="inlineStr">
        <is>
          <t>2026-06-05</t>
        </is>
      </c>
      <c r="O539" t="inlineStr">
        <is>
          <t>2026-06-05</t>
        </is>
      </c>
    </row>
    <row r="540">
      <c r="A540" s="5" t="n">
        <v>318</v>
      </c>
      <c r="B540" t="inlineStr">
        <is>
          <t>39331120</t>
        </is>
      </c>
      <c r="C540" t="inlineStr">
        <is>
          <t>ТОВ "МЕРКУРІЙ-08"</t>
        </is>
      </c>
      <c r="D540" t="inlineStr"/>
      <c r="E540" s="5" t="n">
        <v>1</v>
      </c>
      <c r="F540" s="5" t="n">
        <v>1</v>
      </c>
      <c r="G540" s="13" t="n">
        <v>4716</v>
      </c>
      <c r="H540" s="12" t="n">
        <v>0</v>
      </c>
      <c r="I540" s="13" t="n">
        <v>4716</v>
      </c>
      <c r="J540" s="13" t="n">
        <v>4716</v>
      </c>
      <c r="K540" s="5" t="n">
        <v>1</v>
      </c>
      <c r="L540" s="5" t="n">
        <v>1</v>
      </c>
      <c r="M540" t="inlineStr">
        <is>
          <t>Комп’ютерне обладнання</t>
        </is>
      </c>
      <c r="N540" t="inlineStr">
        <is>
          <t>2025-09-19</t>
        </is>
      </c>
      <c r="O540" t="inlineStr">
        <is>
          <t>2025-09-19</t>
        </is>
      </c>
    </row>
    <row r="541">
      <c r="A541" s="5" t="n">
        <v>319</v>
      </c>
      <c r="B541" t="inlineStr">
        <is>
          <t>43046572</t>
        </is>
      </c>
      <c r="C541" t="inlineStr">
        <is>
          <t>ТОВ "ФРЕШ ПРАЙС"</t>
        </is>
      </c>
      <c r="D541" t="inlineStr"/>
      <c r="E541" s="5" t="n">
        <v>1</v>
      </c>
      <c r="F541" s="5" t="n">
        <v>1</v>
      </c>
      <c r="G541" s="13" t="n">
        <v>4698</v>
      </c>
      <c r="H541" s="12" t="n">
        <v>0</v>
      </c>
      <c r="I541" s="13" t="n">
        <v>4698</v>
      </c>
      <c r="J541" s="13" t="n">
        <v>4698</v>
      </c>
      <c r="K541" s="5" t="n">
        <v>1</v>
      </c>
      <c r="L541" s="5" t="n">
        <v>1</v>
      </c>
      <c r="M541" t="inlineStr">
        <is>
          <t>Машини для обробки даних (апаратна частина)</t>
        </is>
      </c>
      <c r="N541" t="inlineStr">
        <is>
          <t>2025-10-27</t>
        </is>
      </c>
      <c r="O541" t="inlineStr">
        <is>
          <t>2025-10-27</t>
        </is>
      </c>
    </row>
    <row r="542">
      <c r="A542" s="5" t="n">
        <v>320</v>
      </c>
      <c r="B542" t="inlineStr">
        <is>
          <t>3842612311</t>
        </is>
      </c>
      <c r="C542" t="inlineStr">
        <is>
          <t>ФОП Циплюк Дмитро Володимирович</t>
        </is>
      </c>
      <c r="D542" t="inlineStr"/>
      <c r="E542" s="5" t="n">
        <v>1</v>
      </c>
      <c r="F542" s="5" t="n">
        <v>1</v>
      </c>
      <c r="G542" s="13" t="n">
        <v>4600</v>
      </c>
      <c r="H542" s="12" t="n">
        <v>0</v>
      </c>
      <c r="I542" s="13" t="n">
        <v>4600</v>
      </c>
      <c r="J542" s="13" t="n">
        <v>4600</v>
      </c>
      <c r="K542" s="5" t="n">
        <v>1</v>
      </c>
      <c r="L542" s="5" t="n">
        <v>1</v>
      </c>
      <c r="M542" t="inlineStr">
        <is>
          <t>Комп’ютерне обладнання</t>
        </is>
      </c>
      <c r="N542" t="inlineStr">
        <is>
          <t>2025-12-09</t>
        </is>
      </c>
      <c r="O542" t="inlineStr">
        <is>
          <t>2025-12-09</t>
        </is>
      </c>
    </row>
    <row r="543">
      <c r="A543" s="5" t="n">
        <v>321</v>
      </c>
      <c r="B543" t="inlineStr">
        <is>
          <t>3057305979</t>
        </is>
      </c>
      <c r="C543" t="inlineStr">
        <is>
          <t>БОЙКО ІГОР ВОЛОДИМИРОВИЧ</t>
        </is>
      </c>
      <c r="D543" t="inlineStr"/>
      <c r="E543" s="5" t="n">
        <v>1</v>
      </c>
      <c r="F543" s="5" t="n">
        <v>1</v>
      </c>
      <c r="G543" s="13" t="n">
        <v>4500</v>
      </c>
      <c r="H543" s="12" t="n">
        <v>0</v>
      </c>
      <c r="I543" s="13" t="n">
        <v>4500</v>
      </c>
      <c r="J543" s="13" t="n">
        <v>4500</v>
      </c>
      <c r="K543" s="5" t="n">
        <v>1</v>
      </c>
      <c r="L543" s="5" t="n">
        <v>1</v>
      </c>
      <c r="M543" t="inlineStr">
        <is>
          <t>Комп’ютерне обладнання</t>
        </is>
      </c>
      <c r="N543" t="inlineStr">
        <is>
          <t>2025-12-24</t>
        </is>
      </c>
      <c r="O543" t="inlineStr">
        <is>
          <t>2025-12-24</t>
        </is>
      </c>
    </row>
    <row r="544">
      <c r="A544" s="5" t="n">
        <v>322</v>
      </c>
      <c r="B544" t="inlineStr">
        <is>
          <t>3748011070</t>
        </is>
      </c>
      <c r="C544" t="inlineStr">
        <is>
          <t>ФОП Мельник М.С.</t>
        </is>
      </c>
      <c r="D544" t="inlineStr"/>
      <c r="E544" s="5" t="n">
        <v>1</v>
      </c>
      <c r="F544" s="5" t="n">
        <v>1</v>
      </c>
      <c r="G544" s="13" t="n">
        <v>4200</v>
      </c>
      <c r="H544" s="12" t="n">
        <v>0</v>
      </c>
      <c r="I544" s="13" t="n">
        <v>4200</v>
      </c>
      <c r="J544" s="13" t="n">
        <v>4200</v>
      </c>
      <c r="K544" s="5" t="n">
        <v>1</v>
      </c>
      <c r="L544" s="5" t="n">
        <v>1</v>
      </c>
      <c r="M544" t="inlineStr">
        <is>
          <t>Комп’ютерне обладнання</t>
        </is>
      </c>
      <c r="N544" t="inlineStr">
        <is>
          <t>2025-12-26</t>
        </is>
      </c>
      <c r="O544" t="inlineStr">
        <is>
          <t>2025-12-26</t>
        </is>
      </c>
    </row>
    <row r="545">
      <c r="A545" s="5" t="n">
        <v>323</v>
      </c>
      <c r="B545" t="inlineStr">
        <is>
          <t>3127421715</t>
        </is>
      </c>
      <c r="C545" t="inlineStr">
        <is>
          <t>БАЛУХ РОМАН МИКОЛАЙОВИЧ</t>
        </is>
      </c>
      <c r="D545" t="inlineStr"/>
      <c r="E545" s="5" t="n">
        <v>1</v>
      </c>
      <c r="F545" s="5" t="n">
        <v>1</v>
      </c>
      <c r="G545" s="13" t="n">
        <v>3900</v>
      </c>
      <c r="H545" s="12" t="n">
        <v>0</v>
      </c>
      <c r="I545" s="13" t="n">
        <v>3900</v>
      </c>
      <c r="J545" s="13" t="n">
        <v>3900</v>
      </c>
      <c r="K545" s="5" t="n">
        <v>1</v>
      </c>
      <c r="L545" s="5" t="n">
        <v>1</v>
      </c>
      <c r="M545" t="inlineStr">
        <is>
          <t>Комп’ютерне обладнання</t>
        </is>
      </c>
      <c r="N545" t="inlineStr">
        <is>
          <t>2025-10-20</t>
        </is>
      </c>
      <c r="O545" t="inlineStr">
        <is>
          <t>2025-10-20</t>
        </is>
      </c>
    </row>
    <row r="546">
      <c r="A546" s="5" t="n">
        <v>324</v>
      </c>
      <c r="B546" t="inlineStr">
        <is>
          <t>45109450</t>
        </is>
      </c>
      <c r="C546" t="inlineStr">
        <is>
          <t>ТОВ "КІБЕРТЕХ"</t>
        </is>
      </c>
      <c r="D546" t="inlineStr"/>
      <c r="E546" s="5" t="n">
        <v>1</v>
      </c>
      <c r="F546" s="5" t="n">
        <v>1</v>
      </c>
      <c r="G546" s="13" t="n">
        <v>3899</v>
      </c>
      <c r="H546" s="12" t="n">
        <v>0</v>
      </c>
      <c r="I546" s="13" t="n">
        <v>3899</v>
      </c>
      <c r="J546" s="13" t="n">
        <v>3899</v>
      </c>
      <c r="K546" s="5" t="n">
        <v>1</v>
      </c>
      <c r="L546" s="5" t="n">
        <v>1</v>
      </c>
      <c r="M546" t="inlineStr">
        <is>
          <t>Комп’ютерне обладнання</t>
        </is>
      </c>
      <c r="N546" t="inlineStr">
        <is>
          <t>2025-11-27</t>
        </is>
      </c>
      <c r="O546" t="inlineStr">
        <is>
          <t>2025-11-27</t>
        </is>
      </c>
    </row>
    <row r="547">
      <c r="A547" s="5" t="n">
        <v>325</v>
      </c>
      <c r="B547" t="inlineStr">
        <is>
          <t>2889508836</t>
        </is>
      </c>
      <c r="C547" t="inlineStr">
        <is>
          <t>ФОП БУРАНГУЛОВ ВЛАДИСЛАВ РАФІСОВИЧ</t>
        </is>
      </c>
      <c r="D547" t="inlineStr"/>
      <c r="E547" s="5" t="n">
        <v>1</v>
      </c>
      <c r="F547" s="5" t="n">
        <v>1</v>
      </c>
      <c r="G547" s="13" t="n">
        <v>3800</v>
      </c>
      <c r="H547" s="12" t="n">
        <v>0</v>
      </c>
      <c r="I547" s="13" t="n">
        <v>3800</v>
      </c>
      <c r="J547" s="13" t="n">
        <v>3800</v>
      </c>
      <c r="K547" s="5" t="n">
        <v>1</v>
      </c>
      <c r="L547" s="5" t="n">
        <v>1</v>
      </c>
      <c r="M547" t="inlineStr">
        <is>
          <t>Комп’ютерне обладнання</t>
        </is>
      </c>
      <c r="N547" t="inlineStr">
        <is>
          <t>2026-06-02</t>
        </is>
      </c>
      <c r="O547" t="inlineStr">
        <is>
          <t>2026-06-02</t>
        </is>
      </c>
    </row>
    <row r="548">
      <c r="A548" s="5" t="n">
        <v>326</v>
      </c>
      <c r="B548" t="inlineStr">
        <is>
          <t>2339712144</t>
        </is>
      </c>
      <c r="C548" t="inlineStr">
        <is>
          <t>ФОП Дудко Ірина Анатоліївна</t>
        </is>
      </c>
      <c r="D548" t="inlineStr"/>
      <c r="E548" s="5" t="n">
        <v>2</v>
      </c>
      <c r="F548" s="5" t="n">
        <v>2</v>
      </c>
      <c r="G548" s="13" t="n">
        <v>3540</v>
      </c>
      <c r="H548" s="12" t="n">
        <v>0</v>
      </c>
      <c r="I548" s="13" t="n">
        <v>1770</v>
      </c>
      <c r="J548" s="13" t="n">
        <v>1770</v>
      </c>
      <c r="K548" s="5" t="n">
        <v>2</v>
      </c>
      <c r="L548" s="5" t="n">
        <v>1</v>
      </c>
      <c r="M548" t="inlineStr">
        <is>
          <t>Комп’ютерне обладнання</t>
        </is>
      </c>
      <c r="N548" t="inlineStr">
        <is>
          <t>2026-02-16</t>
        </is>
      </c>
      <c r="O548" t="inlineStr">
        <is>
          <t>2026-05-19</t>
        </is>
      </c>
    </row>
    <row r="549">
      <c r="A549" s="5" t="n">
        <v>327</v>
      </c>
      <c r="B549" t="inlineStr">
        <is>
          <t>30012848</t>
        </is>
      </c>
      <c r="C549" t="inlineStr">
        <is>
          <t>Товариство з обмеженною вiдповiдальнiстю "АЛЛО"</t>
        </is>
      </c>
      <c r="D549" t="inlineStr"/>
      <c r="E549" s="5" t="n">
        <v>1</v>
      </c>
      <c r="F549" s="5" t="n">
        <v>1</v>
      </c>
      <c r="G549" s="13" t="n">
        <v>3249</v>
      </c>
      <c r="H549" s="12" t="n">
        <v>0</v>
      </c>
      <c r="I549" s="13" t="n">
        <v>3249</v>
      </c>
      <c r="J549" s="13" t="n">
        <v>3249</v>
      </c>
      <c r="K549" s="5" t="n">
        <v>1</v>
      </c>
      <c r="L549" s="5" t="n">
        <v>1</v>
      </c>
      <c r="M549" t="inlineStr">
        <is>
          <t>Комп’ютерне обладнання</t>
        </is>
      </c>
      <c r="N549" t="inlineStr">
        <is>
          <t>2026-03-12</t>
        </is>
      </c>
      <c r="O549" t="inlineStr">
        <is>
          <t>2026-03-12</t>
        </is>
      </c>
    </row>
    <row r="550">
      <c r="A550" s="5" t="n">
        <v>328</v>
      </c>
      <c r="B550" t="inlineStr">
        <is>
          <t>2360011233</t>
        </is>
      </c>
      <c r="C550" t="inlineStr">
        <is>
          <t>РОНСЬКИЙ ІГОР ВАСИЛЬОВИЧ</t>
        </is>
      </c>
      <c r="D550" t="inlineStr"/>
      <c r="E550" s="5" t="n">
        <v>1</v>
      </c>
      <c r="F550" s="5" t="n">
        <v>1</v>
      </c>
      <c r="G550" s="13" t="n">
        <v>3168</v>
      </c>
      <c r="H550" s="12" t="n">
        <v>0</v>
      </c>
      <c r="I550" s="13" t="n">
        <v>3168</v>
      </c>
      <c r="J550" s="13" t="n">
        <v>3168</v>
      </c>
      <c r="K550" s="5" t="n">
        <v>1</v>
      </c>
      <c r="L550" s="5" t="n">
        <v>1</v>
      </c>
      <c r="M550" t="inlineStr">
        <is>
          <t>Комп’ютерне обладнання</t>
        </is>
      </c>
      <c r="N550" t="inlineStr">
        <is>
          <t>2026-03-10</t>
        </is>
      </c>
      <c r="O550" t="inlineStr">
        <is>
          <t>2026-03-10</t>
        </is>
      </c>
    </row>
    <row r="551">
      <c r="A551" s="5" t="n">
        <v>329</v>
      </c>
      <c r="B551" t="inlineStr">
        <is>
          <t>37193071</t>
        </is>
      </c>
      <c r="C551" t="inlineStr">
        <is>
          <t>ТОВ "РОЗЕТКА. УА"</t>
        </is>
      </c>
      <c r="D551" t="inlineStr"/>
      <c r="E551" s="5" t="n">
        <v>1</v>
      </c>
      <c r="F551" s="5" t="n">
        <v>1</v>
      </c>
      <c r="G551" s="13" t="n">
        <v>2789</v>
      </c>
      <c r="H551" s="12" t="n">
        <v>0</v>
      </c>
      <c r="I551" s="13" t="n">
        <v>2789</v>
      </c>
      <c r="J551" s="13" t="n">
        <v>2789</v>
      </c>
      <c r="K551" s="5" t="n">
        <v>1</v>
      </c>
      <c r="L551" s="5" t="n">
        <v>1</v>
      </c>
      <c r="M551" t="inlineStr">
        <is>
          <t>Комп’ютерне обладнання</t>
        </is>
      </c>
      <c r="N551" t="inlineStr">
        <is>
          <t>2026-02-17</t>
        </is>
      </c>
      <c r="O551" t="inlineStr">
        <is>
          <t>2026-02-17</t>
        </is>
      </c>
    </row>
    <row r="552">
      <c r="A552" s="5" t="n">
        <v>330</v>
      </c>
      <c r="B552" t="inlineStr">
        <is>
          <t>3330407015</t>
        </is>
      </c>
      <c r="C552" t="inlineStr">
        <is>
          <t>Ремесленніков Олександр Олександрович</t>
        </is>
      </c>
      <c r="D552" t="inlineStr"/>
      <c r="E552" s="5" t="n">
        <v>1</v>
      </c>
      <c r="F552" s="5" t="n">
        <v>1</v>
      </c>
      <c r="G552" s="13" t="n">
        <v>2100</v>
      </c>
      <c r="H552" s="12" t="n">
        <v>0</v>
      </c>
      <c r="I552" s="13" t="n">
        <v>2100</v>
      </c>
      <c r="J552" s="13" t="n">
        <v>2100</v>
      </c>
      <c r="K552" s="5" t="n">
        <v>1</v>
      </c>
      <c r="L552" s="5" t="n">
        <v>1</v>
      </c>
      <c r="M552" t="inlineStr">
        <is>
          <t>Комп’ютерне обладнання</t>
        </is>
      </c>
      <c r="N552" t="inlineStr">
        <is>
          <t>2025-09-05</t>
        </is>
      </c>
      <c r="O552" t="inlineStr">
        <is>
          <t>2025-09-05</t>
        </is>
      </c>
    </row>
    <row r="553">
      <c r="A553" s="5" t="n">
        <v>331</v>
      </c>
      <c r="B553" t="inlineStr">
        <is>
          <t>1945215449</t>
        </is>
      </c>
      <c r="C553" t="inlineStr">
        <is>
          <t>ШПИРКОВСЬКА НАДІЯ ПАНАСІВНА</t>
        </is>
      </c>
      <c r="D553" t="inlineStr"/>
      <c r="E553" s="5" t="n">
        <v>1</v>
      </c>
      <c r="F553" s="5" t="n">
        <v>1</v>
      </c>
      <c r="G553" s="13" t="n">
        <v>2020</v>
      </c>
      <c r="H553" s="12" t="n">
        <v>0</v>
      </c>
      <c r="I553" s="13" t="n">
        <v>2020</v>
      </c>
      <c r="J553" s="13" t="n">
        <v>2020</v>
      </c>
      <c r="K553" s="5" t="n">
        <v>1</v>
      </c>
      <c r="L553" s="5" t="n">
        <v>1</v>
      </c>
      <c r="M553" t="inlineStr">
        <is>
          <t>Комп’ютерне обладнання</t>
        </is>
      </c>
      <c r="N553" t="inlineStr">
        <is>
          <t>2026-05-14</t>
        </is>
      </c>
      <c r="O553" t="inlineStr">
        <is>
          <t>2026-05-14</t>
        </is>
      </c>
    </row>
    <row r="554">
      <c r="A554" s="5" t="n">
        <v>332</v>
      </c>
      <c r="B554" t="inlineStr">
        <is>
          <t>3024206233</t>
        </is>
      </c>
      <c r="C554" t="inlineStr">
        <is>
          <t>КУРІНЧУК ОЛЕКСАНДР ПАВЛОВИЧ</t>
        </is>
      </c>
      <c r="D554" t="inlineStr"/>
      <c r="E554" s="5" t="n">
        <v>2</v>
      </c>
      <c r="F554" s="5" t="n">
        <v>2</v>
      </c>
      <c r="G554" s="13" t="n">
        <v>2020</v>
      </c>
      <c r="H554" s="12" t="n">
        <v>0</v>
      </c>
      <c r="I554" s="13" t="n">
        <v>1010</v>
      </c>
      <c r="J554" s="13" t="n">
        <v>1010</v>
      </c>
      <c r="K554" s="5" t="n">
        <v>2</v>
      </c>
      <c r="L554" s="5" t="n">
        <v>1</v>
      </c>
      <c r="M554" t="inlineStr">
        <is>
          <t>Комп’ютерне обладнання</t>
        </is>
      </c>
      <c r="N554" t="inlineStr">
        <is>
          <t>2025-09-04</t>
        </is>
      </c>
      <c r="O554" t="inlineStr">
        <is>
          <t>2025-09-15</t>
        </is>
      </c>
    </row>
    <row r="555">
      <c r="A555" s="5" t="n">
        <v>333</v>
      </c>
      <c r="B555" t="inlineStr">
        <is>
          <t>2976903320</t>
        </is>
      </c>
      <c r="C555" t="inlineStr">
        <is>
          <t>ЦАЛЬ-ЦАЛЬКО ГАЛИНА ВОЛОДИМИРІВНА</t>
        </is>
      </c>
      <c r="D555" t="inlineStr"/>
      <c r="E555" s="5" t="n">
        <v>1</v>
      </c>
      <c r="F555" s="5" t="n">
        <v>1</v>
      </c>
      <c r="G555" s="13" t="n">
        <v>1995</v>
      </c>
      <c r="H555" s="12" t="n">
        <v>0</v>
      </c>
      <c r="I555" s="13" t="n">
        <v>1995</v>
      </c>
      <c r="J555" s="13" t="n">
        <v>1995</v>
      </c>
      <c r="K555" s="5" t="n">
        <v>1</v>
      </c>
      <c r="L555" s="5" t="n">
        <v>1</v>
      </c>
      <c r="M555" t="inlineStr">
        <is>
          <t>Комп’ютерне обладнання</t>
        </is>
      </c>
      <c r="N555" t="inlineStr">
        <is>
          <t>2025-12-29</t>
        </is>
      </c>
      <c r="O555" t="inlineStr">
        <is>
          <t>2025-12-29</t>
        </is>
      </c>
    </row>
    <row r="556">
      <c r="A556" s="5" t="n">
        <v>334</v>
      </c>
      <c r="B556" t="inlineStr">
        <is>
          <t>2473018513</t>
        </is>
      </c>
      <c r="C556" t="inlineStr">
        <is>
          <t>СКОРОХОД ВІТАЛІЙ ОЛЕКСАНДРОВИЧ</t>
        </is>
      </c>
      <c r="D556" t="inlineStr"/>
      <c r="E556" s="5" t="n">
        <v>1</v>
      </c>
      <c r="F556" s="5" t="n">
        <v>1</v>
      </c>
      <c r="G556" s="13" t="n">
        <v>1899</v>
      </c>
      <c r="H556" s="12" t="n">
        <v>0</v>
      </c>
      <c r="I556" s="13" t="n">
        <v>1899</v>
      </c>
      <c r="J556" s="13" t="n">
        <v>1899</v>
      </c>
      <c r="K556" s="5" t="n">
        <v>1</v>
      </c>
      <c r="L556" s="5" t="n">
        <v>1</v>
      </c>
      <c r="M556" t="inlineStr">
        <is>
          <t>Комп’ютерне обладнання</t>
        </is>
      </c>
      <c r="N556" t="inlineStr">
        <is>
          <t>2026-04-27</t>
        </is>
      </c>
      <c r="O556" t="inlineStr">
        <is>
          <t>2026-04-27</t>
        </is>
      </c>
    </row>
    <row r="557">
      <c r="A557" s="5" t="n">
        <v>335</v>
      </c>
      <c r="B557" t="inlineStr">
        <is>
          <t>13581333</t>
        </is>
      </c>
      <c r="C557" t="inlineStr">
        <is>
          <t>Спільна фірма "Ортекс"</t>
        </is>
      </c>
      <c r="D557" t="inlineStr"/>
      <c r="E557" s="5" t="n">
        <v>1</v>
      </c>
      <c r="F557" s="5" t="n">
        <v>1</v>
      </c>
      <c r="G557" s="13" t="n">
        <v>1770</v>
      </c>
      <c r="H557" s="12" t="n">
        <v>0</v>
      </c>
      <c r="I557" s="13" t="n">
        <v>1770</v>
      </c>
      <c r="J557" s="13" t="n">
        <v>1770</v>
      </c>
      <c r="K557" s="5" t="n">
        <v>1</v>
      </c>
      <c r="L557" s="5" t="n">
        <v>1</v>
      </c>
      <c r="M557" t="inlineStr">
        <is>
          <t>Комп’ютерне обладнання</t>
        </is>
      </c>
      <c r="N557" t="inlineStr">
        <is>
          <t>2026-08-17</t>
        </is>
      </c>
      <c r="O557" t="inlineStr">
        <is>
          <t>2026-08-17</t>
        </is>
      </c>
    </row>
    <row r="558">
      <c r="A558" s="5" t="n">
        <v>336</v>
      </c>
      <c r="B558" t="inlineStr">
        <is>
          <t>2693407854</t>
        </is>
      </c>
      <c r="C558" t="inlineStr">
        <is>
          <t>ПОЛІЩУК ОЛЕГ ВАЛЕНТИНОВИЧ</t>
        </is>
      </c>
      <c r="D558" t="inlineStr"/>
      <c r="E558" s="5" t="n">
        <v>2</v>
      </c>
      <c r="F558" s="5" t="n">
        <v>2</v>
      </c>
      <c r="G558" s="13" t="n">
        <v>1598</v>
      </c>
      <c r="H558" s="12" t="n">
        <v>0</v>
      </c>
      <c r="I558" s="13" t="n">
        <v>799</v>
      </c>
      <c r="J558" s="13" t="n">
        <v>799</v>
      </c>
      <c r="K558" s="5" t="n">
        <v>1</v>
      </c>
      <c r="L558" s="5" t="n">
        <v>1</v>
      </c>
      <c r="M558" t="inlineStr">
        <is>
          <t>Комп’ютерне обладнання</t>
        </is>
      </c>
      <c r="N558" t="inlineStr">
        <is>
          <t>2025-12-18</t>
        </is>
      </c>
      <c r="O558" t="inlineStr">
        <is>
          <t>2026-04-16</t>
        </is>
      </c>
    </row>
    <row r="559">
      <c r="A559" s="5" t="n">
        <v>337</v>
      </c>
      <c r="B559" t="inlineStr">
        <is>
          <t>3222018454</t>
        </is>
      </c>
      <c r="C559" t="inlineStr">
        <is>
          <t>УСІК МИКОЛА МИКОЛАЙОВИЧ</t>
        </is>
      </c>
      <c r="D559" t="inlineStr"/>
      <c r="E559" s="5" t="n">
        <v>3</v>
      </c>
      <c r="F559" s="5" t="n">
        <v>3</v>
      </c>
      <c r="G559" s="13" t="n">
        <v>1595</v>
      </c>
      <c r="H559" s="12" t="n">
        <v>0</v>
      </c>
      <c r="I559" s="13" t="n">
        <v>531.67</v>
      </c>
      <c r="J559" s="13" t="n">
        <v>500</v>
      </c>
      <c r="K559" s="5" t="n">
        <v>3</v>
      </c>
      <c r="L559" s="5" t="n">
        <v>1</v>
      </c>
      <c r="M559" t="inlineStr">
        <is>
          <t>Комп’ютерне обладнання</t>
        </is>
      </c>
      <c r="N559" t="inlineStr">
        <is>
          <t>2025-09-03</t>
        </is>
      </c>
      <c r="O559" t="inlineStr">
        <is>
          <t>2026-07-15</t>
        </is>
      </c>
    </row>
    <row r="560">
      <c r="A560" s="5" t="n">
        <v>338</v>
      </c>
      <c r="B560" t="inlineStr">
        <is>
          <t>41883308</t>
        </is>
      </c>
      <c r="C560" t="inlineStr">
        <is>
          <t>ТОВ "СЕРВІС КАНЦЕЛЯРІЯ" Інформація про кінцевого бенефіціарного власника: ЦИПЛЮК ВОЛОДИМИР ІЛАРІОНОВИЧ, громадянство: Україна. Тип бенефіціарного володіння: Прямий вирішальний вплив Відсоток частки статутного капіталу або відсоток права голосу: 90 Перелік засновників (учасників) юридичної особи: КУНАШЕНКО ТЕТЯНА МИКОЛАЇВНА, громадянство: Україна, Місцезнаходження: Україна, 45200, Волинська обл., Луцький р-н, місто Ківерці, вул.Бандери Степана, будинок 36, квартира 1, ЦИПЛЮК ВОЛОДИМИР ІЛАРІОНОВИЧ, громадянство: Україна, Місцезнаходження: Україна, 45642, Волинська обл., Луцький р-н, село Одеради, ВУЛИЦЯ НАБЕРЕЖНА, будинок 22, БАЛЕЦЬКА ЮЛІЯ МИКОЛАЇВНА, громадянство: Україна, Місцезнаходження: Україна, 45200, Волинська обл., Луцький р-н, місто Ківерці, вул.Бандери Степана, будинок 36, квартира 1</t>
        </is>
      </c>
      <c r="D560" t="inlineStr"/>
      <c r="E560" s="5" t="n">
        <v>1</v>
      </c>
      <c r="F560" s="5" t="n">
        <v>1</v>
      </c>
      <c r="G560" s="13" t="n">
        <v>1514.42</v>
      </c>
      <c r="H560" s="12" t="n">
        <v>0</v>
      </c>
      <c r="I560" s="13" t="n">
        <v>1514.42</v>
      </c>
      <c r="J560" s="13" t="n">
        <v>1514.42</v>
      </c>
      <c r="K560" s="5" t="n">
        <v>1</v>
      </c>
      <c r="L560" s="5" t="n">
        <v>1</v>
      </c>
      <c r="M560" t="inlineStr">
        <is>
          <t>Комп’ютерне обладнання</t>
        </is>
      </c>
      <c r="N560" t="inlineStr">
        <is>
          <t>2026-02-26</t>
        </is>
      </c>
      <c r="O560" t="inlineStr">
        <is>
          <t>2026-02-26</t>
        </is>
      </c>
    </row>
    <row r="561">
      <c r="A561" s="5" t="n">
        <v>339</v>
      </c>
      <c r="B561" t="inlineStr">
        <is>
          <t>3090222112</t>
        </is>
      </c>
      <c r="C561" t="inlineStr">
        <is>
          <t>ЯЩУК РОМАН ВАСИЛЬОВИЧ</t>
        </is>
      </c>
      <c r="D561" t="inlineStr"/>
      <c r="E561" s="5" t="n">
        <v>1</v>
      </c>
      <c r="F561" s="5" t="n">
        <v>1</v>
      </c>
      <c r="G561" s="13" t="n">
        <v>1380</v>
      </c>
      <c r="H561" s="12" t="n">
        <v>0</v>
      </c>
      <c r="I561" s="13" t="n">
        <v>1380</v>
      </c>
      <c r="J561" s="13" t="n">
        <v>1380</v>
      </c>
      <c r="K561" s="5" t="n">
        <v>1</v>
      </c>
      <c r="L561" s="5" t="n">
        <v>1</v>
      </c>
      <c r="M561" t="inlineStr">
        <is>
          <t>Комп’ютерне обладнання</t>
        </is>
      </c>
      <c r="N561" t="inlineStr">
        <is>
          <t>2026-06-30</t>
        </is>
      </c>
      <c r="O561" t="inlineStr">
        <is>
          <t>2026-06-30</t>
        </is>
      </c>
    </row>
    <row r="562">
      <c r="A562" s="5" t="n">
        <v>340</v>
      </c>
      <c r="B562" t="inlineStr">
        <is>
          <t>3141909790</t>
        </is>
      </c>
      <c r="C562" t="inlineStr">
        <is>
          <t>МЕЛЬНИК АНДРІЙ МИКОЛАЙОВИЧ</t>
        </is>
      </c>
      <c r="D562" t="inlineStr"/>
      <c r="E562" s="5" t="n">
        <v>1</v>
      </c>
      <c r="F562" s="5" t="n">
        <v>1</v>
      </c>
      <c r="G562" s="13" t="n">
        <v>1300</v>
      </c>
      <c r="H562" s="12" t="n">
        <v>0</v>
      </c>
      <c r="I562" s="13" t="n">
        <v>1300</v>
      </c>
      <c r="J562" s="13" t="n">
        <v>1300</v>
      </c>
      <c r="K562" s="5" t="n">
        <v>1</v>
      </c>
      <c r="L562" s="5" t="n">
        <v>1</v>
      </c>
      <c r="M562" t="inlineStr">
        <is>
          <t>Комп’ютерне обладнання</t>
        </is>
      </c>
      <c r="N562" t="inlineStr">
        <is>
          <t>2025-09-12</t>
        </is>
      </c>
      <c r="O562" t="inlineStr">
        <is>
          <t>2025-09-12</t>
        </is>
      </c>
    </row>
    <row r="563">
      <c r="A563" s="5" t="n">
        <v>341</v>
      </c>
      <c r="B563" t="inlineStr">
        <is>
          <t>3165720008</t>
        </is>
      </c>
      <c r="C563" t="inlineStr">
        <is>
          <t>ЗАПІСОЦЬКА ОЛЕКСАНДРА МИХАЙЛІВНА</t>
        </is>
      </c>
      <c r="D563" t="inlineStr"/>
      <c r="E563" s="5" t="n">
        <v>2</v>
      </c>
      <c r="F563" s="5" t="n">
        <v>2</v>
      </c>
      <c r="G563" s="13" t="n">
        <v>1214.35</v>
      </c>
      <c r="H563" s="12" t="n">
        <v>0</v>
      </c>
      <c r="I563" s="13" t="n">
        <v>607.17</v>
      </c>
      <c r="J563" s="13" t="n">
        <v>607.17</v>
      </c>
      <c r="K563" s="5" t="n">
        <v>2</v>
      </c>
      <c r="L563" s="5" t="n">
        <v>1</v>
      </c>
      <c r="M563" t="inlineStr">
        <is>
          <t>Комп’ютерне обладнання</t>
        </is>
      </c>
      <c r="N563" t="inlineStr">
        <is>
          <t>2025-09-10</t>
        </is>
      </c>
      <c r="O563" t="inlineStr">
        <is>
          <t>2025-12-17</t>
        </is>
      </c>
    </row>
    <row r="564">
      <c r="A564" s="5" t="n">
        <v>342</v>
      </c>
      <c r="B564" t="inlineStr">
        <is>
          <t>2963304946</t>
        </is>
      </c>
      <c r="C564" t="inlineStr">
        <is>
          <t>ФОП Погожева Катерина Олексіївна</t>
        </is>
      </c>
      <c r="D564" t="inlineStr"/>
      <c r="E564" s="5" t="n">
        <v>1</v>
      </c>
      <c r="F564" s="5" t="n">
        <v>1</v>
      </c>
      <c r="G564" s="13" t="n">
        <v>780</v>
      </c>
      <c r="H564" s="12" t="n">
        <v>0</v>
      </c>
      <c r="I564" s="13" t="n">
        <v>780</v>
      </c>
      <c r="J564" s="13" t="n">
        <v>780</v>
      </c>
      <c r="K564" s="5" t="n">
        <v>1</v>
      </c>
      <c r="L564" s="5" t="n">
        <v>1</v>
      </c>
      <c r="M564" t="inlineStr">
        <is>
          <t>Комп’ютерне обладнання</t>
        </is>
      </c>
      <c r="N564" t="inlineStr">
        <is>
          <t>2026-06-09</t>
        </is>
      </c>
      <c r="O564" t="inlineStr">
        <is>
          <t>2026-06-09</t>
        </is>
      </c>
    </row>
    <row r="565">
      <c r="A565" s="5" t="n">
        <v>343</v>
      </c>
      <c r="B565" t="inlineStr">
        <is>
          <t>3084005662</t>
        </is>
      </c>
      <c r="C565" t="inlineStr">
        <is>
          <t>ФОП Студинська Ірина Сергіївна</t>
        </is>
      </c>
      <c r="D565" t="inlineStr"/>
      <c r="E565" s="5" t="n">
        <v>1</v>
      </c>
      <c r="F565" s="5" t="n">
        <v>1</v>
      </c>
      <c r="G565" s="13" t="n">
        <v>765</v>
      </c>
      <c r="H565" s="12" t="n">
        <v>0</v>
      </c>
      <c r="I565" s="13" t="n">
        <v>765</v>
      </c>
      <c r="J565" s="13" t="n">
        <v>765</v>
      </c>
      <c r="K565" s="5" t="n">
        <v>1</v>
      </c>
      <c r="L565" s="5" t="n">
        <v>1</v>
      </c>
      <c r="M565" t="inlineStr">
        <is>
          <t>Комп’ютерне обладнання</t>
        </is>
      </c>
      <c r="N565" t="inlineStr">
        <is>
          <t>2025-09-17</t>
        </is>
      </c>
      <c r="O565" t="inlineStr">
        <is>
          <t>2025-09-17</t>
        </is>
      </c>
    </row>
    <row r="566">
      <c r="A566" s="5" t="n">
        <v>344</v>
      </c>
      <c r="B566" t="inlineStr">
        <is>
          <t>2660901610</t>
        </is>
      </c>
      <c r="C566" t="inlineStr">
        <is>
          <t>ФОП Берестюк Олег Миколайович</t>
        </is>
      </c>
      <c r="D566" t="inlineStr"/>
      <c r="E566" s="5" t="n">
        <v>1</v>
      </c>
      <c r="F566" s="5" t="n">
        <v>1</v>
      </c>
      <c r="G566" s="13" t="n">
        <v>760</v>
      </c>
      <c r="H566" s="12" t="n">
        <v>0</v>
      </c>
      <c r="I566" s="13" t="n">
        <v>760</v>
      </c>
      <c r="J566" s="13" t="n">
        <v>760</v>
      </c>
      <c r="K566" s="5" t="n">
        <v>1</v>
      </c>
      <c r="L566" s="5" t="n">
        <v>1</v>
      </c>
      <c r="M566" t="inlineStr">
        <is>
          <t>Комп’ютерне обладнання</t>
        </is>
      </c>
      <c r="N566" t="inlineStr">
        <is>
          <t>2025-09-12</t>
        </is>
      </c>
      <c r="O566" t="inlineStr">
        <is>
          <t>2025-09-12</t>
        </is>
      </c>
    </row>
    <row r="567">
      <c r="A567" s="5" t="n">
        <v>345</v>
      </c>
      <c r="B567" t="inlineStr">
        <is>
          <t>20130489</t>
        </is>
      </c>
      <c r="C567" t="inlineStr">
        <is>
          <t>ФОП ІВАНІВ ОКСАНА ОЛЕКСАНДРІВНА</t>
        </is>
      </c>
      <c r="D567" t="inlineStr"/>
      <c r="E567" s="5" t="n">
        <v>1</v>
      </c>
      <c r="F567" s="5" t="n">
        <v>1</v>
      </c>
      <c r="G567" s="13" t="n">
        <v>756</v>
      </c>
      <c r="H567" s="12" t="n">
        <v>0</v>
      </c>
      <c r="I567" s="13" t="n">
        <v>756</v>
      </c>
      <c r="J567" s="13" t="n">
        <v>756</v>
      </c>
      <c r="K567" s="5" t="n">
        <v>1</v>
      </c>
      <c r="L567" s="5" t="n">
        <v>1</v>
      </c>
      <c r="M567" t="inlineStr">
        <is>
          <t>Комп’ютерне обладнання</t>
        </is>
      </c>
      <c r="N567" t="inlineStr">
        <is>
          <t>2026-07-06</t>
        </is>
      </c>
      <c r="O567" t="inlineStr">
        <is>
          <t>2026-07-06</t>
        </is>
      </c>
    </row>
    <row r="568">
      <c r="A568" s="5" t="n">
        <v>346</v>
      </c>
      <c r="B568" t="inlineStr">
        <is>
          <t>3008603704</t>
        </is>
      </c>
      <c r="C568" t="inlineStr">
        <is>
          <t>ЛЕМЕЩУК ТЕТЯНА МИКОЛАЇВНА</t>
        </is>
      </c>
      <c r="D568" t="inlineStr"/>
      <c r="E568" s="5" t="n">
        <v>3</v>
      </c>
      <c r="F568" s="5" t="n">
        <v>3</v>
      </c>
      <c r="G568" s="13" t="n">
        <v>686</v>
      </c>
      <c r="H568" s="12" t="n">
        <v>0</v>
      </c>
      <c r="I568" s="13" t="n">
        <v>228.67</v>
      </c>
      <c r="J568" s="13" t="n">
        <v>300</v>
      </c>
      <c r="K568" s="5" t="n">
        <v>2</v>
      </c>
      <c r="L568" s="5" t="n">
        <v>1</v>
      </c>
      <c r="M568" t="inlineStr">
        <is>
          <t>Комп’ютерне обладнання</t>
        </is>
      </c>
      <c r="N568" t="inlineStr">
        <is>
          <t>2025-11-06</t>
        </is>
      </c>
      <c r="O568" t="inlineStr">
        <is>
          <t>2026-08-31</t>
        </is>
      </c>
    </row>
    <row r="569">
      <c r="A569" s="5" t="n">
        <v>347</v>
      </c>
      <c r="B569" t="inlineStr">
        <is>
          <t>2452609501</t>
        </is>
      </c>
      <c r="C569" t="inlineStr">
        <is>
          <t>ЦИПЛЮК ОЛЬГА ДМИТРІВНА</t>
        </is>
      </c>
      <c r="D569" t="inlineStr"/>
      <c r="E569" s="5" t="n">
        <v>1</v>
      </c>
      <c r="F569" s="5" t="n">
        <v>1</v>
      </c>
      <c r="G569" s="13" t="n">
        <v>631.22</v>
      </c>
      <c r="H569" s="12" t="n">
        <v>0</v>
      </c>
      <c r="I569" s="13" t="n">
        <v>631.22</v>
      </c>
      <c r="J569" s="13" t="n">
        <v>631.22</v>
      </c>
      <c r="K569" s="5" t="n">
        <v>1</v>
      </c>
      <c r="L569" s="5" t="n">
        <v>1</v>
      </c>
      <c r="M569" t="inlineStr">
        <is>
          <t>Комп’ютерне обладнання</t>
        </is>
      </c>
      <c r="N569" t="inlineStr">
        <is>
          <t>2025-12-25</t>
        </is>
      </c>
      <c r="O569" t="inlineStr">
        <is>
          <t>2025-12-25</t>
        </is>
      </c>
    </row>
    <row r="570">
      <c r="A570" s="5" t="n">
        <v>348</v>
      </c>
      <c r="B570" t="inlineStr">
        <is>
          <t>30310579</t>
        </is>
      </c>
      <c r="C570" t="inlineStr">
        <is>
          <t>ТОВ "ВЕНБЕСТ"</t>
        </is>
      </c>
      <c r="D570" t="inlineStr"/>
      <c r="E570" s="5" t="n">
        <v>1</v>
      </c>
      <c r="F570" s="5" t="n">
        <v>1</v>
      </c>
      <c r="G570" s="13" t="n">
        <v>600</v>
      </c>
      <c r="H570" s="12" t="n">
        <v>0</v>
      </c>
      <c r="I570" s="13" t="n">
        <v>600</v>
      </c>
      <c r="J570" s="13" t="n">
        <v>600</v>
      </c>
      <c r="K570" s="5" t="n">
        <v>1</v>
      </c>
      <c r="L570" s="5" t="n">
        <v>1</v>
      </c>
      <c r="M570" t="inlineStr">
        <is>
          <t>Комп’ютерне обладнання</t>
        </is>
      </c>
      <c r="N570" t="inlineStr">
        <is>
          <t>2026-06-04</t>
        </is>
      </c>
      <c r="O570" t="inlineStr">
        <is>
          <t>2026-06-04</t>
        </is>
      </c>
    </row>
    <row r="571">
      <c r="A571" s="5" t="n">
        <v>349</v>
      </c>
      <c r="B571" t="inlineStr">
        <is>
          <t>2760301886</t>
        </is>
      </c>
      <c r="C571" t="inlineStr">
        <is>
          <t>ОПАНАСИК НАТАЛІЯ ПЕТРІВНА</t>
        </is>
      </c>
      <c r="D571" t="inlineStr"/>
      <c r="E571" s="5" t="n">
        <v>1</v>
      </c>
      <c r="F571" s="5" t="n">
        <v>1</v>
      </c>
      <c r="G571" s="13" t="n">
        <v>560</v>
      </c>
      <c r="H571" s="12" t="n">
        <v>0</v>
      </c>
      <c r="I571" s="13" t="n">
        <v>560</v>
      </c>
      <c r="J571" s="13" t="n">
        <v>560</v>
      </c>
      <c r="K571" s="5" t="n">
        <v>1</v>
      </c>
      <c r="L571" s="5" t="n">
        <v>1</v>
      </c>
      <c r="M571" t="inlineStr">
        <is>
          <t>Комп’ютерне обладнання</t>
        </is>
      </c>
      <c r="N571" t="inlineStr">
        <is>
          <t>2026-05-04</t>
        </is>
      </c>
      <c r="O571" t="inlineStr">
        <is>
          <t>2026-05-04</t>
        </is>
      </c>
    </row>
    <row r="572">
      <c r="A572" s="5" t="n">
        <v>350</v>
      </c>
      <c r="B572" t="inlineStr">
        <is>
          <t>1974512946</t>
        </is>
      </c>
      <c r="C572" t="inlineStr">
        <is>
          <t>ФОП Гладченко Л С</t>
        </is>
      </c>
      <c r="D572" t="inlineStr"/>
      <c r="E572" s="5" t="n">
        <v>1</v>
      </c>
      <c r="F572" s="5" t="n">
        <v>1</v>
      </c>
      <c r="G572" s="13" t="n">
        <v>540</v>
      </c>
      <c r="H572" s="12" t="n">
        <v>0</v>
      </c>
      <c r="I572" s="13" t="n">
        <v>540</v>
      </c>
      <c r="J572" s="13" t="n">
        <v>540</v>
      </c>
      <c r="K572" s="5" t="n">
        <v>1</v>
      </c>
      <c r="L572" s="5" t="n">
        <v>1</v>
      </c>
      <c r="M572" t="inlineStr">
        <is>
          <t>Комп’ютерне обладнання</t>
        </is>
      </c>
      <c r="N572" t="inlineStr">
        <is>
          <t>2026-03-10</t>
        </is>
      </c>
      <c r="O572" t="inlineStr">
        <is>
          <t>2026-03-10</t>
        </is>
      </c>
    </row>
    <row r="573">
      <c r="A573" s="5" t="n">
        <v>351</v>
      </c>
      <c r="B573" t="inlineStr">
        <is>
          <t>2870110110</t>
        </is>
      </c>
      <c r="C573" t="inlineStr">
        <is>
          <t>ФОП Мучак Роман Володимирович</t>
        </is>
      </c>
      <c r="D573" t="inlineStr"/>
      <c r="E573" s="5" t="n">
        <v>1</v>
      </c>
      <c r="F573" s="5" t="n">
        <v>1</v>
      </c>
      <c r="G573" s="13" t="n">
        <v>220</v>
      </c>
      <c r="H573" s="12" t="n">
        <v>0</v>
      </c>
      <c r="I573" s="13" t="n">
        <v>220</v>
      </c>
      <c r="J573" s="13" t="n">
        <v>220</v>
      </c>
      <c r="K573" s="5" t="n">
        <v>1</v>
      </c>
      <c r="L573" s="5" t="n">
        <v>1</v>
      </c>
      <c r="M573" t="inlineStr">
        <is>
          <t>Комп’ютерне обладнання</t>
        </is>
      </c>
      <c r="N573" t="inlineStr">
        <is>
          <t>2025-09-12</t>
        </is>
      </c>
      <c r="O573" t="inlineStr">
        <is>
          <t>2025-09-12</t>
        </is>
      </c>
    </row>
    <row r="574">
      <c r="A574" s="5" t="n">
        <v>352</v>
      </c>
      <c r="B574" t="inlineStr">
        <is>
          <t>2928907033</t>
        </is>
      </c>
      <c r="C574" t="inlineStr">
        <is>
          <t>ФОП Корзун Р. Ю.</t>
        </is>
      </c>
      <c r="D574" t="inlineStr"/>
      <c r="E574" s="5" t="n">
        <v>1</v>
      </c>
      <c r="F574" s="5" t="n">
        <v>1</v>
      </c>
      <c r="G574" s="13" t="n">
        <v>192</v>
      </c>
      <c r="H574" s="12" t="n">
        <v>0</v>
      </c>
      <c r="I574" s="13" t="n">
        <v>192</v>
      </c>
      <c r="J574" s="13" t="n">
        <v>192</v>
      </c>
      <c r="K574" s="5" t="n">
        <v>1</v>
      </c>
      <c r="L574" s="5" t="n">
        <v>1</v>
      </c>
      <c r="M574" t="inlineStr">
        <is>
          <t>Комп’ютерне обладнання</t>
        </is>
      </c>
      <c r="N574" t="inlineStr">
        <is>
          <t>2025-09-04</t>
        </is>
      </c>
      <c r="O574" t="inlineStr">
        <is>
          <t>2025-09-04</t>
        </is>
      </c>
    </row>
    <row r="576">
      <c r="A576" s="2" t="inlineStr">
        <is>
          <t>Замовники</t>
        </is>
      </c>
    </row>
    <row r="577">
      <c r="A577" s="11" t="inlineStr">
        <is>
          <t>ЄДРПОУ</t>
        </is>
      </c>
      <c r="B577" s="11" t="inlineStr">
        <is>
          <t>Замовник</t>
        </is>
      </c>
      <c r="C577" s="11" t="inlineStr">
        <is>
          <t>Регіон</t>
        </is>
      </c>
      <c r="D577" s="11" t="inlineStr">
        <is>
          <t>Закупівель</t>
        </is>
      </c>
      <c r="E577" s="11" t="inlineStr">
        <is>
          <t>Очікувана вартість, грн</t>
        </is>
      </c>
      <c r="F577" s="11" t="inlineStr">
        <is>
          <t>Сума угод, грн</t>
        </is>
      </c>
      <c r="G577" s="11" t="inlineStr">
        <is>
          <t>Постачальників</t>
        </is>
      </c>
      <c r="H577" s="11" t="inlineStr">
        <is>
          <t>Наша сума, грн</t>
        </is>
      </c>
      <c r="I577" s="11" t="inlineStr">
        <is>
          <t>Наша частка</t>
        </is>
      </c>
    </row>
    <row r="578">
      <c r="A578" t="inlineStr">
        <is>
          <t>13358826</t>
        </is>
      </c>
      <c r="B578" t="inlineStr">
        <is>
          <t>ГОЛОВНЕ УПРАВЛІННЯ ПЕНСІЙНОГО ФОНДУ УКРАЇНИ У ВОЛИНСЬКІЙ ОБЛАСТІ</t>
        </is>
      </c>
      <c r="C578" t="inlineStr">
        <is>
          <t>Волинська область</t>
        </is>
      </c>
      <c r="D578" s="5" t="n">
        <v>23</v>
      </c>
      <c r="E578" s="13" t="n">
        <v>20897400</v>
      </c>
      <c r="F578" s="13" t="n">
        <v>16954160.02</v>
      </c>
      <c r="G578" s="5" t="n">
        <v>12</v>
      </c>
      <c r="H578" s="13" t="n">
        <v>0</v>
      </c>
      <c r="I578" s="12" t="n">
        <v>0</v>
      </c>
    </row>
    <row r="579">
      <c r="A579" t="inlineStr">
        <is>
          <t>26276277</t>
        </is>
      </c>
      <c r="B579" t="inlineStr">
        <is>
          <t>Територіальне управління Державної судової адміністрації України в Волинській області</t>
        </is>
      </c>
      <c r="C579" t="inlineStr">
        <is>
          <t>Волинська область</t>
        </is>
      </c>
      <c r="D579" s="5" t="n">
        <v>31</v>
      </c>
      <c r="E579" s="13" t="n">
        <v>9952527</v>
      </c>
      <c r="F579" s="13" t="n">
        <v>5320517.04</v>
      </c>
      <c r="G579" s="5" t="n">
        <v>16</v>
      </c>
      <c r="H579" s="13" t="n">
        <v>0</v>
      </c>
      <c r="I579" s="12" t="n">
        <v>0</v>
      </c>
    </row>
    <row r="580">
      <c r="A580" t="inlineStr">
        <is>
          <t>14321661</t>
        </is>
      </c>
      <c r="B580" t="inlineStr">
        <is>
          <t>Військова частина 9971</t>
        </is>
      </c>
      <c r="C580" t="inlineStr">
        <is>
          <t>Волинська область</t>
        </is>
      </c>
      <c r="D580" s="5" t="n">
        <v>26</v>
      </c>
      <c r="E580" s="13" t="n">
        <v>5319536.36</v>
      </c>
      <c r="F580" s="13" t="n">
        <v>4615745.1</v>
      </c>
      <c r="G580" s="5" t="n">
        <v>17</v>
      </c>
      <c r="H580" s="13" t="n">
        <v>611775</v>
      </c>
      <c r="I580" s="12" t="n">
        <v>0.1325</v>
      </c>
    </row>
    <row r="581">
      <c r="A581" t="inlineStr">
        <is>
          <t>04051327</t>
        </is>
      </c>
      <c r="B581" t="inlineStr">
        <is>
          <t>Виконавчий комітет Луцької міської ради</t>
        </is>
      </c>
      <c r="C581" t="inlineStr">
        <is>
          <t>Волинська область</t>
        </is>
      </c>
      <c r="D581" s="5" t="n">
        <v>80</v>
      </c>
      <c r="E581" s="13" t="n">
        <v>6767545.79</v>
      </c>
      <c r="F581" s="13" t="n">
        <v>4322499.13</v>
      </c>
      <c r="G581" s="5" t="n">
        <v>38</v>
      </c>
      <c r="H581" s="13" t="n">
        <v>0</v>
      </c>
      <c r="I581" s="12" t="n">
        <v>0</v>
      </c>
    </row>
    <row r="582">
      <c r="A582" t="inlineStr">
        <is>
          <t>21739873</t>
        </is>
      </c>
      <c r="B582" t="inlineStr">
        <is>
          <t>НОВОВОЛИНСЬКИЙ ЛІЦЕЙ №8 НОВОВОЛИНСЬКОЇ МІСЬКОЇ РАДИ ВОЛИНСЬКОЇ ОБЛАСТІ</t>
        </is>
      </c>
      <c r="C582" t="inlineStr">
        <is>
          <t>Волинська область</t>
        </is>
      </c>
      <c r="D582" s="5" t="n">
        <v>1</v>
      </c>
      <c r="E582" s="13" t="n">
        <v>4116900</v>
      </c>
      <c r="F582" s="13" t="n">
        <v>4116900</v>
      </c>
      <c r="G582" s="5" t="n">
        <v>1</v>
      </c>
      <c r="H582" s="13" t="n">
        <v>0</v>
      </c>
      <c r="I582" s="12" t="n">
        <v>0</v>
      </c>
    </row>
    <row r="583">
      <c r="A583" t="inlineStr">
        <is>
          <t>26614751</t>
        </is>
      </c>
      <c r="B583" t="inlineStr">
        <is>
          <t>Військова частина А 1008</t>
        </is>
      </c>
      <c r="C583" t="inlineStr">
        <is>
          <t>Волинська область</t>
        </is>
      </c>
      <c r="D583" s="5" t="n">
        <v>12</v>
      </c>
      <c r="E583" s="13" t="n">
        <v>4744655.91</v>
      </c>
      <c r="F583" s="13" t="n">
        <v>3452629.9</v>
      </c>
      <c r="G583" s="5" t="n">
        <v>6</v>
      </c>
      <c r="H583" s="13" t="n">
        <v>0</v>
      </c>
      <c r="I583" s="12" t="n">
        <v>0</v>
      </c>
    </row>
    <row r="584">
      <c r="A584" t="inlineStr">
        <is>
          <t>40108604</t>
        </is>
      </c>
      <c r="B584" t="inlineStr">
        <is>
          <t>Головне управління Національної поліції у Волинській області</t>
        </is>
      </c>
      <c r="C584" t="inlineStr">
        <is>
          <t>Волинська область</t>
        </is>
      </c>
      <c r="D584" s="5" t="n">
        <v>11</v>
      </c>
      <c r="E584" s="13" t="n">
        <v>4341064.37</v>
      </c>
      <c r="F584" s="13" t="n">
        <v>3336146.2</v>
      </c>
      <c r="G584" s="5" t="n">
        <v>6</v>
      </c>
      <c r="H584" s="13" t="n">
        <v>1653932.4</v>
      </c>
      <c r="I584" s="12" t="n">
        <v>0.4958</v>
      </c>
    </row>
    <row r="585">
      <c r="A585" t="inlineStr">
        <is>
          <t>20001487</t>
        </is>
      </c>
      <c r="B585" t="inlineStr">
        <is>
          <t>УПРАВЛІННЯ СЛУЖБИ БЕЗПЕКИ УКРАЇНИ У ВОЛИНСЬКІЙ ОБЛАСТІ</t>
        </is>
      </c>
      <c r="C585" t="inlineStr">
        <is>
          <t>Волинська область</t>
        </is>
      </c>
      <c r="D585" s="5" t="n">
        <v>33</v>
      </c>
      <c r="E585" s="13" t="n">
        <v>3489623.07</v>
      </c>
      <c r="F585" s="13" t="n">
        <v>3000977.08</v>
      </c>
      <c r="G585" s="5" t="n">
        <v>16</v>
      </c>
      <c r="H585" s="13" t="n">
        <v>411594</v>
      </c>
      <c r="I585" s="12" t="n">
        <v>0.1372</v>
      </c>
    </row>
    <row r="586">
      <c r="A586" t="inlineStr">
        <is>
          <t>02909915</t>
        </is>
      </c>
      <c r="B586" t="inlineStr">
        <is>
          <t>ВОЛИНСЬКА ОБЛАСНА ПРОКУРАТУРА</t>
        </is>
      </c>
      <c r="C586" t="inlineStr">
        <is>
          <t>Волинська область</t>
        </is>
      </c>
      <c r="D586" s="5" t="n">
        <v>29</v>
      </c>
      <c r="E586" s="13" t="n">
        <v>3838015</v>
      </c>
      <c r="F586" s="13" t="n">
        <v>2946141.1</v>
      </c>
      <c r="G586" s="5" t="n">
        <v>19</v>
      </c>
      <c r="H586" s="13" t="n">
        <v>460242</v>
      </c>
      <c r="I586" s="12" t="n">
        <v>0.1562</v>
      </c>
    </row>
    <row r="587">
      <c r="A587" t="inlineStr">
        <is>
          <t>21739672</t>
        </is>
      </c>
      <c r="B587" t="inlineStr">
        <is>
          <t>ЛІЦЕЙ ІМЕНІ ОЛЕКСАНДРА ЦИНКАЛОВСЬКОГО ВОЛОДИМИРСЬКОЇ МІСЬКОЇ РАДИ</t>
        </is>
      </c>
      <c r="C587" t="inlineStr">
        <is>
          <t>Волинська область</t>
        </is>
      </c>
      <c r="D587" s="5" t="n">
        <v>15</v>
      </c>
      <c r="E587" s="13" t="n">
        <v>8152675</v>
      </c>
      <c r="F587" s="13" t="n">
        <v>2745377.62</v>
      </c>
      <c r="G587" s="5" t="n">
        <v>6</v>
      </c>
      <c r="H587" s="13" t="n">
        <v>0</v>
      </c>
      <c r="I587" s="12" t="n">
        <v>0</v>
      </c>
    </row>
    <row r="588">
      <c r="A588" t="inlineStr">
        <is>
          <t>01982985</t>
        </is>
      </c>
      <c r="B588" t="inlineStr">
        <is>
          <t>КП "Медичне об'єднання Луцької міської територіальної громади"</t>
        </is>
      </c>
      <c r="C588" t="inlineStr">
        <is>
          <t>Волинська область</t>
        </is>
      </c>
      <c r="D588" s="5" t="n">
        <v>29</v>
      </c>
      <c r="E588" s="13" t="n">
        <v>4161345.83</v>
      </c>
      <c r="F588" s="13" t="n">
        <v>2316712.72</v>
      </c>
      <c r="G588" s="5" t="n">
        <v>13</v>
      </c>
      <c r="H588" s="13" t="n">
        <v>0</v>
      </c>
      <c r="I588" s="12" t="n">
        <v>0</v>
      </c>
    </row>
    <row r="589">
      <c r="A589" t="inlineStr">
        <is>
          <t>14323416</t>
        </is>
      </c>
      <c r="B589" t="inlineStr">
        <is>
          <t>ВІЙСЬКОВА ЧАСТИНА 1141 НАЦІОНАЛЬНОЇ ГВАРДІЇ УКРАЇНИ</t>
        </is>
      </c>
      <c r="C589" t="inlineStr">
        <is>
          <t>Волинська область</t>
        </is>
      </c>
      <c r="D589" s="5" t="n">
        <v>86</v>
      </c>
      <c r="E589" s="13" t="n">
        <v>3608306.56</v>
      </c>
      <c r="F589" s="13" t="n">
        <v>2299872.28</v>
      </c>
      <c r="G589" s="5" t="n">
        <v>34</v>
      </c>
      <c r="H589" s="13" t="n">
        <v>0</v>
      </c>
      <c r="I589" s="12" t="n">
        <v>0</v>
      </c>
    </row>
    <row r="590">
      <c r="A590" t="inlineStr">
        <is>
          <t>20131856</t>
        </is>
      </c>
      <c r="B590" t="inlineStr">
        <is>
          <t>ОПОРНИЙ ЗАКЛАД ЗАГАЛЬНОЇ СЕРЕДНЬОЇ ОСВІТИ "ЛОКАЧИНСЬКИЙ ЛІЦЕЙ"ЛОКАЧИНСЬКОЇ СЕЛИЩНОЇ РАДИ ВОЛОДИМИРСЬКОГО РАЙОНУ ВОЛИНСЬКОЇ ОБЛАСТІ</t>
        </is>
      </c>
      <c r="C590" t="inlineStr">
        <is>
          <t>Волинська область</t>
        </is>
      </c>
      <c r="D590" s="5" t="n">
        <v>2</v>
      </c>
      <c r="E590" s="13" t="n">
        <v>1860375</v>
      </c>
      <c r="F590" s="13" t="n">
        <v>2199480</v>
      </c>
      <c r="G590" s="5" t="n">
        <v>1</v>
      </c>
      <c r="H590" s="13" t="n">
        <v>0</v>
      </c>
      <c r="I590" s="12" t="n">
        <v>0</v>
      </c>
    </row>
    <row r="591">
      <c r="A591" t="inlineStr">
        <is>
          <t>05477296</t>
        </is>
      </c>
      <c r="B591" t="inlineStr">
        <is>
          <t>Луцький національний технічний університет</t>
        </is>
      </c>
      <c r="C591" t="inlineStr">
        <is>
          <t>Волинська область</t>
        </is>
      </c>
      <c r="D591" s="5" t="n">
        <v>16</v>
      </c>
      <c r="E591" s="13" t="n">
        <v>9203073.960000001</v>
      </c>
      <c r="F591" s="13" t="n">
        <v>2170861</v>
      </c>
      <c r="G591" s="5" t="n">
        <v>9</v>
      </c>
      <c r="H591" s="13" t="n">
        <v>0</v>
      </c>
      <c r="I591" s="12" t="n">
        <v>0</v>
      </c>
    </row>
    <row r="592">
      <c r="A592" t="inlineStr">
        <is>
          <t>38592652</t>
        </is>
      </c>
      <c r="B592" t="inlineStr">
        <is>
          <t>Головне Управління Державної служби України з надзвичайних ситуацій у Волинській області</t>
        </is>
      </c>
      <c r="C592" t="inlineStr">
        <is>
          <t>Волинська область</t>
        </is>
      </c>
      <c r="D592" s="5" t="n">
        <v>18</v>
      </c>
      <c r="E592" s="13" t="n">
        <v>3706194.75</v>
      </c>
      <c r="F592" s="13" t="n">
        <v>2148081.2</v>
      </c>
      <c r="G592" s="5" t="n">
        <v>11</v>
      </c>
      <c r="H592" s="13" t="n">
        <v>463190.4</v>
      </c>
      <c r="I592" s="12" t="n">
        <v>0.2156</v>
      </c>
    </row>
    <row r="593">
      <c r="A593" t="inlineStr">
        <is>
          <t>26614739</t>
        </is>
      </c>
      <c r="B593" t="inlineStr">
        <is>
          <t>Військова частина А 0959</t>
        </is>
      </c>
      <c r="C593" t="inlineStr">
        <is>
          <t>Волинська область</t>
        </is>
      </c>
      <c r="D593" s="5" t="n">
        <v>14</v>
      </c>
      <c r="E593" s="13" t="n">
        <v>3457797.54</v>
      </c>
      <c r="F593" s="13" t="n">
        <v>2068072.11</v>
      </c>
      <c r="G593" s="5" t="n">
        <v>10</v>
      </c>
      <c r="H593" s="13" t="n">
        <v>0</v>
      </c>
      <c r="I593" s="12" t="n">
        <v>0</v>
      </c>
    </row>
    <row r="594">
      <c r="A594" t="inlineStr">
        <is>
          <t>04051313</t>
        </is>
      </c>
      <c r="B594" t="inlineStr">
        <is>
          <t>Виконавчий комітет Ковельської міської ради</t>
        </is>
      </c>
      <c r="C594" t="inlineStr">
        <is>
          <t>Волинська область</t>
        </is>
      </c>
      <c r="D594" s="5" t="n">
        <v>23</v>
      </c>
      <c r="E594" s="13" t="n">
        <v>2927500.35</v>
      </c>
      <c r="F594" s="13" t="n">
        <v>2030458.82</v>
      </c>
      <c r="G594" s="5" t="n">
        <v>14</v>
      </c>
      <c r="H594" s="13" t="n">
        <v>0</v>
      </c>
      <c r="I594" s="12" t="n">
        <v>0</v>
      </c>
    </row>
    <row r="595">
      <c r="A595" t="inlineStr">
        <is>
          <t>25908539</t>
        </is>
      </c>
      <c r="B595" t="inlineStr">
        <is>
          <t>Волинський обласний ліцей з посиленою військово-фізичною підготовкою імені Героїв Небесної Сотні</t>
        </is>
      </c>
      <c r="C595" t="inlineStr">
        <is>
          <t>Волинська область</t>
        </is>
      </c>
      <c r="D595" s="5" t="n">
        <v>1</v>
      </c>
      <c r="E595" s="13" t="n">
        <v>1748000</v>
      </c>
      <c r="F595" s="13" t="n">
        <v>1592400</v>
      </c>
      <c r="G595" s="5" t="n">
        <v>1</v>
      </c>
      <c r="H595" s="13" t="n">
        <v>0</v>
      </c>
      <c r="I595" s="12" t="n">
        <v>0</v>
      </c>
    </row>
    <row r="596">
      <c r="A596" t="inlineStr">
        <is>
          <t>43329421</t>
        </is>
      </c>
      <c r="B596" t="inlineStr">
        <is>
          <t>Відділ освіти, культури, молоді та спорту Підгайцівської сільської ради</t>
        </is>
      </c>
      <c r="C596" t="inlineStr">
        <is>
          <t>Волинська область</t>
        </is>
      </c>
      <c r="D596" s="5" t="n">
        <v>9</v>
      </c>
      <c r="E596" s="13" t="n">
        <v>1590595</v>
      </c>
      <c r="F596" s="13" t="n">
        <v>1590547.48</v>
      </c>
      <c r="G596" s="5" t="n">
        <v>4</v>
      </c>
      <c r="H596" s="13" t="n">
        <v>0</v>
      </c>
      <c r="I596" s="12" t="n">
        <v>0</v>
      </c>
    </row>
    <row r="597">
      <c r="A597" t="inlineStr">
        <is>
          <t>46008283</t>
        </is>
      </c>
      <c r="B597" t="inlineStr">
        <is>
          <t>Гуманітарний відділ Цуманської селищної ради</t>
        </is>
      </c>
      <c r="C597" t="inlineStr">
        <is>
          <t>Волинська область</t>
        </is>
      </c>
      <c r="D597" s="5" t="n">
        <v>4</v>
      </c>
      <c r="E597" s="13" t="n">
        <v>1850499.99</v>
      </c>
      <c r="F597" s="13" t="n">
        <v>1576000</v>
      </c>
      <c r="G597" s="5" t="n">
        <v>3</v>
      </c>
      <c r="H597" s="13" t="n">
        <v>0</v>
      </c>
      <c r="I597" s="12" t="n">
        <v>0</v>
      </c>
    </row>
    <row r="598">
      <c r="A598" t="inlineStr">
        <is>
          <t>02125102</t>
        </is>
      </c>
      <c r="B598" t="inlineStr">
        <is>
          <t>Волинський національний університет імені Лесі Українки</t>
        </is>
      </c>
      <c r="C598" t="inlineStr">
        <is>
          <t>Волинська область</t>
        </is>
      </c>
      <c r="D598" s="5" t="n">
        <v>6</v>
      </c>
      <c r="E598" s="13" t="n">
        <v>2041617</v>
      </c>
      <c r="F598" s="13" t="n">
        <v>1397678.2</v>
      </c>
      <c r="G598" s="5" t="n">
        <v>5</v>
      </c>
      <c r="H598" s="13" t="n">
        <v>383670</v>
      </c>
      <c r="I598" s="12" t="n">
        <v>0.2745</v>
      </c>
    </row>
    <row r="599">
      <c r="A599" t="inlineStr">
        <is>
          <t>04051342</t>
        </is>
      </c>
      <c r="B599" t="inlineStr">
        <is>
          <t>ВИКОНАВЧИЙ КОМІТЕТ НОВОВОЛИНСЬКОЇ МІСЬКОЇ РАДИ</t>
        </is>
      </c>
      <c r="C599" t="inlineStr">
        <is>
          <t>Волинська область</t>
        </is>
      </c>
      <c r="D599" s="5" t="n">
        <v>28</v>
      </c>
      <c r="E599" s="13" t="n">
        <v>1892366.67</v>
      </c>
      <c r="F599" s="13" t="n">
        <v>1240547.91</v>
      </c>
      <c r="G599" s="5" t="n">
        <v>17</v>
      </c>
      <c r="H599" s="13" t="n">
        <v>0</v>
      </c>
      <c r="I599" s="12" t="n">
        <v>0</v>
      </c>
    </row>
    <row r="600">
      <c r="A600" t="inlineStr">
        <is>
          <t>43375352</t>
        </is>
      </c>
      <c r="B600" t="inlineStr">
        <is>
          <t>ГУМАНІТАРНИЙ ВІДДІЛ КІВЕРЦІВСЬКОЇ МІСЬКОЇ РАДИ</t>
        </is>
      </c>
      <c r="C600" t="inlineStr">
        <is>
          <t>Волинська область</t>
        </is>
      </c>
      <c r="D600" s="5" t="n">
        <v>4</v>
      </c>
      <c r="E600" s="13" t="n">
        <v>2071178</v>
      </c>
      <c r="F600" s="13" t="n">
        <v>1119788</v>
      </c>
      <c r="G600" s="5" t="n">
        <v>2</v>
      </c>
      <c r="H600" s="13" t="n">
        <v>0</v>
      </c>
      <c r="I600" s="12" t="n">
        <v>0</v>
      </c>
    </row>
    <row r="601">
      <c r="A601" t="inlineStr">
        <is>
          <t>05384318</t>
        </is>
      </c>
      <c r="B601" t="inlineStr">
        <is>
          <t>КП "ВОЛИНСЬКА ОБЛАСНА ПСИХІАТРИЧНА ЛІКАРНЯ М.ЛУЦЬКА" ВОЛИНСЬКОЇ ОБЛАСНОЇ РАДИ</t>
        </is>
      </c>
      <c r="C601" t="inlineStr">
        <is>
          <t>Волинська область</t>
        </is>
      </c>
      <c r="D601" s="5" t="n">
        <v>17</v>
      </c>
      <c r="E601" s="13" t="n">
        <v>2003802.67</v>
      </c>
      <c r="F601" s="13" t="n">
        <v>1074515.17</v>
      </c>
      <c r="G601" s="5" t="n">
        <v>6</v>
      </c>
      <c r="H601" s="13" t="n">
        <v>151290</v>
      </c>
      <c r="I601" s="12" t="n">
        <v>0.1408</v>
      </c>
    </row>
    <row r="602">
      <c r="A602" t="inlineStr">
        <is>
          <t>42078561</t>
        </is>
      </c>
      <c r="B602" t="inlineStr">
        <is>
          <t>КП «ВОЛИНСЬКЕ ОБЛАСНЕ ТЕРИТОРІАЛЬНЕ МЕДИЧНЕ ОБ’ЄДНАНННЯ ЗАХИСТУ МАТЕРИНСТВА І ДИТИНСТВА» ВОЛИНСЬКОЇ ОБЛАСНОЇ РАДИ</t>
        </is>
      </c>
      <c r="C602" t="inlineStr">
        <is>
          <t>Волинська область</t>
        </is>
      </c>
      <c r="D602" s="5" t="n">
        <v>11</v>
      </c>
      <c r="E602" s="13" t="n">
        <v>1108317.28</v>
      </c>
      <c r="F602" s="13" t="n">
        <v>908504.03</v>
      </c>
      <c r="G602" s="5" t="n">
        <v>6</v>
      </c>
      <c r="H602" s="13" t="n">
        <v>0</v>
      </c>
      <c r="I602" s="12" t="n">
        <v>0</v>
      </c>
    </row>
    <row r="603">
      <c r="A603" t="inlineStr">
        <is>
          <t>42439226</t>
        </is>
      </c>
      <c r="B603" t="inlineStr">
        <is>
          <t>ГУМАНІТАРНИЙ ВІДДІЛ ЗАТУРЦІВСЬКОЇ СІЛЬСЬКОЇ РАДИ</t>
        </is>
      </c>
      <c r="C603" t="inlineStr">
        <is>
          <t>Волинська область</t>
        </is>
      </c>
      <c r="D603" s="5" t="n">
        <v>6</v>
      </c>
      <c r="E603" s="13" t="n">
        <v>905684</v>
      </c>
      <c r="F603" s="13" t="n">
        <v>886654</v>
      </c>
      <c r="G603" s="5" t="n">
        <v>4</v>
      </c>
      <c r="H603" s="13" t="n">
        <v>0</v>
      </c>
      <c r="I603" s="12" t="n">
        <v>0</v>
      </c>
    </row>
    <row r="604">
      <c r="A604" t="inlineStr">
        <is>
          <t>04333164</t>
        </is>
      </c>
      <c r="B604" t="inlineStr">
        <is>
          <t>Вишнівська сільська рада</t>
        </is>
      </c>
      <c r="C604" t="inlineStr">
        <is>
          <t>Волинська область</t>
        </is>
      </c>
      <c r="D604" s="5" t="n">
        <v>14</v>
      </c>
      <c r="E604" s="13" t="n">
        <v>1262489.18</v>
      </c>
      <c r="F604" s="13" t="n">
        <v>870489.1800000001</v>
      </c>
      <c r="G604" s="5" t="n">
        <v>6</v>
      </c>
      <c r="H604" s="13" t="n">
        <v>0</v>
      </c>
      <c r="I604" s="12" t="n">
        <v>0</v>
      </c>
    </row>
    <row r="605">
      <c r="A605" t="inlineStr">
        <is>
          <t>45736155</t>
        </is>
      </c>
      <c r="B605" t="inlineStr">
        <is>
          <t>ДЕПАРТАМЕНТ З ПИТАНЬ ВЕТЕРАНСЬКОЇ ПОЛІТИКИ ЛУЦЬКОЇ МІСЬКОЇ РАДИ</t>
        </is>
      </c>
      <c r="C605" t="inlineStr">
        <is>
          <t>Волинська область</t>
        </is>
      </c>
      <c r="D605" s="5" t="n">
        <v>12</v>
      </c>
      <c r="E605" s="13" t="n">
        <v>2011155.88</v>
      </c>
      <c r="F605" s="13" t="n">
        <v>843163.88</v>
      </c>
      <c r="G605" s="5" t="n">
        <v>6</v>
      </c>
      <c r="H605" s="13" t="n">
        <v>0</v>
      </c>
      <c r="I605" s="12" t="n">
        <v>0</v>
      </c>
    </row>
    <row r="606">
      <c r="A606" t="inlineStr">
        <is>
          <t>34804384</t>
        </is>
      </c>
      <c r="B606" t="inlineStr">
        <is>
          <t>ВІДОКРЕМЛЕНИЙ СТРУКТУРНИЙ ПІДРОЗДІЛ "ВОЛИНСЬКИЙ ФАХОВИЙ КОЛЕДЖ НАЦІОНАЛЬНОГО УНІВЕРСИТЕТУ ХАРЧОВИХ ТЕХНОЛОГІЙ"</t>
        </is>
      </c>
      <c r="C606" t="inlineStr">
        <is>
          <t>Волинська область</t>
        </is>
      </c>
      <c r="D606" s="5" t="n">
        <v>8</v>
      </c>
      <c r="E606" s="13" t="n">
        <v>1548864</v>
      </c>
      <c r="F606" s="13" t="n">
        <v>762348.4</v>
      </c>
      <c r="G606" s="5" t="n">
        <v>3</v>
      </c>
      <c r="H606" s="13" t="n">
        <v>0</v>
      </c>
      <c r="I606" s="12" t="n">
        <v>0</v>
      </c>
    </row>
    <row r="607">
      <c r="A607" t="inlineStr">
        <is>
          <t>42159289</t>
        </is>
      </c>
      <c r="B607" t="inlineStr">
        <is>
          <t>ТОВ ВЕЗ</t>
        </is>
      </c>
      <c r="C607" t="inlineStr">
        <is>
          <t>Волинська область</t>
        </is>
      </c>
      <c r="D607" s="5" t="n">
        <v>2</v>
      </c>
      <c r="E607" s="13" t="n">
        <v>740000</v>
      </c>
      <c r="F607" s="13" t="n">
        <v>740000</v>
      </c>
      <c r="G607" s="5" t="n">
        <v>1</v>
      </c>
      <c r="H607" s="13" t="n">
        <v>0</v>
      </c>
      <c r="I607" s="12" t="n">
        <v>0</v>
      </c>
    </row>
    <row r="608">
      <c r="A608" t="inlineStr">
        <is>
          <t>04333135</t>
        </is>
      </c>
      <c r="B608" t="inlineStr">
        <is>
          <t>СОШИЧНЕНСЬКА СІЛЬСЬКА РАДА</t>
        </is>
      </c>
      <c r="C608" t="inlineStr">
        <is>
          <t>Волинська область</t>
        </is>
      </c>
      <c r="D608" s="5" t="n">
        <v>6</v>
      </c>
      <c r="E608" s="13" t="n">
        <v>711815</v>
      </c>
      <c r="F608" s="13" t="n">
        <v>672339.9</v>
      </c>
      <c r="G608" s="5" t="n">
        <v>3</v>
      </c>
      <c r="H608" s="13" t="n">
        <v>0</v>
      </c>
      <c r="I608" s="12" t="n">
        <v>0</v>
      </c>
    </row>
    <row r="609">
      <c r="A609" t="inlineStr">
        <is>
          <t>04051336</t>
        </is>
      </c>
      <c r="B609" t="inlineStr">
        <is>
          <t>Любомльська міська рада</t>
        </is>
      </c>
      <c r="C609" t="inlineStr">
        <is>
          <t>Волинська область</t>
        </is>
      </c>
      <c r="D609" s="5" t="n">
        <v>19</v>
      </c>
      <c r="E609" s="13" t="n">
        <v>635698</v>
      </c>
      <c r="F609" s="13" t="n">
        <v>629728.4</v>
      </c>
      <c r="G609" s="5" t="n">
        <v>8</v>
      </c>
      <c r="H609" s="13" t="n">
        <v>0</v>
      </c>
      <c r="I609" s="12" t="n">
        <v>0</v>
      </c>
    </row>
    <row r="610">
      <c r="A610" t="inlineStr">
        <is>
          <t>04333224</t>
        </is>
      </c>
      <c r="B610" t="inlineStr">
        <is>
          <t>СТАРОВИЖІВСЬКА СЕЛИЩНА РАДА</t>
        </is>
      </c>
      <c r="C610" t="inlineStr">
        <is>
          <t>Волинська область</t>
        </is>
      </c>
      <c r="D610" s="5" t="n">
        <v>6</v>
      </c>
      <c r="E610" s="13" t="n">
        <v>607717</v>
      </c>
      <c r="F610" s="13" t="n">
        <v>595858</v>
      </c>
      <c r="G610" s="5" t="n">
        <v>5</v>
      </c>
      <c r="H610" s="13" t="n">
        <v>0</v>
      </c>
      <c r="I610" s="12" t="n">
        <v>0</v>
      </c>
    </row>
    <row r="611">
      <c r="A611" t="inlineStr">
        <is>
          <t>36431580</t>
        </is>
      </c>
      <c r="B611" t="inlineStr">
        <is>
          <t>НОВОВОЛИНСЬКИЙ ЛІЦЕЙ №1 НОВОВОЛИНСЬКОЇ МІСЬКОЇ РАДИ ВОЛИНСЬКОЇ ОБЛАСТІ</t>
        </is>
      </c>
      <c r="C611" t="inlineStr">
        <is>
          <t>Волинська область</t>
        </is>
      </c>
      <c r="D611" s="5" t="n">
        <v>3</v>
      </c>
      <c r="E611" s="13" t="n">
        <v>614724</v>
      </c>
      <c r="F611" s="13" t="n">
        <v>569568</v>
      </c>
      <c r="G611" s="5" t="n">
        <v>3</v>
      </c>
      <c r="H611" s="13" t="n">
        <v>0</v>
      </c>
      <c r="I611" s="12" t="n">
        <v>0</v>
      </c>
    </row>
    <row r="612">
      <c r="A612" t="inlineStr">
        <is>
          <t>44096289</t>
        </is>
      </c>
      <c r="B612" t="inlineStr">
        <is>
          <t>Виконавчий комітет Ратнівської селищної ради</t>
        </is>
      </c>
      <c r="C612" t="inlineStr">
        <is>
          <t>Волинська область</t>
        </is>
      </c>
      <c r="D612" s="5" t="n">
        <v>19</v>
      </c>
      <c r="E612" s="13" t="n">
        <v>1181186.08</v>
      </c>
      <c r="F612" s="13" t="n">
        <v>565144</v>
      </c>
      <c r="G612" s="5" t="n">
        <v>6</v>
      </c>
      <c r="H612" s="13" t="n">
        <v>0</v>
      </c>
      <c r="I612" s="12" t="n">
        <v>0</v>
      </c>
    </row>
    <row r="613">
      <c r="A613" t="inlineStr">
        <is>
          <t>04656909</t>
        </is>
      </c>
      <c r="B613" t="inlineStr">
        <is>
          <t>Нововолинський електромеханічний фаховий коледж</t>
        </is>
      </c>
      <c r="C613" t="inlineStr">
        <is>
          <t>Волинська область</t>
        </is>
      </c>
      <c r="D613" s="5" t="n">
        <v>3</v>
      </c>
      <c r="E613" s="13" t="n">
        <v>926000</v>
      </c>
      <c r="F613" s="13" t="n">
        <v>560802</v>
      </c>
      <c r="G613" s="5" t="n">
        <v>1</v>
      </c>
      <c r="H613" s="13" t="n">
        <v>0</v>
      </c>
      <c r="I613" s="12" t="n">
        <v>0</v>
      </c>
    </row>
    <row r="614">
      <c r="A614" t="inlineStr">
        <is>
          <t>39985748</t>
        </is>
      </c>
      <c r="B614" t="inlineStr">
        <is>
          <t>ДЕПАРТАМЕНТ МУНІЦИПАЛЬНОЇ ВАРТИ ЛУЦЬКОЇ МІСЬКОЇ РАДИ</t>
        </is>
      </c>
      <c r="C614" t="inlineStr">
        <is>
          <t>Волинська область</t>
        </is>
      </c>
      <c r="D614" s="5" t="n">
        <v>6</v>
      </c>
      <c r="E614" s="13" t="n">
        <v>547600</v>
      </c>
      <c r="F614" s="13" t="n">
        <v>547600</v>
      </c>
      <c r="G614" s="5" t="n">
        <v>3</v>
      </c>
      <c r="H614" s="13" t="n">
        <v>0</v>
      </c>
      <c r="I614" s="12" t="n">
        <v>0</v>
      </c>
    </row>
    <row r="615">
      <c r="A615" t="inlineStr">
        <is>
          <t>21739815</t>
        </is>
      </c>
      <c r="B615" t="inlineStr">
        <is>
          <t>НОВОВОЛИНСЬКИЙ ЛІЦЕЙ №3 НОВОВОЛИНСЬКОЇ МІСЬКОЇ РАДИ ВОЛИНСЬКОЇ ОБЛАСТІ</t>
        </is>
      </c>
      <c r="C615" t="inlineStr">
        <is>
          <t>Волинська область</t>
        </is>
      </c>
      <c r="D615" s="5" t="n">
        <v>9</v>
      </c>
      <c r="E615" s="13" t="n">
        <v>1128296</v>
      </c>
      <c r="F615" s="13" t="n">
        <v>526216</v>
      </c>
      <c r="G615" s="5" t="n">
        <v>3</v>
      </c>
      <c r="H615" s="13" t="n">
        <v>144000</v>
      </c>
      <c r="I615" s="12" t="n">
        <v>0.2737</v>
      </c>
    </row>
    <row r="616">
      <c r="A616" t="inlineStr">
        <is>
          <t>40108803</t>
        </is>
      </c>
      <c r="B616" t="inlineStr">
        <is>
          <t>Управління поліції охорони у Волинській області</t>
        </is>
      </c>
      <c r="C616" t="inlineStr">
        <is>
          <t>Волинська область</t>
        </is>
      </c>
      <c r="D616" s="5" t="n">
        <v>4</v>
      </c>
      <c r="E616" s="13" t="n">
        <v>554646</v>
      </c>
      <c r="F616" s="13" t="n">
        <v>520996</v>
      </c>
      <c r="G616" s="5" t="n">
        <v>4</v>
      </c>
      <c r="H616" s="13" t="n">
        <v>0</v>
      </c>
      <c r="I616" s="12" t="n">
        <v>0</v>
      </c>
    </row>
    <row r="617">
      <c r="A617" t="inlineStr">
        <is>
          <t>03494250</t>
        </is>
      </c>
      <c r="B617" t="inlineStr">
        <is>
          <t>Державний архів Волинської області</t>
        </is>
      </c>
      <c r="C617" t="inlineStr">
        <is>
          <t>Волинська область</t>
        </is>
      </c>
      <c r="D617" s="5" t="n">
        <v>7</v>
      </c>
      <c r="E617" s="13" t="n">
        <v>858333.33</v>
      </c>
      <c r="F617" s="13" t="n">
        <v>512250</v>
      </c>
      <c r="G617" s="5" t="n">
        <v>5</v>
      </c>
      <c r="H617" s="13" t="n">
        <v>36960</v>
      </c>
      <c r="I617" s="12" t="n">
        <v>0.0722</v>
      </c>
    </row>
    <row r="618">
      <c r="A618" t="inlineStr">
        <is>
          <t>26641966</t>
        </is>
      </c>
      <c r="B618" t="inlineStr">
        <is>
          <t>Військова частина Т0430</t>
        </is>
      </c>
      <c r="C618" t="inlineStr">
        <is>
          <t>Волинська область</t>
        </is>
      </c>
      <c r="D618" s="5" t="n">
        <v>13</v>
      </c>
      <c r="E618" s="13" t="n">
        <v>773399</v>
      </c>
      <c r="F618" s="13" t="n">
        <v>506549.6</v>
      </c>
      <c r="G618" s="5" t="n">
        <v>6</v>
      </c>
      <c r="H618" s="13" t="n">
        <v>0</v>
      </c>
      <c r="I618" s="12" t="n">
        <v>0</v>
      </c>
    </row>
    <row r="619">
      <c r="A619" t="inlineStr">
        <is>
          <t>21748470</t>
        </is>
      </c>
      <c r="B619" t="inlineStr">
        <is>
          <t>Нововолинський науковий ліцей Волинської обласної ради</t>
        </is>
      </c>
      <c r="C619" t="inlineStr">
        <is>
          <t>Волинська область</t>
        </is>
      </c>
      <c r="D619" s="5" t="n">
        <v>9</v>
      </c>
      <c r="E619" s="13" t="n">
        <v>518550</v>
      </c>
      <c r="F619" s="13" t="n">
        <v>491286</v>
      </c>
      <c r="G619" s="5" t="n">
        <v>7</v>
      </c>
      <c r="H619" s="13" t="n">
        <v>0</v>
      </c>
      <c r="I619" s="12" t="n">
        <v>0</v>
      </c>
    </row>
    <row r="620">
      <c r="A620" t="inlineStr">
        <is>
          <t>26413975</t>
        </is>
      </c>
      <c r="B620" t="inlineStr">
        <is>
          <t>Комунальний заклад загальної середньої освіти "Луцький ліцей № 1 Луцької міської ради"</t>
        </is>
      </c>
      <c r="C620" t="inlineStr">
        <is>
          <t>Волинська область</t>
        </is>
      </c>
      <c r="D620" s="5" t="n">
        <v>1</v>
      </c>
      <c r="E620" s="13" t="n">
        <v>490000</v>
      </c>
      <c r="F620" s="13" t="n">
        <v>490000</v>
      </c>
      <c r="G620" s="5" t="n">
        <v>1</v>
      </c>
      <c r="H620" s="13" t="n">
        <v>0</v>
      </c>
      <c r="I620" s="12" t="n">
        <v>0</v>
      </c>
    </row>
    <row r="621">
      <c r="A621" t="inlineStr">
        <is>
          <t>04334755</t>
        </is>
      </c>
      <c r="B621" t="inlineStr">
        <is>
          <t>КОПАЧІВСЬКА СІЛЬСЬКА РАДА</t>
        </is>
      </c>
      <c r="C621" t="inlineStr">
        <is>
          <t>Волинська область</t>
        </is>
      </c>
      <c r="D621" s="5" t="n">
        <v>5</v>
      </c>
      <c r="E621" s="13" t="n">
        <v>509970</v>
      </c>
      <c r="F621" s="13" t="n">
        <v>455388</v>
      </c>
      <c r="G621" s="5" t="n">
        <v>5</v>
      </c>
      <c r="H621" s="13" t="n">
        <v>0</v>
      </c>
      <c r="I621" s="12" t="n">
        <v>0</v>
      </c>
    </row>
    <row r="622">
      <c r="A622" t="inlineStr">
        <is>
          <t>45751498</t>
        </is>
      </c>
      <c r="B622" t="inlineStr">
        <is>
          <t>КНП "ЦЕНТР ПЕРВИННОЇ МЕДИЧНОЇ ДОПОМОГИ ЛУЦЬКОЇ МІСЬКОЇ ТЕРИТОРІАЛЬНОЇ ГРОМАДИ"</t>
        </is>
      </c>
      <c r="C622" t="inlineStr">
        <is>
          <t>Волинська область</t>
        </is>
      </c>
      <c r="D622" s="5" t="n">
        <v>2</v>
      </c>
      <c r="E622" s="13" t="n">
        <v>500640</v>
      </c>
      <c r="F622" s="13" t="n">
        <v>447510</v>
      </c>
      <c r="G622" s="5" t="n">
        <v>2</v>
      </c>
      <c r="H622" s="13" t="n">
        <v>0</v>
      </c>
      <c r="I622" s="12" t="n">
        <v>0</v>
      </c>
    </row>
    <row r="623">
      <c r="A623" t="inlineStr">
        <is>
          <t>45687826</t>
        </is>
      </c>
      <c r="B623" t="inlineStr">
        <is>
          <t>КНП "КОВЕЛЬСЬКИЙ ЦЕНТР ПЕРВИННОЇ МЕДИКО-САНІТАРНОЇ ДОПОМОГИ" КОВЕЛЬСЬКОЇ МІСЬКОЇ РАДИ ВОЛИНСЬКОЇ ОБЛАСТІ</t>
        </is>
      </c>
      <c r="C623" t="inlineStr">
        <is>
          <t>Волинська область</t>
        </is>
      </c>
      <c r="D623" s="5" t="n">
        <v>3</v>
      </c>
      <c r="E623" s="13" t="n">
        <v>480745</v>
      </c>
      <c r="F623" s="13" t="n">
        <v>447120</v>
      </c>
      <c r="G623" s="5" t="n">
        <v>2</v>
      </c>
      <c r="H623" s="13" t="n">
        <v>0</v>
      </c>
      <c r="I623" s="12" t="n">
        <v>0</v>
      </c>
    </row>
    <row r="624">
      <c r="A624" t="inlineStr">
        <is>
          <t>34745031</t>
        </is>
      </c>
      <c r="B624" t="inlineStr">
        <is>
          <t>Управління Держспецзв'язку у Волинській області</t>
        </is>
      </c>
      <c r="C624" t="inlineStr">
        <is>
          <t>Волинська область</t>
        </is>
      </c>
      <c r="D624" s="5" t="n">
        <v>12</v>
      </c>
      <c r="E624" s="13" t="n">
        <v>260000</v>
      </c>
      <c r="F624" s="13" t="n">
        <v>443157.48</v>
      </c>
      <c r="G624" s="5" t="n">
        <v>2</v>
      </c>
      <c r="H624" s="13" t="n">
        <v>0</v>
      </c>
      <c r="I624" s="12" t="n">
        <v>0</v>
      </c>
    </row>
    <row r="625">
      <c r="A625" t="inlineStr">
        <is>
          <t>02125941</t>
        </is>
      </c>
      <c r="B625" t="inlineStr">
        <is>
          <t>ВОЛОДИМИРСЬКИЙ ПЕДАГОГІЧНИЙ ФАХОВИЙ КОЛЕДЖ ІМЕНІ АГАТАНГЕЛА КРИМСЬКОГО ВОЛИНСЬКОЇ ОБЛАСНОЇ РАДИ</t>
        </is>
      </c>
      <c r="C625" t="inlineStr">
        <is>
          <t>Волинська область</t>
        </is>
      </c>
      <c r="D625" s="5" t="n">
        <v>12</v>
      </c>
      <c r="E625" s="13" t="n">
        <v>524470</v>
      </c>
      <c r="F625" s="13" t="n">
        <v>420703.88</v>
      </c>
      <c r="G625" s="5" t="n">
        <v>4</v>
      </c>
      <c r="H625" s="13" t="n">
        <v>0</v>
      </c>
      <c r="I625" s="12" t="n">
        <v>0</v>
      </c>
    </row>
    <row r="626">
      <c r="A626" t="inlineStr">
        <is>
          <t>42043220</t>
        </is>
      </c>
      <c r="B626" t="inlineStr">
        <is>
          <t>УПРАВЛІННЯ ГУМАНІТАРНОЇ ПОЛІТИКИ ЛЮБЕШІВСЬКОЇ СЕЛИЩНОЇ РАДИ</t>
        </is>
      </c>
      <c r="C626" t="inlineStr">
        <is>
          <t>Волинська область</t>
        </is>
      </c>
      <c r="D626" s="5" t="n">
        <v>9</v>
      </c>
      <c r="E626" s="13" t="n">
        <v>494629.33</v>
      </c>
      <c r="F626" s="13" t="n">
        <v>415925.76</v>
      </c>
      <c r="G626" s="5" t="n">
        <v>6</v>
      </c>
      <c r="H626" s="13" t="n">
        <v>0</v>
      </c>
      <c r="I626" s="12" t="n">
        <v>0</v>
      </c>
    </row>
    <row r="627">
      <c r="A627" t="inlineStr">
        <is>
          <t>37271416</t>
        </is>
      </c>
      <c r="B627" t="inlineStr">
        <is>
          <t>КНП "ЛЮБОМЛЬСЬКЕ ТЕРИТОРІАЛЬНЕ МЕДИЧНЕ ОБ'ЄДНАННЯ" ЛЮБОМЛЬСЬКОЇ МІСЬКОЇ РАДИ</t>
        </is>
      </c>
      <c r="C627" t="inlineStr">
        <is>
          <t>Волинська область</t>
        </is>
      </c>
      <c r="D627" s="5" t="n">
        <v>12</v>
      </c>
      <c r="E627" s="13" t="n">
        <v>655874</v>
      </c>
      <c r="F627" s="13" t="n">
        <v>400788</v>
      </c>
      <c r="G627" s="5" t="n">
        <v>6</v>
      </c>
      <c r="H627" s="13" t="n">
        <v>0</v>
      </c>
      <c r="I627" s="12" t="n">
        <v>0</v>
      </c>
    </row>
    <row r="628">
      <c r="A628" t="inlineStr">
        <is>
          <t>44186267</t>
        </is>
      </c>
      <c r="B628" t="inlineStr">
        <is>
          <t>Департамент освіти Луцької міської ради</t>
        </is>
      </c>
      <c r="C628" t="inlineStr">
        <is>
          <t>Волинська область</t>
        </is>
      </c>
      <c r="D628" s="5" t="n">
        <v>3</v>
      </c>
      <c r="E628" s="13" t="n">
        <v>384398</v>
      </c>
      <c r="F628" s="13" t="n">
        <v>384334</v>
      </c>
      <c r="G628" s="5" t="n">
        <v>3</v>
      </c>
      <c r="H628" s="13" t="n">
        <v>0</v>
      </c>
      <c r="I628" s="12" t="n">
        <v>0</v>
      </c>
    </row>
    <row r="629">
      <c r="A629" t="inlineStr">
        <is>
          <t>21739809</t>
        </is>
      </c>
      <c r="B629" t="inlineStr">
        <is>
          <t>НОВОВОЛИНСЬКИЙ ЛІЦЕЙ №2 НОВОВОЛИНСЬКОЇ МІСЬКОЇ РАДИ ВОЛИНСЬКОЇ ОБЛАСТІ</t>
        </is>
      </c>
      <c r="C629" t="inlineStr">
        <is>
          <t>Волинська область</t>
        </is>
      </c>
      <c r="D629" s="5" t="n">
        <v>3</v>
      </c>
      <c r="E629" s="13" t="n">
        <v>397070</v>
      </c>
      <c r="F629" s="13" t="n">
        <v>383470</v>
      </c>
      <c r="G629" s="5" t="n">
        <v>3</v>
      </c>
      <c r="H629" s="13" t="n">
        <v>0</v>
      </c>
      <c r="I629" s="12" t="n">
        <v>0</v>
      </c>
    </row>
    <row r="630">
      <c r="A630" t="inlineStr">
        <is>
          <t>21739867</t>
        </is>
      </c>
      <c r="B630" t="inlineStr">
        <is>
          <t>НОВОВОЛИНСЬКИЙ ЛІЦЕЙ №6 НОВОВОЛИНСЬКОЇ МІСЬКОЇ РАДИ ВОЛИНСЬКОЇ ОБЛАСТІ</t>
        </is>
      </c>
      <c r="C630" t="inlineStr">
        <is>
          <t>Волинська область</t>
        </is>
      </c>
      <c r="D630" s="5" t="n">
        <v>6</v>
      </c>
      <c r="E630" s="13" t="n">
        <v>1229867.52</v>
      </c>
      <c r="F630" s="13" t="n">
        <v>379840.2</v>
      </c>
      <c r="G630" s="5" t="n">
        <v>1</v>
      </c>
      <c r="H630" s="13" t="n">
        <v>0</v>
      </c>
      <c r="I630" s="12" t="n">
        <v>0</v>
      </c>
    </row>
    <row r="631">
      <c r="A631" t="inlineStr">
        <is>
          <t>04333193</t>
        </is>
      </c>
      <c r="B631" t="inlineStr">
        <is>
          <t>Маневицька селищна рада</t>
        </is>
      </c>
      <c r="C631" t="inlineStr">
        <is>
          <t>Волинська область</t>
        </is>
      </c>
      <c r="D631" s="5" t="n">
        <v>7</v>
      </c>
      <c r="E631" s="13" t="n">
        <v>436085</v>
      </c>
      <c r="F631" s="13" t="n">
        <v>371421.8</v>
      </c>
      <c r="G631" s="5" t="n">
        <v>5</v>
      </c>
      <c r="H631" s="13" t="n">
        <v>0</v>
      </c>
      <c r="I631" s="12" t="n">
        <v>0</v>
      </c>
    </row>
    <row r="632">
      <c r="A632" t="inlineStr">
        <is>
          <t>05500701</t>
        </is>
      </c>
      <c r="B632" t="inlineStr">
        <is>
          <t>Ківерцівський фаховий медичний коледж Волинської обласної ради</t>
        </is>
      </c>
      <c r="C632" t="inlineStr">
        <is>
          <t>Волинська область</t>
        </is>
      </c>
      <c r="D632" s="5" t="n">
        <v>6</v>
      </c>
      <c r="E632" s="13" t="n">
        <v>372281</v>
      </c>
      <c r="F632" s="13" t="n">
        <v>371281</v>
      </c>
      <c r="G632" s="5" t="n">
        <v>4</v>
      </c>
      <c r="H632" s="13" t="n">
        <v>0</v>
      </c>
      <c r="I632" s="12" t="n">
        <v>0</v>
      </c>
    </row>
    <row r="633">
      <c r="A633" t="inlineStr">
        <is>
          <t>44225206</t>
        </is>
      </c>
      <c r="B633" t="inlineStr">
        <is>
          <t>Гуманітарний відділ Городищенської сільської ради</t>
        </is>
      </c>
      <c r="C633" t="inlineStr">
        <is>
          <t>Волинська область</t>
        </is>
      </c>
      <c r="D633" s="5" t="n">
        <v>11</v>
      </c>
      <c r="E633" s="13" t="n">
        <v>374634.06</v>
      </c>
      <c r="F633" s="13" t="n">
        <v>367426.06</v>
      </c>
      <c r="G633" s="5" t="n">
        <v>7</v>
      </c>
      <c r="H633" s="13" t="n">
        <v>0</v>
      </c>
      <c r="I633" s="12" t="n">
        <v>0</v>
      </c>
    </row>
    <row r="634">
      <c r="A634" t="inlineStr">
        <is>
          <t>04334672</t>
        </is>
      </c>
      <c r="B634" t="inlineStr">
        <is>
          <t>Заболоттівська селищна рада</t>
        </is>
      </c>
      <c r="C634" t="inlineStr">
        <is>
          <t>Волинська область</t>
        </is>
      </c>
      <c r="D634" s="5" t="n">
        <v>11</v>
      </c>
      <c r="E634" s="13" t="n">
        <v>365653</v>
      </c>
      <c r="F634" s="13" t="n">
        <v>360523</v>
      </c>
      <c r="G634" s="5" t="n">
        <v>6</v>
      </c>
      <c r="H634" s="13" t="n">
        <v>0</v>
      </c>
      <c r="I634" s="12" t="n">
        <v>0</v>
      </c>
    </row>
    <row r="635">
      <c r="A635" t="inlineStr">
        <is>
          <t>02225246</t>
        </is>
      </c>
      <c r="B635" t="inlineStr">
        <is>
          <t>Волинський краєзнавчий музей</t>
        </is>
      </c>
      <c r="C635" t="inlineStr">
        <is>
          <t>Волинська область</t>
        </is>
      </c>
      <c r="D635" s="5" t="n">
        <v>4</v>
      </c>
      <c r="E635" s="13" t="n">
        <v>359135</v>
      </c>
      <c r="F635" s="13" t="n">
        <v>359135</v>
      </c>
      <c r="G635" s="5" t="n">
        <v>3</v>
      </c>
      <c r="H635" s="13" t="n">
        <v>0</v>
      </c>
      <c r="I635" s="12" t="n">
        <v>0</v>
      </c>
    </row>
    <row r="636">
      <c r="A636" t="inlineStr">
        <is>
          <t>38527410</t>
        </is>
      </c>
      <c r="B636" t="inlineStr">
        <is>
          <t>Департамент "Центр надання адміністративних послуг у місті Луцьку" Луцької міської ради</t>
        </is>
      </c>
      <c r="C636" t="inlineStr">
        <is>
          <t>Волинська область</t>
        </is>
      </c>
      <c r="D636" s="5" t="n">
        <v>12</v>
      </c>
      <c r="E636" s="13" t="n">
        <v>780624.3</v>
      </c>
      <c r="F636" s="13" t="n">
        <v>358754.3</v>
      </c>
      <c r="G636" s="5" t="n">
        <v>4</v>
      </c>
      <c r="H636" s="13" t="n">
        <v>0</v>
      </c>
      <c r="I636" s="12" t="n">
        <v>0</v>
      </c>
    </row>
    <row r="637">
      <c r="A637" t="inlineStr">
        <is>
          <t>30391925</t>
        </is>
      </c>
      <c r="B637" t="inlineStr">
        <is>
          <t>ДКП "Луцьктепло"</t>
        </is>
      </c>
      <c r="C637" t="inlineStr">
        <is>
          <t>Волинська область</t>
        </is>
      </c>
      <c r="D637" s="5" t="n">
        <v>2</v>
      </c>
      <c r="E637" s="13" t="n">
        <v>385023.57</v>
      </c>
      <c r="F637" s="13" t="n">
        <v>358698.24</v>
      </c>
      <c r="G637" s="5" t="n">
        <v>2</v>
      </c>
      <c r="H637" s="13" t="n">
        <v>0</v>
      </c>
      <c r="I637" s="12" t="n">
        <v>0</v>
      </c>
    </row>
    <row r="638">
      <c r="A638" t="inlineStr">
        <is>
          <t>20144391</t>
        </is>
      </c>
      <c r="B638" t="inlineStr">
        <is>
          <t>НОВОВОЛИНСЬКИЙ ЛІЦЕЙ №4 ІМЕНІ Т.Г.ШЕВЧЕНКА НОВОВОЛИНСЬКОЇ МІСЬКОЇ РАДИ ВОЛИНСЬКОЇ ОБЛАСТІ</t>
        </is>
      </c>
      <c r="C638" t="inlineStr">
        <is>
          <t>Волинська область</t>
        </is>
      </c>
      <c r="D638" s="5" t="n">
        <v>4</v>
      </c>
      <c r="E638" s="13" t="n">
        <v>360880</v>
      </c>
      <c r="F638" s="13" t="n">
        <v>331075</v>
      </c>
      <c r="G638" s="5" t="n">
        <v>2</v>
      </c>
      <c r="H638" s="13" t="n">
        <v>0</v>
      </c>
      <c r="I638" s="12" t="n">
        <v>0</v>
      </c>
    </row>
    <row r="639">
      <c r="A639" t="inlineStr">
        <is>
          <t>44126166</t>
        </is>
      </c>
      <c r="B639" t="inlineStr">
        <is>
          <t>УПРАВЛІННЯ ГУМАНІТАРНОЇ ПОЛІТИКИ ЛОКАЧИНСЬКОЇ СЕЛИЩНОЇ РАДИ</t>
        </is>
      </c>
      <c r="C639" t="inlineStr">
        <is>
          <t>Волинська область</t>
        </is>
      </c>
      <c r="D639" s="5" t="n">
        <v>8</v>
      </c>
      <c r="E639" s="13" t="n">
        <v>321230</v>
      </c>
      <c r="F639" s="13" t="n">
        <v>320620</v>
      </c>
      <c r="G639" s="5" t="n">
        <v>6</v>
      </c>
      <c r="H639" s="13" t="n">
        <v>0</v>
      </c>
      <c r="I639" s="12" t="n">
        <v>0</v>
      </c>
    </row>
    <row r="640">
      <c r="A640" t="inlineStr">
        <is>
          <t>21754097</t>
        </is>
      </c>
      <c r="B640" t="inlineStr">
        <is>
          <t>КОМУНАЛЬНИЙ ЗАКЛАД ЗАГАЛЬНОЇ СЕРЕДНЬОЇ ОСВІТИ "ГІРКОПОЛОНКІВСЬКИЙ ЛІЦЕЙ БОРАТИНСЬКОЇ СІЛЬСЬКОЇ РАДИ"</t>
        </is>
      </c>
      <c r="C640" t="inlineStr">
        <is>
          <t>Волинська область</t>
        </is>
      </c>
      <c r="D640" s="5" t="n">
        <v>3</v>
      </c>
      <c r="E640" s="13" t="n">
        <v>1251750</v>
      </c>
      <c r="F640" s="13" t="n">
        <v>317000</v>
      </c>
      <c r="G640" s="5" t="n">
        <v>1</v>
      </c>
      <c r="H640" s="13" t="n">
        <v>0</v>
      </c>
      <c r="I640" s="12" t="n">
        <v>0</v>
      </c>
    </row>
    <row r="641">
      <c r="A641" t="inlineStr">
        <is>
          <t>02141680</t>
        </is>
      </c>
      <c r="B641" t="inlineStr">
        <is>
          <t>Управління освіти виконавчого комітету Ковельської міської ради</t>
        </is>
      </c>
      <c r="C641" t="inlineStr">
        <is>
          <t>Волинська область</t>
        </is>
      </c>
      <c r="D641" s="5" t="n">
        <v>25</v>
      </c>
      <c r="E641" s="13" t="n">
        <v>451117.08</v>
      </c>
      <c r="F641" s="13" t="n">
        <v>307886.58</v>
      </c>
      <c r="G641" s="5" t="n">
        <v>7</v>
      </c>
      <c r="H641" s="13" t="n">
        <v>0</v>
      </c>
      <c r="I641" s="12" t="n">
        <v>0</v>
      </c>
    </row>
    <row r="642">
      <c r="A642" t="inlineStr">
        <is>
          <t>44545343</t>
        </is>
      </c>
      <c r="B642" t="inlineStr">
        <is>
          <t>Гуманітарний відділ Литовезької сільської ради</t>
        </is>
      </c>
      <c r="C642" t="inlineStr">
        <is>
          <t>Волинська область</t>
        </is>
      </c>
      <c r="D642" s="5" t="n">
        <v>5</v>
      </c>
      <c r="E642" s="13" t="n">
        <v>319897.92</v>
      </c>
      <c r="F642" s="13" t="n">
        <v>307389.92</v>
      </c>
      <c r="G642" s="5" t="n">
        <v>4</v>
      </c>
      <c r="H642" s="13" t="n">
        <v>0</v>
      </c>
      <c r="I642" s="12" t="n">
        <v>0</v>
      </c>
    </row>
    <row r="643">
      <c r="A643" t="inlineStr">
        <is>
          <t>42353228</t>
        </is>
      </c>
      <c r="B643" t="inlineStr">
        <is>
          <t>КОМУНАЛЬНИЙ ЗАКЛАД ЗАГАЛЬНОЇ СЕРЕДНЬОЇ ОСВІТИ "ЛУЦЬКИЙ ЛІЦЕЙ №27 ЛУЦЬКОЇ МІСЬКОЇ РАДИ"</t>
        </is>
      </c>
      <c r="C643" t="inlineStr">
        <is>
          <t>Волинська область</t>
        </is>
      </c>
      <c r="D643" s="5" t="n">
        <v>3</v>
      </c>
      <c r="E643" s="13" t="n">
        <v>299970</v>
      </c>
      <c r="F643" s="13" t="n">
        <v>299970</v>
      </c>
      <c r="G643" s="5" t="n">
        <v>1</v>
      </c>
      <c r="H643" s="13" t="n">
        <v>0</v>
      </c>
      <c r="I643" s="12" t="n">
        <v>0</v>
      </c>
    </row>
    <row r="644">
      <c r="A644" t="inlineStr">
        <is>
          <t>34836909</t>
        </is>
      </c>
      <c r="B644" t="inlineStr">
        <is>
          <t>КАМІНЬ-КАШИРСЬКА МІСЬКА РАДА</t>
        </is>
      </c>
      <c r="C644" t="inlineStr">
        <is>
          <t>Волинська область</t>
        </is>
      </c>
      <c r="D644" s="5" t="n">
        <v>7</v>
      </c>
      <c r="E644" s="13" t="n">
        <v>423702.83</v>
      </c>
      <c r="F644" s="13" t="n">
        <v>298747</v>
      </c>
      <c r="G644" s="5" t="n">
        <v>3</v>
      </c>
      <c r="H644" s="13" t="n">
        <v>0</v>
      </c>
      <c r="I644" s="12" t="n">
        <v>0</v>
      </c>
    </row>
    <row r="645">
      <c r="A645" t="inlineStr">
        <is>
          <t>13353837</t>
        </is>
      </c>
      <c r="B645" t="inlineStr">
        <is>
          <t>КП Нововолинськводоканал НМР</t>
        </is>
      </c>
      <c r="C645" t="inlineStr">
        <is>
          <t>Волинська область</t>
        </is>
      </c>
      <c r="D645" s="5" t="n">
        <v>4</v>
      </c>
      <c r="E645" s="13" t="n">
        <v>293122</v>
      </c>
      <c r="F645" s="13" t="n">
        <v>293122</v>
      </c>
      <c r="G645" s="5" t="n">
        <v>3</v>
      </c>
      <c r="H645" s="13" t="n">
        <v>0</v>
      </c>
      <c r="I645" s="12" t="n">
        <v>0</v>
      </c>
    </row>
    <row r="646">
      <c r="A646" t="inlineStr">
        <is>
          <t>04333201</t>
        </is>
      </c>
      <c r="B646" t="inlineStr">
        <is>
          <t>Доросинівська сільська рада</t>
        </is>
      </c>
      <c r="C646" t="inlineStr">
        <is>
          <t>Волинська область</t>
        </is>
      </c>
      <c r="D646" s="5" t="n">
        <v>7</v>
      </c>
      <c r="E646" s="13" t="n">
        <v>290720</v>
      </c>
      <c r="F646" s="13" t="n">
        <v>290720</v>
      </c>
      <c r="G646" s="5" t="n">
        <v>4</v>
      </c>
      <c r="H646" s="13" t="n">
        <v>0</v>
      </c>
      <c r="I646" s="12" t="n">
        <v>0</v>
      </c>
    </row>
    <row r="647">
      <c r="A647" t="inlineStr">
        <is>
          <t>44104446</t>
        </is>
      </c>
      <c r="B647" t="inlineStr">
        <is>
          <t>ВІДДІЛ ОСВІТИ, МОЛОДІ ТА СПОРТУ МАНЕВИЦЬКОЇ СЕЛИЩНОЇ РАДИ</t>
        </is>
      </c>
      <c r="C647" t="inlineStr">
        <is>
          <t>Волинська область</t>
        </is>
      </c>
      <c r="D647" s="5" t="n">
        <v>4</v>
      </c>
      <c r="E647" s="13" t="n">
        <v>406800</v>
      </c>
      <c r="F647" s="13" t="n">
        <v>289215.6</v>
      </c>
      <c r="G647" s="5" t="n">
        <v>3</v>
      </c>
      <c r="H647" s="13" t="n">
        <v>53292</v>
      </c>
      <c r="I647" s="12" t="n">
        <v>0.1843</v>
      </c>
    </row>
    <row r="648">
      <c r="A648" t="inlineStr">
        <is>
          <t>04333974</t>
        </is>
      </c>
      <c r="B648" t="inlineStr">
        <is>
          <t>КОЛОДЯЖНЕНСЬКА СІЛЬСЬКА РАДА КОВЕЛЬСЬКОГО РАЙОНУ ВОЛИНСЬКОЇ ОБЛАСТІ</t>
        </is>
      </c>
      <c r="C648" t="inlineStr">
        <is>
          <t>Волинська область</t>
        </is>
      </c>
      <c r="D648" s="5" t="n">
        <v>24</v>
      </c>
      <c r="E648" s="13" t="n">
        <v>288410</v>
      </c>
      <c r="F648" s="13" t="n">
        <v>288410</v>
      </c>
      <c r="G648" s="5" t="n">
        <v>3</v>
      </c>
      <c r="H648" s="13" t="n">
        <v>0</v>
      </c>
      <c r="I648" s="12" t="n">
        <v>0</v>
      </c>
    </row>
    <row r="649">
      <c r="A649" t="inlineStr">
        <is>
          <t>41066320</t>
        </is>
      </c>
      <c r="B649" t="inlineStr">
        <is>
          <t>Управління гуманітарної сфери виконавчого комітету Люблинецької селищної ради</t>
        </is>
      </c>
      <c r="C649" t="inlineStr">
        <is>
          <t>Волинська область</t>
        </is>
      </c>
      <c r="D649" s="5" t="n">
        <v>5</v>
      </c>
      <c r="E649" s="13" t="n">
        <v>511491</v>
      </c>
      <c r="F649" s="13" t="n">
        <v>278300</v>
      </c>
      <c r="G649" s="5" t="n">
        <v>2</v>
      </c>
      <c r="H649" s="13" t="n">
        <v>0</v>
      </c>
      <c r="I649" s="12" t="n">
        <v>0</v>
      </c>
    </row>
    <row r="650">
      <c r="A650" t="inlineStr">
        <is>
          <t>44450000</t>
        </is>
      </c>
      <c r="B650" t="inlineStr">
        <is>
          <t>ГУМАНІТАРНИЙ ВІДДІЛ ВИКОНАВЧОГО КОМІТЕТУ ОВАДНІВСЬКОЇ СІЛЬСЬКОЇ РАДИ</t>
        </is>
      </c>
      <c r="C650" t="inlineStr">
        <is>
          <t>Волинська область</t>
        </is>
      </c>
      <c r="D650" s="5" t="n">
        <v>11</v>
      </c>
      <c r="E650" s="13" t="n">
        <v>274444</v>
      </c>
      <c r="F650" s="13" t="n">
        <v>274444</v>
      </c>
      <c r="G650" s="5" t="n">
        <v>6</v>
      </c>
      <c r="H650" s="13" t="n">
        <v>0</v>
      </c>
      <c r="I650" s="12" t="n">
        <v>0</v>
      </c>
    </row>
    <row r="651">
      <c r="A651" t="inlineStr">
        <is>
          <t>44106679</t>
        </is>
      </c>
      <c r="B651" t="inlineStr">
        <is>
          <t>Головне управління ДПС у Волинській області</t>
        </is>
      </c>
      <c r="C651" t="inlineStr">
        <is>
          <t>Волинська область</t>
        </is>
      </c>
      <c r="D651" s="5" t="n">
        <v>2</v>
      </c>
      <c r="E651" s="13" t="n">
        <v>268300</v>
      </c>
      <c r="F651" s="13" t="n">
        <v>268268.17</v>
      </c>
      <c r="G651" s="5" t="n">
        <v>2</v>
      </c>
      <c r="H651" s="13" t="n">
        <v>0</v>
      </c>
      <c r="I651" s="12" t="n">
        <v>0</v>
      </c>
    </row>
    <row r="652">
      <c r="A652" t="inlineStr">
        <is>
          <t>04333158</t>
        </is>
      </c>
      <c r="B652" t="inlineStr">
        <is>
          <t>Торчинська селищна рада</t>
        </is>
      </c>
      <c r="C652" t="inlineStr">
        <is>
          <t>Волинська область</t>
        </is>
      </c>
      <c r="D652" s="5" t="n">
        <v>11</v>
      </c>
      <c r="E652" s="13" t="n">
        <v>250611.4</v>
      </c>
      <c r="F652" s="13" t="n">
        <v>250611.4</v>
      </c>
      <c r="G652" s="5" t="n">
        <v>4</v>
      </c>
      <c r="H652" s="13" t="n">
        <v>0</v>
      </c>
      <c r="I652" s="12" t="n">
        <v>0</v>
      </c>
    </row>
    <row r="653">
      <c r="A653" t="inlineStr">
        <is>
          <t>45701976</t>
        </is>
      </c>
      <c r="B653" t="inlineStr">
        <is>
          <t>КНП "КОЛОДЯЖНЕНСЬКИЙ ЦЕНТР ПЕРВИННОЇ МЕДИКО-САНІТАРНОЇ ДОПОМОГИ" КОЛОДЯЖНЕНСЬКОЇ СІЛЬСЬКОЇ РАДИ</t>
        </is>
      </c>
      <c r="C653" t="inlineStr">
        <is>
          <t>Волинська область</t>
        </is>
      </c>
      <c r="D653" s="5" t="n">
        <v>20</v>
      </c>
      <c r="E653" s="13" t="n">
        <v>248388</v>
      </c>
      <c r="F653" s="13" t="n">
        <v>248388</v>
      </c>
      <c r="G653" s="5" t="n">
        <v>1</v>
      </c>
      <c r="H653" s="13" t="n">
        <v>0</v>
      </c>
      <c r="I653" s="12" t="n">
        <v>0</v>
      </c>
    </row>
    <row r="654">
      <c r="A654" t="inlineStr">
        <is>
          <t>44152442</t>
        </is>
      </c>
      <c r="B654" t="inlineStr">
        <is>
          <t>КОМУНАЛЬНИЙ ЗАКЛАД "ЦЕНТР КУЛЬТУРИ, ТУРИЗМУ, МОЛОДІ ТА СПОРТУ" ПІДГАЙЦІВСЬКОЇ СІЛЬСЬКОЇ РАДИ</t>
        </is>
      </c>
      <c r="C654" t="inlineStr">
        <is>
          <t>Волинська область</t>
        </is>
      </c>
      <c r="D654" s="5" t="n">
        <v>8</v>
      </c>
      <c r="E654" s="13" t="n">
        <v>247609</v>
      </c>
      <c r="F654" s="13" t="n">
        <v>247609</v>
      </c>
      <c r="G654" s="5" t="n">
        <v>5</v>
      </c>
      <c r="H654" s="13" t="n">
        <v>0</v>
      </c>
      <c r="I654" s="12" t="n">
        <v>0</v>
      </c>
    </row>
    <row r="655">
      <c r="A655" t="inlineStr">
        <is>
          <t>03339489</t>
        </is>
      </c>
      <c r="B655" t="inlineStr">
        <is>
          <t>КП ""Луцькводоканал""</t>
        </is>
      </c>
      <c r="C655" t="inlineStr">
        <is>
          <t>Волинська область</t>
        </is>
      </c>
      <c r="D655" s="5" t="n">
        <v>3</v>
      </c>
      <c r="E655" s="13" t="n">
        <v>510015</v>
      </c>
      <c r="F655" s="13" t="n">
        <v>246000</v>
      </c>
      <c r="G655" s="5" t="n">
        <v>1</v>
      </c>
      <c r="H655" s="13" t="n">
        <v>0</v>
      </c>
      <c r="I655" s="12" t="n">
        <v>0</v>
      </c>
    </row>
    <row r="656">
      <c r="A656" t="inlineStr">
        <is>
          <t>04333359</t>
        </is>
      </c>
      <c r="B656" t="inlineStr">
        <is>
          <t>Поромівська сільська рада</t>
        </is>
      </c>
      <c r="C656" t="inlineStr">
        <is>
          <t>Волинська область</t>
        </is>
      </c>
      <c r="D656" s="5" t="n">
        <v>5</v>
      </c>
      <c r="E656" s="13" t="n">
        <v>242597</v>
      </c>
      <c r="F656" s="13" t="n">
        <v>240950</v>
      </c>
      <c r="G656" s="5" t="n">
        <v>4</v>
      </c>
      <c r="H656" s="13" t="n">
        <v>0</v>
      </c>
      <c r="I656" s="12" t="n">
        <v>0</v>
      </c>
    </row>
    <row r="657">
      <c r="A657" t="inlineStr">
        <is>
          <t>01982927</t>
        </is>
      </c>
      <c r="B657" t="inlineStr">
        <is>
          <t>КП "ЛЮБЕШІВСЬКА БАГАТОПРОФІЛЬНА ЛІКАРНЯ" ЛЮБЕШІВСЬКОЇ СЕЛИЩНОЇ РАДИ</t>
        </is>
      </c>
      <c r="C657" t="inlineStr">
        <is>
          <t>Волинська область</t>
        </is>
      </c>
      <c r="D657" s="5" t="n">
        <v>11</v>
      </c>
      <c r="E657" s="13" t="n">
        <v>438919.8</v>
      </c>
      <c r="F657" s="13" t="n">
        <v>239334.94</v>
      </c>
      <c r="G657" s="5" t="n">
        <v>6</v>
      </c>
      <c r="H657" s="13" t="n">
        <v>0</v>
      </c>
      <c r="I657" s="12" t="n">
        <v>0</v>
      </c>
    </row>
    <row r="658">
      <c r="A658" t="inlineStr">
        <is>
          <t>25574908</t>
        </is>
      </c>
      <c r="B658" t="inlineStr">
        <is>
          <t>ВОЛИНСЬКИЙ НАУКОВО-ДОСЛІДНИЙ ЕКСПЕРТНО-КРИМІНАЛІСТИЧНИЙ ЦЕНТР МВС УКРАЇНИ</t>
        </is>
      </c>
      <c r="C658" t="inlineStr">
        <is>
          <t>Волинська область</t>
        </is>
      </c>
      <c r="D658" s="5" t="n">
        <v>6</v>
      </c>
      <c r="E658" s="13" t="n">
        <v>239822.1</v>
      </c>
      <c r="F658" s="13" t="n">
        <v>231453.5</v>
      </c>
      <c r="G658" s="5" t="n">
        <v>4</v>
      </c>
      <c r="H658" s="13" t="n">
        <v>0</v>
      </c>
      <c r="I658" s="12" t="n">
        <v>0</v>
      </c>
    </row>
    <row r="659">
      <c r="A659" t="inlineStr">
        <is>
          <t>23018304</t>
        </is>
      </c>
      <c r="B659" t="inlineStr">
        <is>
          <t>Опорний заклад "Вишнівський ліцей" Вишнівської сільської ради</t>
        </is>
      </c>
      <c r="C659" t="inlineStr">
        <is>
          <t>Волинська область</t>
        </is>
      </c>
      <c r="D659" s="5" t="n">
        <v>5</v>
      </c>
      <c r="E659" s="13" t="n">
        <v>230200</v>
      </c>
      <c r="F659" s="13" t="n">
        <v>230200</v>
      </c>
      <c r="G659" s="5" t="n">
        <v>1</v>
      </c>
      <c r="H659" s="13" t="n">
        <v>0</v>
      </c>
      <c r="I659" s="12" t="n">
        <v>0</v>
      </c>
    </row>
    <row r="660">
      <c r="A660" t="inlineStr">
        <is>
          <t>03339331</t>
        </is>
      </c>
      <c r="B660" t="inlineStr">
        <is>
          <t>ВИРОБНИЧЕ УПРАВЛІННЯ КОМУНАЛЬНОГО ГОСПОДАРСТВА НОВОВОЛИНСКОЇ МІСЬКОЇ РАДИ</t>
        </is>
      </c>
      <c r="C660" t="inlineStr">
        <is>
          <t>Волинська область</t>
        </is>
      </c>
      <c r="D660" s="5" t="n">
        <v>6</v>
      </c>
      <c r="E660" s="13" t="n">
        <v>320927</v>
      </c>
      <c r="F660" s="13" t="n">
        <v>221124.2</v>
      </c>
      <c r="G660" s="5" t="n">
        <v>4</v>
      </c>
      <c r="H660" s="13" t="n">
        <v>0</v>
      </c>
      <c r="I660" s="12" t="n">
        <v>0</v>
      </c>
    </row>
    <row r="661">
      <c r="A661" t="inlineStr">
        <is>
          <t>02215213</t>
        </is>
      </c>
      <c r="B661" t="inlineStr">
        <is>
          <t>НОВОВОЛИНСЬКА ШКОЛА МИСТЕЦТВ</t>
        </is>
      </c>
      <c r="C661" t="inlineStr">
        <is>
          <t>Волинська область</t>
        </is>
      </c>
      <c r="D661" s="5" t="n">
        <v>4</v>
      </c>
      <c r="E661" s="13" t="n">
        <v>220400</v>
      </c>
      <c r="F661" s="13" t="n">
        <v>220400</v>
      </c>
      <c r="G661" s="5" t="n">
        <v>1</v>
      </c>
      <c r="H661" s="13" t="n">
        <v>0</v>
      </c>
      <c r="I661" s="12" t="n">
        <v>0</v>
      </c>
    </row>
    <row r="662">
      <c r="A662" t="inlineStr">
        <is>
          <t>02215182</t>
        </is>
      </c>
      <c r="B662" t="inlineStr">
        <is>
          <t>Комунальний заклад "Луцька художня школа"</t>
        </is>
      </c>
      <c r="C662" t="inlineStr">
        <is>
          <t>Волинська область</t>
        </is>
      </c>
      <c r="D662" s="5" t="n">
        <v>6</v>
      </c>
      <c r="E662" s="13" t="n">
        <v>219764</v>
      </c>
      <c r="F662" s="13" t="n">
        <v>219764</v>
      </c>
      <c r="G662" s="5" t="n">
        <v>1</v>
      </c>
      <c r="H662" s="13" t="n">
        <v>0</v>
      </c>
      <c r="I662" s="12" t="n">
        <v>0</v>
      </c>
    </row>
    <row r="663">
      <c r="A663" t="inlineStr">
        <is>
          <t>43981367</t>
        </is>
      </c>
      <c r="B663" t="inlineStr">
        <is>
          <t>УПРАВЛІННЯ ГУМАНІТАРНОЇ ПОЛІТИКИ КАМІНЬ-КАШИРСЬКОЇ МІСЬКОЇ РАДИ</t>
        </is>
      </c>
      <c r="C663" t="inlineStr">
        <is>
          <t>Волинська область</t>
        </is>
      </c>
      <c r="D663" s="5" t="n">
        <v>11</v>
      </c>
      <c r="E663" s="13" t="n">
        <v>497999</v>
      </c>
      <c r="F663" s="13" t="n">
        <v>203332.33</v>
      </c>
      <c r="G663" s="5" t="n">
        <v>5</v>
      </c>
      <c r="H663" s="13" t="n">
        <v>0</v>
      </c>
      <c r="I663" s="12" t="n">
        <v>0</v>
      </c>
    </row>
    <row r="664">
      <c r="A664" t="inlineStr">
        <is>
          <t>03499885</t>
        </is>
      </c>
      <c r="B664" t="inlineStr">
        <is>
          <t>ГОСПОДАРСЬКИЙ СУД ВОЛИНСЬКОЇ ОБЛАСТІ</t>
        </is>
      </c>
      <c r="C664" t="inlineStr">
        <is>
          <t>Волинська область</t>
        </is>
      </c>
      <c r="D664" s="5" t="n">
        <v>1</v>
      </c>
      <c r="E664" s="13" t="n">
        <v>210000</v>
      </c>
      <c r="F664" s="13" t="n">
        <v>202800</v>
      </c>
      <c r="G664" s="5" t="n">
        <v>1</v>
      </c>
      <c r="H664" s="13" t="n">
        <v>0</v>
      </c>
      <c r="I664" s="12" t="n">
        <v>0</v>
      </c>
    </row>
    <row r="665">
      <c r="A665" t="inlineStr">
        <is>
          <t>05517736</t>
        </is>
      </c>
      <c r="B665" t="inlineStr">
        <is>
          <t>Управління капітального будівництва Луцької міської ради</t>
        </is>
      </c>
      <c r="C665" t="inlineStr">
        <is>
          <t>Волинська область</t>
        </is>
      </c>
      <c r="D665" s="5" t="n">
        <v>3</v>
      </c>
      <c r="E665" s="13" t="n">
        <v>199872</v>
      </c>
      <c r="F665" s="13" t="n">
        <v>199872</v>
      </c>
      <c r="G665" s="5" t="n">
        <v>2</v>
      </c>
      <c r="H665" s="13" t="n">
        <v>0</v>
      </c>
      <c r="I665" s="12" t="n">
        <v>0</v>
      </c>
    </row>
    <row r="666">
      <c r="A666" t="inlineStr">
        <is>
          <t>20148727</t>
        </is>
      </c>
      <c r="B666" t="inlineStr">
        <is>
          <t>Крупівський навчально-реабілітаційний центр</t>
        </is>
      </c>
      <c r="C666" t="inlineStr">
        <is>
          <t>Волинська область</t>
        </is>
      </c>
      <c r="D666" s="5" t="n">
        <v>2</v>
      </c>
      <c r="E666" s="13" t="n">
        <v>196500</v>
      </c>
      <c r="F666" s="13" t="n">
        <v>196500</v>
      </c>
      <c r="G666" s="5" t="n">
        <v>1</v>
      </c>
      <c r="H666" s="13" t="n">
        <v>0</v>
      </c>
      <c r="I666" s="12" t="n">
        <v>0</v>
      </c>
    </row>
    <row r="667">
      <c r="A667" t="inlineStr">
        <is>
          <t>04590530</t>
        </is>
      </c>
      <c r="B667" t="inlineStr">
        <is>
          <t>ГОРОДИЩЕНСЬКА СІЛЬСЬКА РАДА</t>
        </is>
      </c>
      <c r="C667" t="inlineStr">
        <is>
          <t>Волинська область</t>
        </is>
      </c>
      <c r="D667" s="5" t="n">
        <v>10</v>
      </c>
      <c r="E667" s="13" t="n">
        <v>194167</v>
      </c>
      <c r="F667" s="13" t="n">
        <v>194167</v>
      </c>
      <c r="G667" s="5" t="n">
        <v>7</v>
      </c>
      <c r="H667" s="13" t="n">
        <v>0</v>
      </c>
      <c r="I667" s="12" t="n">
        <v>0</v>
      </c>
    </row>
    <row r="668">
      <c r="A668" t="inlineStr">
        <is>
          <t>04332207</t>
        </is>
      </c>
      <c r="B668" t="inlineStr">
        <is>
          <t>БОРАТИНСЬКА СІЛЬСЬКА РАДА</t>
        </is>
      </c>
      <c r="C668" t="inlineStr">
        <is>
          <t>Волинська область</t>
        </is>
      </c>
      <c r="D668" s="5" t="n">
        <v>18</v>
      </c>
      <c r="E668" s="13" t="n">
        <v>191353.8</v>
      </c>
      <c r="F668" s="13" t="n">
        <v>191353.8</v>
      </c>
      <c r="G668" s="5" t="n">
        <v>6</v>
      </c>
      <c r="H668" s="13" t="n">
        <v>0</v>
      </c>
      <c r="I668" s="12" t="n">
        <v>0</v>
      </c>
    </row>
    <row r="669">
      <c r="A669" t="inlineStr">
        <is>
          <t>26414118</t>
        </is>
      </c>
      <c r="B669" t="inlineStr">
        <is>
          <t>КОМУНАЛЬНИЙ ЗАКЛАД "ЛУЦЬКИЙ НАВЧАЛЬНО-РЕАБІЛІТАЦІЙНИЙ ЦЕНТР ЛУЦЬКОЇ МІСЬКОЇ РАДИ"</t>
        </is>
      </c>
      <c r="C669" t="inlineStr">
        <is>
          <t>Волинська область</t>
        </is>
      </c>
      <c r="D669" s="5" t="n">
        <v>3</v>
      </c>
      <c r="E669" s="13" t="n">
        <v>188565</v>
      </c>
      <c r="F669" s="13" t="n">
        <v>188565</v>
      </c>
      <c r="G669" s="5" t="n">
        <v>3</v>
      </c>
      <c r="H669" s="13" t="n">
        <v>0</v>
      </c>
      <c r="I669" s="12" t="n">
        <v>0</v>
      </c>
    </row>
    <row r="670">
      <c r="A670" t="inlineStr">
        <is>
          <t>04332621</t>
        </is>
      </c>
      <c r="B670" t="inlineStr">
        <is>
          <t>Рівненська сільська рада</t>
        </is>
      </c>
      <c r="C670" t="inlineStr">
        <is>
          <t>Волинська область</t>
        </is>
      </c>
      <c r="D670" s="5" t="n">
        <v>7</v>
      </c>
      <c r="E670" s="13" t="n">
        <v>179910</v>
      </c>
      <c r="F670" s="13" t="n">
        <v>179910</v>
      </c>
      <c r="G670" s="5" t="n">
        <v>4</v>
      </c>
      <c r="H670" s="13" t="n">
        <v>0</v>
      </c>
      <c r="I670" s="12" t="n">
        <v>0</v>
      </c>
    </row>
    <row r="671">
      <c r="A671" t="inlineStr">
        <is>
          <t>05500871</t>
        </is>
      </c>
      <c r="B671" t="inlineStr">
        <is>
          <t>КП "КОВЕЛЬВОДОКАНАЛ" КОВЕЛЬСЬКОЇ МІСЬКОЇ РАДИ</t>
        </is>
      </c>
      <c r="C671" t="inlineStr">
        <is>
          <t>Волинська область</t>
        </is>
      </c>
      <c r="D671" s="5" t="n">
        <v>3</v>
      </c>
      <c r="E671" s="13" t="n">
        <v>179514.42</v>
      </c>
      <c r="F671" s="13" t="n">
        <v>179514.42</v>
      </c>
      <c r="G671" s="5" t="n">
        <v>2</v>
      </c>
      <c r="H671" s="13" t="n">
        <v>0</v>
      </c>
      <c r="I671" s="12" t="n">
        <v>0</v>
      </c>
    </row>
    <row r="672">
      <c r="A672" t="inlineStr">
        <is>
          <t>01982867</t>
        </is>
      </c>
      <c r="B672" t="inlineStr">
        <is>
          <t>КП "ВОЛИНСЬКИЙ ОБЛАСНИЙ ЦЕНТР СЛУЖБИ КРОВІ" ВОЛИНСЬКОЇ ОБЛАСНОЇ РАДИ</t>
        </is>
      </c>
      <c r="C672" t="inlineStr">
        <is>
          <t>Волинська область</t>
        </is>
      </c>
      <c r="D672" s="5" t="n">
        <v>2</v>
      </c>
      <c r="E672" s="13" t="n">
        <v>175780</v>
      </c>
      <c r="F672" s="13" t="n">
        <v>175780</v>
      </c>
      <c r="G672" s="5" t="n">
        <v>1</v>
      </c>
      <c r="H672" s="13" t="n">
        <v>0</v>
      </c>
      <c r="I672" s="12" t="n">
        <v>0</v>
      </c>
    </row>
    <row r="673">
      <c r="A673" t="inlineStr">
        <is>
          <t>02139363</t>
        </is>
      </c>
      <c r="B673" t="inlineStr">
        <is>
          <t>Шацький національний природний парк</t>
        </is>
      </c>
      <c r="C673" t="inlineStr">
        <is>
          <t>Волинська область</t>
        </is>
      </c>
      <c r="D673" s="5" t="n">
        <v>4</v>
      </c>
      <c r="E673" s="13" t="n">
        <v>174802</v>
      </c>
      <c r="F673" s="13" t="n">
        <v>174802</v>
      </c>
      <c r="G673" s="5" t="n">
        <v>2</v>
      </c>
      <c r="H673" s="13" t="n">
        <v>0</v>
      </c>
      <c r="I673" s="12" t="n">
        <v>0</v>
      </c>
    </row>
    <row r="674">
      <c r="A674" t="inlineStr">
        <is>
          <t>01983051</t>
        </is>
      </c>
      <c r="B674" t="inlineStr">
        <is>
          <t>КНП «Камінь-Каширська центральна районна лікарня» Камінь-Каширської міської ради Волинської області</t>
        </is>
      </c>
      <c r="C674" t="inlineStr">
        <is>
          <t>Волинська область</t>
        </is>
      </c>
      <c r="D674" s="5" t="n">
        <v>4</v>
      </c>
      <c r="E674" s="13" t="n">
        <v>251209</v>
      </c>
      <c r="F674" s="13" t="n">
        <v>172009</v>
      </c>
      <c r="G674" s="5" t="n">
        <v>2</v>
      </c>
      <c r="H674" s="13" t="n">
        <v>0</v>
      </c>
      <c r="I674" s="12" t="n">
        <v>0</v>
      </c>
    </row>
    <row r="675">
      <c r="A675" t="inlineStr">
        <is>
          <t>01982850</t>
        </is>
      </c>
      <c r="B675" t="inlineStr">
        <is>
          <t>КП "Луцька міська клінічна стоматологічна поліклініка"</t>
        </is>
      </c>
      <c r="C675" t="inlineStr">
        <is>
          <t>Волинська область</t>
        </is>
      </c>
      <c r="D675" s="5" t="n">
        <v>6</v>
      </c>
      <c r="E675" s="13" t="n">
        <v>169432.25</v>
      </c>
      <c r="F675" s="13" t="n">
        <v>169432.25</v>
      </c>
      <c r="G675" s="5" t="n">
        <v>5</v>
      </c>
      <c r="H675" s="13" t="n">
        <v>0</v>
      </c>
      <c r="I675" s="12" t="n">
        <v>0</v>
      </c>
    </row>
    <row r="676">
      <c r="A676" t="inlineStr">
        <is>
          <t>02139699</t>
        </is>
      </c>
      <c r="B676" t="inlineStr">
        <is>
          <t>Волинський інститут післядипломної педагогічної освіти</t>
        </is>
      </c>
      <c r="C676" t="inlineStr">
        <is>
          <t>Волинська область</t>
        </is>
      </c>
      <c r="D676" s="5" t="n">
        <v>7</v>
      </c>
      <c r="E676" s="13" t="n">
        <v>167267</v>
      </c>
      <c r="F676" s="13" t="n">
        <v>167267</v>
      </c>
      <c r="G676" s="5" t="n">
        <v>4</v>
      </c>
      <c r="H676" s="13" t="n">
        <v>0</v>
      </c>
      <c r="I676" s="12" t="n">
        <v>0</v>
      </c>
    </row>
    <row r="677">
      <c r="A677" t="inlineStr">
        <is>
          <t>21733221</t>
        </is>
      </c>
      <c r="B677" t="inlineStr">
        <is>
          <t>КОМУНАЛЬНИЙ ЗАКЛАД ЗАГАЛЬНОЇ СЕРЕДНЬОЇ ОСВІТИ "ЛУЦЬКИЙ ЛІЦЕЙ №25 ЛУЦЬКОЇ МІСЬКОЇ РАДИ"</t>
        </is>
      </c>
      <c r="C677" t="inlineStr">
        <is>
          <t>Волинська область</t>
        </is>
      </c>
      <c r="D677" s="5" t="n">
        <v>1</v>
      </c>
      <c r="E677" s="13" t="n">
        <v>165689</v>
      </c>
      <c r="F677" s="13" t="n">
        <v>164100</v>
      </c>
      <c r="G677" s="5" t="n">
        <v>1</v>
      </c>
      <c r="H677" s="13" t="n">
        <v>0</v>
      </c>
      <c r="I677" s="12" t="n">
        <v>0</v>
      </c>
    </row>
    <row r="678">
      <c r="A678" t="inlineStr">
        <is>
          <t>04334933</t>
        </is>
      </c>
      <c r="B678" t="inlineStr">
        <is>
          <t>МАР'ЯНІВСЬКА СЕЛИЩНА РАДА</t>
        </is>
      </c>
      <c r="C678" t="inlineStr">
        <is>
          <t>Волинська область</t>
        </is>
      </c>
      <c r="D678" s="5" t="n">
        <v>9</v>
      </c>
      <c r="E678" s="13" t="n">
        <v>183921</v>
      </c>
      <c r="F678" s="13" t="n">
        <v>163681</v>
      </c>
      <c r="G678" s="5" t="n">
        <v>6</v>
      </c>
      <c r="H678" s="13" t="n">
        <v>0</v>
      </c>
      <c r="I678" s="12" t="n">
        <v>0</v>
      </c>
    </row>
    <row r="679">
      <c r="A679" t="inlineStr">
        <is>
          <t>04333247</t>
        </is>
      </c>
      <c r="B679" t="inlineStr">
        <is>
          <t>Колківська селищна рада</t>
        </is>
      </c>
      <c r="C679" t="inlineStr">
        <is>
          <t>Волинська область</t>
        </is>
      </c>
      <c r="D679" s="5" t="n">
        <v>7</v>
      </c>
      <c r="E679" s="13" t="n">
        <v>162742</v>
      </c>
      <c r="F679" s="13" t="n">
        <v>162742</v>
      </c>
      <c r="G679" s="5" t="n">
        <v>1</v>
      </c>
      <c r="H679" s="13" t="n">
        <v>0</v>
      </c>
      <c r="I679" s="12" t="n">
        <v>0</v>
      </c>
    </row>
    <row r="680">
      <c r="A680" t="inlineStr">
        <is>
          <t>04332331</t>
        </is>
      </c>
      <c r="B680" t="inlineStr">
        <is>
          <t>Підгайцівська сільська рада</t>
        </is>
      </c>
      <c r="C680" t="inlineStr">
        <is>
          <t>Волинська область</t>
        </is>
      </c>
      <c r="D680" s="5" t="n">
        <v>10</v>
      </c>
      <c r="E680" s="13" t="n">
        <v>162730.24</v>
      </c>
      <c r="F680" s="13" t="n">
        <v>162730.24</v>
      </c>
      <c r="G680" s="5" t="n">
        <v>4</v>
      </c>
      <c r="H680" s="13" t="n">
        <v>0</v>
      </c>
      <c r="I680" s="12" t="n">
        <v>0</v>
      </c>
    </row>
    <row r="681">
      <c r="A681" t="inlineStr">
        <is>
          <t>37004147</t>
        </is>
      </c>
      <c r="B681" t="inlineStr">
        <is>
          <t>ГРОМАДСЬКА ОРГАНІЗАЦІЯ ВОЛИНСЬКИЙ ОБЛАСНИЙ ОСЕРЕДОК ВСЕУКРАЇНСЬКОЇ ГРОМАДСЬКОЇ ОРГАНІЗАЦІЇ ЛЮДЕЙ З ІНВАЛІДНІСТЮ ПО ЗОРУ "ГЕНЕРАЦІЯ УСПІШНОЇ ДІЇ"</t>
        </is>
      </c>
      <c r="C681" t="inlineStr">
        <is>
          <t>Волинська область</t>
        </is>
      </c>
      <c r="D681" s="5" t="n">
        <v>1</v>
      </c>
      <c r="E681" s="13" t="n">
        <v>160000</v>
      </c>
      <c r="F681" s="13" t="n">
        <v>159180</v>
      </c>
      <c r="G681" s="5" t="n">
        <v>1</v>
      </c>
      <c r="H681" s="13" t="n">
        <v>0</v>
      </c>
      <c r="I681" s="12" t="n">
        <v>0</v>
      </c>
    </row>
    <row r="682">
      <c r="A682" t="inlineStr">
        <is>
          <t>00692512</t>
        </is>
      </c>
      <c r="B682" t="inlineStr">
        <is>
          <t>Волинська обласна державна лікарня ветеринарної медицини</t>
        </is>
      </c>
      <c r="C682" t="inlineStr">
        <is>
          <t>Волинська область</t>
        </is>
      </c>
      <c r="D682" s="5" t="n">
        <v>3</v>
      </c>
      <c r="E682" s="13" t="n">
        <v>156999.56</v>
      </c>
      <c r="F682" s="13" t="n">
        <v>156999.56</v>
      </c>
      <c r="G682" s="5" t="n">
        <v>2</v>
      </c>
      <c r="H682" s="13" t="n">
        <v>0</v>
      </c>
      <c r="I682" s="12" t="n">
        <v>0</v>
      </c>
    </row>
    <row r="683">
      <c r="A683" t="inlineStr">
        <is>
          <t>02655745</t>
        </is>
      </c>
      <c r="B683" t="inlineStr">
        <is>
          <t>Нововолинський міський палац культури</t>
        </is>
      </c>
      <c r="C683" t="inlineStr">
        <is>
          <t>Волинська область</t>
        </is>
      </c>
      <c r="D683" s="5" t="n">
        <v>7</v>
      </c>
      <c r="E683" s="13" t="n">
        <v>156150</v>
      </c>
      <c r="F683" s="13" t="n">
        <v>156150</v>
      </c>
      <c r="G683" s="5" t="n">
        <v>2</v>
      </c>
      <c r="H683" s="13" t="n">
        <v>0</v>
      </c>
      <c r="I683" s="12" t="n">
        <v>0</v>
      </c>
    </row>
    <row r="684">
      <c r="A684" t="inlineStr">
        <is>
          <t>45799110</t>
        </is>
      </c>
      <c r="B684" t="inlineStr">
        <is>
          <t>УПРАВЛІННЯ З ПИТАНЬ ВЕТЕРАНСЬКОЇ ПОЛІТИКИ ВИКОНАВЧОГО КОМІТЕТУ КОВЕЛЬСЬКОЇ МІСЬКОЇ РАДИ</t>
        </is>
      </c>
      <c r="C684" t="inlineStr">
        <is>
          <t>Волинська область</t>
        </is>
      </c>
      <c r="D684" s="5" t="n">
        <v>5</v>
      </c>
      <c r="E684" s="13" t="n">
        <v>149590</v>
      </c>
      <c r="F684" s="13" t="n">
        <v>149590</v>
      </c>
      <c r="G684" s="5" t="n">
        <v>1</v>
      </c>
      <c r="H684" s="13" t="n">
        <v>0</v>
      </c>
      <c r="I684" s="12" t="n">
        <v>0</v>
      </c>
    </row>
    <row r="685">
      <c r="A685" t="inlineStr">
        <is>
          <t>42486365</t>
        </is>
      </c>
      <c r="B685" t="inlineStr">
        <is>
          <t>КНП "НОВОВОЛИНСЬКИЙ ЦЕНТР ПЕРВИННОЇ МЕДИКО-САНІТАРНОЇ ДОПОМОГИ НОВОВОЛИНСЬКОЇ МІСЬКОЇ РАДИ ВОЛИНСЬКОЇ ОБЛАСТІ"</t>
        </is>
      </c>
      <c r="C685" t="inlineStr">
        <is>
          <t>Волинська область</t>
        </is>
      </c>
      <c r="D685" s="5" t="n">
        <v>6</v>
      </c>
      <c r="E685" s="13" t="n">
        <v>149290.34</v>
      </c>
      <c r="F685" s="13" t="n">
        <v>148963</v>
      </c>
      <c r="G685" s="5" t="n">
        <v>3</v>
      </c>
      <c r="H685" s="13" t="n">
        <v>0</v>
      </c>
      <c r="I685" s="12" t="n">
        <v>0</v>
      </c>
    </row>
    <row r="686">
      <c r="A686" t="inlineStr">
        <is>
          <t>23017641</t>
        </is>
      </c>
      <c r="B686" t="inlineStr">
        <is>
          <t>Буцинський ліцей Дубівської сільської ради Ковельського району Волинської області</t>
        </is>
      </c>
      <c r="C686" t="inlineStr">
        <is>
          <t>Волинська область</t>
        </is>
      </c>
      <c r="D686" s="5" t="n">
        <v>3</v>
      </c>
      <c r="E686" s="13" t="n">
        <v>149997</v>
      </c>
      <c r="F686" s="13" t="n">
        <v>147600</v>
      </c>
      <c r="G686" s="5" t="n">
        <v>2</v>
      </c>
      <c r="H686" s="13" t="n">
        <v>0</v>
      </c>
      <c r="I686" s="12" t="n">
        <v>0</v>
      </c>
    </row>
    <row r="687">
      <c r="A687" t="inlineStr">
        <is>
          <t>02214426</t>
        </is>
      </c>
      <c r="B687" t="inlineStr">
        <is>
          <t>Волинський фаховий коледж культури і мистецтв імені І.Ф. Стравінського Волинської обласної ради</t>
        </is>
      </c>
      <c r="C687" t="inlineStr">
        <is>
          <t>Волинська область</t>
        </is>
      </c>
      <c r="D687" s="5" t="n">
        <v>4</v>
      </c>
      <c r="E687" s="13" t="n">
        <v>147547.86</v>
      </c>
      <c r="F687" s="13" t="n">
        <v>147547.86</v>
      </c>
      <c r="G687" s="5" t="n">
        <v>3</v>
      </c>
      <c r="H687" s="13" t="n">
        <v>0</v>
      </c>
      <c r="I687" s="12" t="n">
        <v>0</v>
      </c>
    </row>
    <row r="688">
      <c r="A688" t="inlineStr">
        <is>
          <t>05396534</t>
        </is>
      </c>
      <c r="B688" t="inlineStr">
        <is>
          <t>Управління культури, молоді, спорту та туризму виконавчого комітету Ковельської міської ради</t>
        </is>
      </c>
      <c r="C688" t="inlineStr">
        <is>
          <t>Волинська область</t>
        </is>
      </c>
      <c r="D688" s="5" t="n">
        <v>16</v>
      </c>
      <c r="E688" s="13" t="n">
        <v>147091.08</v>
      </c>
      <c r="F688" s="13" t="n">
        <v>147091.08</v>
      </c>
      <c r="G688" s="5" t="n">
        <v>5</v>
      </c>
      <c r="H688" s="13" t="n">
        <v>0</v>
      </c>
      <c r="I688" s="12" t="n">
        <v>0</v>
      </c>
    </row>
    <row r="689">
      <c r="A689" t="inlineStr">
        <is>
          <t>42302409</t>
        </is>
      </c>
      <c r="B689" t="inlineStr">
        <is>
          <t>ВІДДІЛ ОСВІТИ КОЛКІВСЬКОЇ СЕЛИЩНОЇ РАДИ ВОЛИНСЬКОЇ ОБЛАСТІ</t>
        </is>
      </c>
      <c r="C689" t="inlineStr">
        <is>
          <t>Волинська область</t>
        </is>
      </c>
      <c r="D689" s="5" t="n">
        <v>7</v>
      </c>
      <c r="E689" s="13" t="n">
        <v>473708.8</v>
      </c>
      <c r="F689" s="13" t="n">
        <v>143688.8</v>
      </c>
      <c r="G689" s="5" t="n">
        <v>5</v>
      </c>
      <c r="H689" s="13" t="n">
        <v>0</v>
      </c>
      <c r="I689" s="12" t="n">
        <v>0</v>
      </c>
    </row>
    <row r="690">
      <c r="A690" t="inlineStr">
        <is>
          <t>38692240</t>
        </is>
      </c>
      <c r="B690" t="inlineStr">
        <is>
          <t>КНП "ІВАНИЧІВСЬКИЙ ЦЕНТР ПЕРВИННОЇ МЕДИКО-САНІТАРНОЇ ДОПОМОГИ"</t>
        </is>
      </c>
      <c r="C690" t="inlineStr">
        <is>
          <t>Волинська область</t>
        </is>
      </c>
      <c r="D690" s="5" t="n">
        <v>11</v>
      </c>
      <c r="E690" s="13" t="n">
        <v>143121.5</v>
      </c>
      <c r="F690" s="13" t="n">
        <v>143121.5</v>
      </c>
      <c r="G690" s="5" t="n">
        <v>3</v>
      </c>
      <c r="H690" s="13" t="n">
        <v>0</v>
      </c>
      <c r="I690" s="12" t="n">
        <v>0</v>
      </c>
    </row>
    <row r="691">
      <c r="A691" t="inlineStr">
        <is>
          <t>04334235</t>
        </is>
      </c>
      <c r="B691" t="inlineStr">
        <is>
          <t>Шацька селищна рада</t>
        </is>
      </c>
      <c r="C691" t="inlineStr">
        <is>
          <t>Волинська область</t>
        </is>
      </c>
      <c r="D691" s="5" t="n">
        <v>5</v>
      </c>
      <c r="E691" s="13" t="n">
        <v>139198</v>
      </c>
      <c r="F691" s="13" t="n">
        <v>139198</v>
      </c>
      <c r="G691" s="5" t="n">
        <v>2</v>
      </c>
      <c r="H691" s="13" t="n">
        <v>0</v>
      </c>
      <c r="I691" s="12" t="n">
        <v>0</v>
      </c>
    </row>
    <row r="692">
      <c r="A692" t="inlineStr">
        <is>
          <t>37472916</t>
        </is>
      </c>
      <c r="B692" t="inlineStr">
        <is>
          <t>ДЕПАРТАМЕНТ ФІНАНСІВ ТА БЮДЖЕТУ ЛУЦЬКОЇ МІСЬКОЇ РАДИ</t>
        </is>
      </c>
      <c r="C692" t="inlineStr">
        <is>
          <t>Волинська область</t>
        </is>
      </c>
      <c r="D692" s="5" t="n">
        <v>3</v>
      </c>
      <c r="E692" s="13" t="n">
        <v>138900</v>
      </c>
      <c r="F692" s="13" t="n">
        <v>138900</v>
      </c>
      <c r="G692" s="5" t="n">
        <v>2</v>
      </c>
      <c r="H692" s="13" t="n">
        <v>0</v>
      </c>
      <c r="I692" s="12" t="n">
        <v>0</v>
      </c>
    </row>
    <row r="693">
      <c r="A693" t="inlineStr">
        <is>
          <t>07516184</t>
        </is>
      </c>
      <c r="B693" t="inlineStr">
        <is>
          <t>Квартирно - експлуатаційний відділ м. Володимир</t>
        </is>
      </c>
      <c r="C693" t="inlineStr">
        <is>
          <t>Волинська область</t>
        </is>
      </c>
      <c r="D693" s="5" t="n">
        <v>7</v>
      </c>
      <c r="E693" s="13" t="n">
        <v>260967</v>
      </c>
      <c r="F693" s="13" t="n">
        <v>136838.16</v>
      </c>
      <c r="G693" s="5" t="n">
        <v>2</v>
      </c>
      <c r="H693" s="13" t="n">
        <v>0</v>
      </c>
      <c r="I693" s="12" t="n">
        <v>0</v>
      </c>
    </row>
    <row r="694">
      <c r="A694" t="inlineStr">
        <is>
          <t>42025698</t>
        </is>
      </c>
      <c r="B694" t="inlineStr">
        <is>
          <t>ВІДДІЛ ОСВІТИ, МОЛОДІ ТА СПОРТУ ЛЮБОМЛЬСЬКОЇ МІСЬКОЇ РАДИ</t>
        </is>
      </c>
      <c r="C694" t="inlineStr">
        <is>
          <t>Волинська область</t>
        </is>
      </c>
      <c r="D694" s="5" t="n">
        <v>7</v>
      </c>
      <c r="E694" s="13" t="n">
        <v>136220</v>
      </c>
      <c r="F694" s="13" t="n">
        <v>136220</v>
      </c>
      <c r="G694" s="5" t="n">
        <v>2</v>
      </c>
      <c r="H694" s="13" t="n">
        <v>0</v>
      </c>
      <c r="I694" s="12" t="n">
        <v>0</v>
      </c>
    </row>
    <row r="695">
      <c r="A695" t="inlineStr">
        <is>
          <t>45677949</t>
        </is>
      </c>
      <c r="B695" t="inlineStr">
        <is>
          <t>УПРАВЛІННЯ З ПИТАНЬ ВЕТЕРАНСЬКОЇ ПОЛІТИКИ ВОЛИНСЬКОЇ ОБЛАСНОЇ ДЕРЖАВНОЇ АДМІНІСТРАЦІЇ</t>
        </is>
      </c>
      <c r="C695" t="inlineStr">
        <is>
          <t>Волинська область</t>
        </is>
      </c>
      <c r="D695" s="5" t="n">
        <v>3</v>
      </c>
      <c r="E695" s="13" t="n">
        <v>136200</v>
      </c>
      <c r="F695" s="13" t="n">
        <v>136200</v>
      </c>
      <c r="G695" s="5" t="n">
        <v>1</v>
      </c>
      <c r="H695" s="13" t="n">
        <v>0</v>
      </c>
      <c r="I695" s="12" t="n">
        <v>0</v>
      </c>
    </row>
    <row r="696">
      <c r="A696" t="inlineStr">
        <is>
          <t>05500693</t>
        </is>
      </c>
      <c r="B696" t="inlineStr">
        <is>
          <t>Ковельський фаховий медичний коледж Волинської обласної ради</t>
        </is>
      </c>
      <c r="C696" t="inlineStr">
        <is>
          <t>Волинська область</t>
        </is>
      </c>
      <c r="D696" s="5" t="n">
        <v>12</v>
      </c>
      <c r="E696" s="13" t="n">
        <v>134826.84</v>
      </c>
      <c r="F696" s="13" t="n">
        <v>134826.84</v>
      </c>
      <c r="G696" s="5" t="n">
        <v>3</v>
      </c>
      <c r="H696" s="13" t="n">
        <v>0</v>
      </c>
      <c r="I696" s="12" t="n">
        <v>0</v>
      </c>
    </row>
    <row r="697">
      <c r="A697" t="inlineStr">
        <is>
          <t>04051282</t>
        </is>
      </c>
      <c r="B697" t="inlineStr">
        <is>
          <t>Виконавчий комітет Володимирської міської ради</t>
        </is>
      </c>
      <c r="C697" t="inlineStr">
        <is>
          <t>Волинська область</t>
        </is>
      </c>
      <c r="D697" s="5" t="n">
        <v>8</v>
      </c>
      <c r="E697" s="13" t="n">
        <v>133070</v>
      </c>
      <c r="F697" s="13" t="n">
        <v>133070</v>
      </c>
      <c r="G697" s="5" t="n">
        <v>3</v>
      </c>
      <c r="H697" s="13" t="n">
        <v>0</v>
      </c>
      <c r="I697" s="12" t="n">
        <v>0</v>
      </c>
    </row>
    <row r="698">
      <c r="A698" t="inlineStr">
        <is>
          <t>44079017</t>
        </is>
      </c>
      <c r="B698" t="inlineStr">
        <is>
          <t>УПРАВЛІННЯ ГУМАНІТАРНОЇ ПОЛІТИКИ РАТНІВСЬКОЇ СЕЛИЩНОЇ РАДИ</t>
        </is>
      </c>
      <c r="C698" t="inlineStr">
        <is>
          <t>Волинська область</t>
        </is>
      </c>
      <c r="D698" s="5" t="n">
        <v>6</v>
      </c>
      <c r="E698" s="13" t="n">
        <v>189940</v>
      </c>
      <c r="F698" s="13" t="n">
        <v>132940</v>
      </c>
      <c r="G698" s="5" t="n">
        <v>4</v>
      </c>
      <c r="H698" s="13" t="n">
        <v>0</v>
      </c>
      <c r="I698" s="12" t="n">
        <v>0</v>
      </c>
    </row>
    <row r="699">
      <c r="A699" t="inlineStr">
        <is>
          <t>44050616</t>
        </is>
      </c>
      <c r="B699" t="inlineStr">
        <is>
          <t>Гуманітарний відділ Рожищенської міської ради</t>
        </is>
      </c>
      <c r="C699" t="inlineStr">
        <is>
          <t>Волинська область</t>
        </is>
      </c>
      <c r="D699" s="5" t="n">
        <v>9</v>
      </c>
      <c r="E699" s="13" t="n">
        <v>161566</v>
      </c>
      <c r="F699" s="13" t="n">
        <v>129536</v>
      </c>
      <c r="G699" s="5" t="n">
        <v>6</v>
      </c>
      <c r="H699" s="13" t="n">
        <v>0</v>
      </c>
      <c r="I699" s="12" t="n">
        <v>0</v>
      </c>
    </row>
    <row r="700">
      <c r="A700" t="inlineStr">
        <is>
          <t>20144468</t>
        </is>
      </c>
      <c r="B700" t="inlineStr">
        <is>
          <t>НОВОВОЛИНСЬКИЙ ЛІЦЕЙ № 7 НОВОВОЛИНСЬКОЇ МІСЬКОЇ РАДИ ВОЛИНСЬКОЇ ОБЛАСТІ</t>
        </is>
      </c>
      <c r="C700" t="inlineStr">
        <is>
          <t>Волинська область</t>
        </is>
      </c>
      <c r="D700" s="5" t="n">
        <v>5</v>
      </c>
      <c r="E700" s="13" t="n">
        <v>129395</v>
      </c>
      <c r="F700" s="13" t="n">
        <v>128351</v>
      </c>
      <c r="G700" s="5" t="n">
        <v>3</v>
      </c>
      <c r="H700" s="13" t="n">
        <v>0</v>
      </c>
      <c r="I700" s="12" t="n">
        <v>0</v>
      </c>
    </row>
    <row r="701">
      <c r="A701" t="inlineStr">
        <is>
          <t>44244098</t>
        </is>
      </c>
      <c r="B701" t="inlineStr">
        <is>
          <t>КП "МЕДИЧНИЙ ЦЕНТР РЕАБІЛІТАЦІЇ УЧАСНИКІВ БОЙОВИХ ДІЙ ЛУЦЬКОЇ МІСЬКОЇ ТЕРИТОРІАЛЬНОЇ ГРОМАДИ"</t>
        </is>
      </c>
      <c r="C701" t="inlineStr">
        <is>
          <t>Волинська область</t>
        </is>
      </c>
      <c r="D701" s="5" t="n">
        <v>6</v>
      </c>
      <c r="E701" s="13" t="n">
        <v>1497463.63</v>
      </c>
      <c r="F701" s="13" t="n">
        <v>127678</v>
      </c>
      <c r="G701" s="5" t="n">
        <v>2</v>
      </c>
      <c r="H701" s="13" t="n">
        <v>0</v>
      </c>
      <c r="I701" s="12" t="n">
        <v>0</v>
      </c>
    </row>
    <row r="702">
      <c r="A702" t="inlineStr">
        <is>
          <t>02549262</t>
        </is>
      </c>
      <c r="B702" t="inlineStr">
        <is>
          <t>ПТУ-27 м.Берестечко</t>
        </is>
      </c>
      <c r="C702" t="inlineStr">
        <is>
          <t>Волинська область</t>
        </is>
      </c>
      <c r="D702" s="5" t="n">
        <v>9</v>
      </c>
      <c r="E702" s="13" t="n">
        <v>126056</v>
      </c>
      <c r="F702" s="13" t="n">
        <v>126056</v>
      </c>
      <c r="G702" s="5" t="n">
        <v>2</v>
      </c>
      <c r="H702" s="13" t="n">
        <v>0</v>
      </c>
      <c r="I702" s="12" t="n">
        <v>0</v>
      </c>
    </row>
    <row r="703">
      <c r="A703" t="inlineStr">
        <is>
          <t>04051388</t>
        </is>
      </c>
      <c r="B703" t="inlineStr">
        <is>
          <t>Устилузька міська рада</t>
        </is>
      </c>
      <c r="C703" t="inlineStr">
        <is>
          <t>Волинська область</t>
        </is>
      </c>
      <c r="D703" s="5" t="n">
        <v>4</v>
      </c>
      <c r="E703" s="13" t="n">
        <v>123659</v>
      </c>
      <c r="F703" s="13" t="n">
        <v>123659</v>
      </c>
      <c r="G703" s="5" t="n">
        <v>3</v>
      </c>
      <c r="H703" s="13" t="n">
        <v>0</v>
      </c>
      <c r="I703" s="12" t="n">
        <v>0</v>
      </c>
    </row>
    <row r="704">
      <c r="A704" t="inlineStr">
        <is>
          <t>21739726</t>
        </is>
      </c>
      <c r="B704" t="inlineStr">
        <is>
          <t>Заклад загальної середньої освіти «Володимирська гімназія №1 Володимирської міської ради»</t>
        </is>
      </c>
      <c r="C704" t="inlineStr">
        <is>
          <t>Волинська область</t>
        </is>
      </c>
      <c r="D704" s="5" t="n">
        <v>4</v>
      </c>
      <c r="E704" s="13" t="n">
        <v>120127</v>
      </c>
      <c r="F704" s="13" t="n">
        <v>120127</v>
      </c>
      <c r="G704" s="5" t="n">
        <v>2</v>
      </c>
      <c r="H704" s="13" t="n">
        <v>0</v>
      </c>
      <c r="I704" s="12" t="n">
        <v>0</v>
      </c>
    </row>
    <row r="705">
      <c r="A705" t="inlineStr">
        <is>
          <t>42025918</t>
        </is>
      </c>
      <c r="B705" t="inlineStr">
        <is>
          <t>ВІДДІЛ КУЛЬТУРИ, ТУРИЗМУ ТА ОХОРОНИ КУЛЬТУРНОЇ СПАДЩИНИ ЛЮБОМЛЬСЬКОЇ МІСЬКОЇ РАДИ</t>
        </is>
      </c>
      <c r="C705" t="inlineStr">
        <is>
          <t>Волинська область</t>
        </is>
      </c>
      <c r="D705" s="5" t="n">
        <v>2</v>
      </c>
      <c r="E705" s="13" t="n">
        <v>119248</v>
      </c>
      <c r="F705" s="13" t="n">
        <v>119248</v>
      </c>
      <c r="G705" s="5" t="n">
        <v>1</v>
      </c>
      <c r="H705" s="13" t="n">
        <v>0</v>
      </c>
      <c r="I705" s="12" t="n">
        <v>0</v>
      </c>
    </row>
    <row r="706">
      <c r="A706" t="inlineStr">
        <is>
          <t>21754252</t>
        </is>
      </c>
      <c r="B706" t="inlineStr">
        <is>
          <t>Боратинський ліцей Боратинської сільської ради</t>
        </is>
      </c>
      <c r="C706" t="inlineStr">
        <is>
          <t>Волинська область</t>
        </is>
      </c>
      <c r="D706" s="5" t="n">
        <v>2</v>
      </c>
      <c r="E706" s="13" t="n">
        <v>116661</v>
      </c>
      <c r="F706" s="13" t="n">
        <v>116661</v>
      </c>
      <c r="G706" s="5" t="n">
        <v>1</v>
      </c>
      <c r="H706" s="13" t="n">
        <v>0</v>
      </c>
      <c r="I706" s="12" t="n">
        <v>0</v>
      </c>
    </row>
    <row r="707">
      <c r="A707" t="inlineStr">
        <is>
          <t>36431638</t>
        </is>
      </c>
      <c r="B707" t="inlineStr">
        <is>
          <t>НОВОВОЛИНСЬКА ПУБЛІЧНА БІБЛІОТЕКА</t>
        </is>
      </c>
      <c r="C707" t="inlineStr">
        <is>
          <t>Волинська область</t>
        </is>
      </c>
      <c r="D707" s="5" t="n">
        <v>3</v>
      </c>
      <c r="E707" s="13" t="n">
        <v>113350</v>
      </c>
      <c r="F707" s="13" t="n">
        <v>113350</v>
      </c>
      <c r="G707" s="5" t="n">
        <v>2</v>
      </c>
      <c r="H707" s="13" t="n">
        <v>0</v>
      </c>
      <c r="I707" s="12" t="n">
        <v>0</v>
      </c>
    </row>
    <row r="708">
      <c r="A708" t="inlineStr">
        <is>
          <t>01983134</t>
        </is>
      </c>
      <c r="B708" t="inlineStr">
        <is>
          <t>КП "ЛУЦЬКА ЦЕНТРАЛЬНА РАЙОННА ЛІКАРНЯ" ПІДГАЙЦІВСЬКОЇ СІЛЬСЬКОЇ РАДИ</t>
        </is>
      </c>
      <c r="C708" t="inlineStr">
        <is>
          <t>Волинська область</t>
        </is>
      </c>
      <c r="D708" s="5" t="n">
        <v>13</v>
      </c>
      <c r="E708" s="13" t="n">
        <v>120632</v>
      </c>
      <c r="F708" s="13" t="n">
        <v>112682</v>
      </c>
      <c r="G708" s="5" t="n">
        <v>6</v>
      </c>
      <c r="H708" s="13" t="n">
        <v>0</v>
      </c>
      <c r="I708" s="12" t="n">
        <v>0</v>
      </c>
    </row>
    <row r="709">
      <c r="A709" t="inlineStr">
        <is>
          <t>34387404</t>
        </is>
      </c>
      <c r="B709" t="inlineStr">
        <is>
          <t>Відокремлений структурний підрозділ "Горохівський фаховий коледж Львівського національного університету природокористування"</t>
        </is>
      </c>
      <c r="C709" t="inlineStr">
        <is>
          <t>Волинська область</t>
        </is>
      </c>
      <c r="D709" s="5" t="n">
        <v>10</v>
      </c>
      <c r="E709" s="13" t="n">
        <v>110630</v>
      </c>
      <c r="F709" s="13" t="n">
        <v>110630</v>
      </c>
      <c r="G709" s="5" t="n">
        <v>2</v>
      </c>
      <c r="H709" s="13" t="n">
        <v>0</v>
      </c>
      <c r="I709" s="12" t="n">
        <v>0</v>
      </c>
    </row>
    <row r="710">
      <c r="A710" t="inlineStr">
        <is>
          <t>26414012</t>
        </is>
      </c>
      <c r="B710" t="inlineStr">
        <is>
          <t>КОМУНАЛЬНИЙ ЗАКЛАД ЗАГАЛЬНОЇ СЕРЕДНЬОЇ ОСВІТИ "ЛУЦЬКА ГІМНАЗІЯ № 3 ЛУЦЬКОЇ МІСЬКОЇ РАДИ"</t>
        </is>
      </c>
      <c r="C710" t="inlineStr">
        <is>
          <t>Волинська область</t>
        </is>
      </c>
      <c r="D710" s="5" t="n">
        <v>2</v>
      </c>
      <c r="E710" s="13" t="n">
        <v>109900</v>
      </c>
      <c r="F710" s="13" t="n">
        <v>109900</v>
      </c>
      <c r="G710" s="5" t="n">
        <v>2</v>
      </c>
      <c r="H710" s="13" t="n">
        <v>0</v>
      </c>
      <c r="I710" s="12" t="n">
        <v>0</v>
      </c>
    </row>
    <row r="711">
      <c r="A711" t="inlineStr">
        <is>
          <t>04332851</t>
        </is>
      </c>
      <c r="B711" t="inlineStr">
        <is>
          <t>Сереховичівська сільська рада</t>
        </is>
      </c>
      <c r="C711" t="inlineStr">
        <is>
          <t>Волинська область</t>
        </is>
      </c>
      <c r="D711" s="5" t="n">
        <v>11</v>
      </c>
      <c r="E711" s="13" t="n">
        <v>108691.37</v>
      </c>
      <c r="F711" s="13" t="n">
        <v>108691.37</v>
      </c>
      <c r="G711" s="5" t="n">
        <v>2</v>
      </c>
      <c r="H711" s="13" t="n">
        <v>0</v>
      </c>
      <c r="I711" s="12" t="n">
        <v>0</v>
      </c>
    </row>
    <row r="712">
      <c r="A712" t="inlineStr">
        <is>
          <t>02540096</t>
        </is>
      </c>
      <c r="B712" t="inlineStr">
        <is>
          <t>Заклад професійної (професійно-технічної) освіти "Регіональний професійний коледж м. Володимир"</t>
        </is>
      </c>
      <c r="C712" t="inlineStr">
        <is>
          <t>Волинська область</t>
        </is>
      </c>
      <c r="D712" s="5" t="n">
        <v>12</v>
      </c>
      <c r="E712" s="13" t="n">
        <v>559351.98</v>
      </c>
      <c r="F712" s="13" t="n">
        <v>108251.98</v>
      </c>
      <c r="G712" s="5" t="n">
        <v>4</v>
      </c>
      <c r="H712" s="13" t="n">
        <v>0</v>
      </c>
      <c r="I712" s="12" t="n">
        <v>0</v>
      </c>
    </row>
    <row r="713">
      <c r="A713" t="inlineStr">
        <is>
          <t>04334519</t>
        </is>
      </c>
      <c r="B713" t="inlineStr">
        <is>
          <t>ВЕЛИМЧЕНСЬКА СІЛЬСЬКА РАДА</t>
        </is>
      </c>
      <c r="C713" t="inlineStr">
        <is>
          <t>Волинська область</t>
        </is>
      </c>
      <c r="D713" s="5" t="n">
        <v>4</v>
      </c>
      <c r="E713" s="13" t="n">
        <v>106173</v>
      </c>
      <c r="F713" s="13" t="n">
        <v>106173</v>
      </c>
      <c r="G713" s="5" t="n">
        <v>1</v>
      </c>
      <c r="H713" s="13" t="n">
        <v>0</v>
      </c>
      <c r="I713" s="12" t="n">
        <v>0</v>
      </c>
    </row>
    <row r="714">
      <c r="A714" t="inlineStr">
        <is>
          <t>38400580</t>
        </is>
      </c>
      <c r="B714" t="inlineStr">
        <is>
          <t>Державна установа "Волинська фітосанітарна випробувальна лабораторія Держпродспоживслужби"</t>
        </is>
      </c>
      <c r="C714" t="inlineStr">
        <is>
          <t>Волинська область</t>
        </is>
      </c>
      <c r="D714" s="5" t="n">
        <v>4</v>
      </c>
      <c r="E714" s="13" t="n">
        <v>118090</v>
      </c>
      <c r="F714" s="13" t="n">
        <v>105750</v>
      </c>
      <c r="G714" s="5" t="n">
        <v>3</v>
      </c>
      <c r="H714" s="13" t="n">
        <v>0</v>
      </c>
      <c r="I714" s="12" t="n">
        <v>0</v>
      </c>
    </row>
    <row r="715">
      <c r="A715" t="inlineStr">
        <is>
          <t>41492247</t>
        </is>
      </c>
      <c r="B715" t="inlineStr">
        <is>
          <t>Департамент молоді та спорту Луцької міської ради</t>
        </is>
      </c>
      <c r="C715" t="inlineStr">
        <is>
          <t>Волинська область</t>
        </is>
      </c>
      <c r="D715" s="5" t="n">
        <v>6</v>
      </c>
      <c r="E715" s="13" t="n">
        <v>157900</v>
      </c>
      <c r="F715" s="13" t="n">
        <v>105299</v>
      </c>
      <c r="G715" s="5" t="n">
        <v>4</v>
      </c>
      <c r="H715" s="13" t="n">
        <v>0</v>
      </c>
      <c r="I715" s="12" t="n">
        <v>0</v>
      </c>
    </row>
    <row r="716">
      <c r="A716" t="inlineStr">
        <is>
          <t>20141369</t>
        </is>
      </c>
      <c r="B716" t="inlineStr">
        <is>
          <t>Дубівський ліцей Дубівської сільської ради Ковельського району Волинської області</t>
        </is>
      </c>
      <c r="C716" t="inlineStr">
        <is>
          <t>Волинська область</t>
        </is>
      </c>
      <c r="D716" s="5" t="n">
        <v>2</v>
      </c>
      <c r="E716" s="13" t="n">
        <v>103667</v>
      </c>
      <c r="F716" s="13" t="n">
        <v>103667</v>
      </c>
      <c r="G716" s="5" t="n">
        <v>1</v>
      </c>
      <c r="H716" s="13" t="n">
        <v>0</v>
      </c>
      <c r="I716" s="12" t="n">
        <v>0</v>
      </c>
    </row>
    <row r="717">
      <c r="A717" t="inlineStr">
        <is>
          <t>38009371</t>
        </is>
      </c>
      <c r="B717" t="inlineStr">
        <is>
          <t>Головне управління Державної казначейської служби України у Волинській області</t>
        </is>
      </c>
      <c r="C717" t="inlineStr">
        <is>
          <t>Волинська область</t>
        </is>
      </c>
      <c r="D717" s="5" t="n">
        <v>3</v>
      </c>
      <c r="E717" s="13" t="n">
        <v>103210.56</v>
      </c>
      <c r="F717" s="13" t="n">
        <v>103210.55</v>
      </c>
      <c r="G717" s="5" t="n">
        <v>1</v>
      </c>
      <c r="H717" s="13" t="n">
        <v>0</v>
      </c>
      <c r="I717" s="12" t="n">
        <v>0</v>
      </c>
    </row>
    <row r="718">
      <c r="A718" t="inlineStr">
        <is>
          <t>44076938</t>
        </is>
      </c>
      <c r="B718" t="inlineStr">
        <is>
          <t>КНП "Литовезька амбулаторія загальної практики - сімейної медицини" Литовезької сільської ради Іваничівського району Волинської області</t>
        </is>
      </c>
      <c r="C718" t="inlineStr">
        <is>
          <t>Волинська область</t>
        </is>
      </c>
      <c r="D718" s="5" t="n">
        <v>4</v>
      </c>
      <c r="E718" s="13" t="n">
        <v>102100</v>
      </c>
      <c r="F718" s="13" t="n">
        <v>102100</v>
      </c>
      <c r="G718" s="5" t="n">
        <v>4</v>
      </c>
      <c r="H718" s="13" t="n">
        <v>0</v>
      </c>
      <c r="I718" s="12" t="n">
        <v>0</v>
      </c>
    </row>
    <row r="719">
      <c r="A719" t="inlineStr">
        <is>
          <t>04333939</t>
        </is>
      </c>
      <c r="B719" t="inlineStr">
        <is>
          <t>Дубівська сільська рада Ковельського району Волинської області</t>
        </is>
      </c>
      <c r="C719" t="inlineStr">
        <is>
          <t>Волинська область</t>
        </is>
      </c>
      <c r="D719" s="5" t="n">
        <v>7</v>
      </c>
      <c r="E719" s="13" t="n">
        <v>100296</v>
      </c>
      <c r="F719" s="13" t="n">
        <v>100296</v>
      </c>
      <c r="G719" s="5" t="n">
        <v>3</v>
      </c>
      <c r="H719" s="13" t="n">
        <v>0</v>
      </c>
      <c r="I719" s="12" t="n">
        <v>0</v>
      </c>
    </row>
    <row r="720">
      <c r="A720" t="inlineStr">
        <is>
          <t>00730282</t>
        </is>
      </c>
      <c r="B720" t="inlineStr">
        <is>
          <t>Департамент агропромислового розвитку Волинської обласної державної адміністрації</t>
        </is>
      </c>
      <c r="C720" t="inlineStr">
        <is>
          <t>Волинська область</t>
        </is>
      </c>
      <c r="D720" s="5" t="n">
        <v>9</v>
      </c>
      <c r="E720" s="13" t="n">
        <v>100231.23</v>
      </c>
      <c r="F720" s="13" t="n">
        <v>100231.23</v>
      </c>
      <c r="G720" s="5" t="n">
        <v>3</v>
      </c>
      <c r="H720" s="13" t="n">
        <v>0</v>
      </c>
      <c r="I720" s="12" t="n">
        <v>0</v>
      </c>
    </row>
    <row r="721">
      <c r="A721" t="inlineStr">
        <is>
          <t>23018925</t>
        </is>
      </c>
      <c r="B721" t="inlineStr">
        <is>
          <t>Устилузький ліцей Устилузької міської ради Волинської області</t>
        </is>
      </c>
      <c r="C721" t="inlineStr">
        <is>
          <t>Волинська область</t>
        </is>
      </c>
      <c r="D721" s="5" t="n">
        <v>1</v>
      </c>
      <c r="E721" s="13" t="n">
        <v>99742</v>
      </c>
      <c r="F721" s="13" t="n">
        <v>99742</v>
      </c>
      <c r="G721" s="5" t="n">
        <v>1</v>
      </c>
      <c r="H721" s="13" t="n">
        <v>0</v>
      </c>
      <c r="I721" s="12" t="n">
        <v>0</v>
      </c>
    </row>
    <row r="722">
      <c r="A722" t="inlineStr">
        <is>
          <t>38485788</t>
        </is>
      </c>
      <c r="B722" t="inlineStr">
        <is>
          <t>КП "РАТНІВСЬКИЙ ЦЕНТР ПЕРВИННОЇ МЕДИЧНОЇ ДОПОМОГИ" РАТНІВСЬКОЇ СЕЛИЩНОЇ РАДИ</t>
        </is>
      </c>
      <c r="C722" t="inlineStr">
        <is>
          <t>Волинська область</t>
        </is>
      </c>
      <c r="D722" s="5" t="n">
        <v>2</v>
      </c>
      <c r="E722" s="13" t="n">
        <v>99741</v>
      </c>
      <c r="F722" s="13" t="n">
        <v>99741</v>
      </c>
      <c r="G722" s="5" t="n">
        <v>1</v>
      </c>
      <c r="H722" s="13" t="n">
        <v>0</v>
      </c>
      <c r="I722" s="12" t="n">
        <v>0</v>
      </c>
    </row>
    <row r="723">
      <c r="A723" t="inlineStr">
        <is>
          <t>01984352</t>
        </is>
      </c>
      <c r="B723" t="inlineStr">
        <is>
          <t>КП "ВОЛИНСЬКА ОБЛАСНА БАЗА СПЕЦІАЛЬНОГО МЕДИЧНОГО ПОСТАЧАННЯ "ВОЛИНСЬКОЇ ОБЛАСНОЇ РАДИ ( КП "ВОБСМП")</t>
        </is>
      </c>
      <c r="C723" t="inlineStr">
        <is>
          <t>Волинська область</t>
        </is>
      </c>
      <c r="D723" s="5" t="n">
        <v>1</v>
      </c>
      <c r="E723" s="13" t="n">
        <v>99500</v>
      </c>
      <c r="F723" s="13" t="n">
        <v>99500</v>
      </c>
      <c r="G723" s="5" t="n">
        <v>1</v>
      </c>
      <c r="H723" s="13" t="n">
        <v>0</v>
      </c>
      <c r="I723" s="12" t="n">
        <v>0</v>
      </c>
    </row>
    <row r="724">
      <c r="A724" t="inlineStr">
        <is>
          <t>02311810</t>
        </is>
      </c>
      <c r="B724" t="inlineStr">
        <is>
          <t>Фінансове управління Нововолинської міської ради</t>
        </is>
      </c>
      <c r="C724" t="inlineStr">
        <is>
          <t>Волинська область</t>
        </is>
      </c>
      <c r="D724" s="5" t="n">
        <v>1</v>
      </c>
      <c r="E724" s="13" t="n">
        <v>99000</v>
      </c>
      <c r="F724" s="13" t="n">
        <v>99000</v>
      </c>
      <c r="G724" s="5" t="n">
        <v>1</v>
      </c>
      <c r="H724" s="13" t="n">
        <v>0</v>
      </c>
      <c r="I724" s="12" t="n">
        <v>0</v>
      </c>
    </row>
    <row r="725">
      <c r="A725" t="inlineStr">
        <is>
          <t>01983186</t>
        </is>
      </c>
      <c r="B725" t="inlineStr">
        <is>
          <t>КНП "Маневицька багатопрофільна лікарня" Маневицької селищної ради</t>
        </is>
      </c>
      <c r="C725" t="inlineStr">
        <is>
          <t>Волинська область</t>
        </is>
      </c>
      <c r="D725" s="5" t="n">
        <v>6</v>
      </c>
      <c r="E725" s="13" t="n">
        <v>97815</v>
      </c>
      <c r="F725" s="13" t="n">
        <v>97815</v>
      </c>
      <c r="G725" s="5" t="n">
        <v>1</v>
      </c>
      <c r="H725" s="13" t="n">
        <v>0</v>
      </c>
      <c r="I725" s="12" t="n">
        <v>0</v>
      </c>
    </row>
    <row r="726">
      <c r="A726" t="inlineStr">
        <is>
          <t>20143701</t>
        </is>
      </c>
      <c r="B726" t="inlineStr">
        <is>
          <t>Комунальна установа «Територіальний центр соціального обслуговування (надання соціальних послуг) Володимирської міської ради»</t>
        </is>
      </c>
      <c r="C726" t="inlineStr">
        <is>
          <t>Волинська область</t>
        </is>
      </c>
      <c r="D726" s="5" t="n">
        <v>2</v>
      </c>
      <c r="E726" s="13" t="n">
        <v>96996</v>
      </c>
      <c r="F726" s="13" t="n">
        <v>96996</v>
      </c>
      <c r="G726" s="5" t="n">
        <v>1</v>
      </c>
      <c r="H726" s="13" t="n">
        <v>0</v>
      </c>
      <c r="I726" s="12" t="n">
        <v>0</v>
      </c>
    </row>
    <row r="727">
      <c r="A727" t="inlineStr">
        <is>
          <t>44008889</t>
        </is>
      </c>
      <c r="B727" t="inlineStr">
        <is>
          <t>Управління гуманітарного розвитку Шацької селищної ради</t>
        </is>
      </c>
      <c r="C727" t="inlineStr">
        <is>
          <t>Волинська область</t>
        </is>
      </c>
      <c r="D727" s="5" t="n">
        <v>7</v>
      </c>
      <c r="E727" s="13" t="n">
        <v>96970</v>
      </c>
      <c r="F727" s="13" t="n">
        <v>96970</v>
      </c>
      <c r="G727" s="5" t="n">
        <v>3</v>
      </c>
      <c r="H727" s="13" t="n">
        <v>0</v>
      </c>
      <c r="I727" s="12" t="n">
        <v>0</v>
      </c>
    </row>
    <row r="728">
      <c r="A728" t="inlineStr">
        <is>
          <t>35123898</t>
        </is>
      </c>
      <c r="B728" t="inlineStr">
        <is>
          <t>Волинський окружний адміністративний суд</t>
        </is>
      </c>
      <c r="C728" t="inlineStr">
        <is>
          <t>Волинська область</t>
        </is>
      </c>
      <c r="D728" s="5" t="n">
        <v>5</v>
      </c>
      <c r="E728" s="13" t="n">
        <v>96899</v>
      </c>
      <c r="F728" s="13" t="n">
        <v>96899</v>
      </c>
      <c r="G728" s="5" t="n">
        <v>2</v>
      </c>
      <c r="H728" s="13" t="n">
        <v>0</v>
      </c>
      <c r="I728" s="12" t="n">
        <v>0</v>
      </c>
    </row>
    <row r="729">
      <c r="A729" t="inlineStr">
        <is>
          <t>26414029</t>
        </is>
      </c>
      <c r="B729" t="inlineStr">
        <is>
          <t>Комунальний заклад загальної середньої освіти "Луцький ліцей №22 Луцької міської ради"</t>
        </is>
      </c>
      <c r="C729" t="inlineStr">
        <is>
          <t>Волинська область</t>
        </is>
      </c>
      <c r="D729" s="5" t="n">
        <v>3</v>
      </c>
      <c r="E729" s="13" t="n">
        <v>96304</v>
      </c>
      <c r="F729" s="13" t="n">
        <v>96304</v>
      </c>
      <c r="G729" s="5" t="n">
        <v>3</v>
      </c>
      <c r="H729" s="13" t="n">
        <v>0</v>
      </c>
      <c r="I729" s="12" t="n">
        <v>0</v>
      </c>
    </row>
    <row r="730">
      <c r="A730" t="inlineStr">
        <is>
          <t>37018584</t>
        </is>
      </c>
      <c r="B730" t="inlineStr">
        <is>
          <t>Територіальний центр соціального обслуговування (надання соціальних послуг) виконкому Нововолинської міської ради</t>
        </is>
      </c>
      <c r="C730" t="inlineStr">
        <is>
          <t>Волинська область</t>
        </is>
      </c>
      <c r="D730" s="5" t="n">
        <v>2</v>
      </c>
      <c r="E730" s="13" t="n">
        <v>96100</v>
      </c>
      <c r="F730" s="13" t="n">
        <v>96100</v>
      </c>
      <c r="G730" s="5" t="n">
        <v>1</v>
      </c>
      <c r="H730" s="13" t="n">
        <v>0</v>
      </c>
      <c r="I730" s="12" t="n">
        <v>0</v>
      </c>
    </row>
    <row r="731">
      <c r="A731" t="inlineStr">
        <is>
          <t>03398888</t>
        </is>
      </c>
      <c r="B731" t="inlineStr">
        <is>
          <t>КП "Волинський обласний госпіталь ветеранів війни" Волинської обласної ради</t>
        </is>
      </c>
      <c r="C731" t="inlineStr">
        <is>
          <t>Волинська область</t>
        </is>
      </c>
      <c r="D731" s="5" t="n">
        <v>5</v>
      </c>
      <c r="E731" s="13" t="n">
        <v>95460.12</v>
      </c>
      <c r="F731" s="13" t="n">
        <v>95460.12</v>
      </c>
      <c r="G731" s="5" t="n">
        <v>1</v>
      </c>
      <c r="H731" s="13" t="n">
        <v>0</v>
      </c>
      <c r="I731" s="12" t="n">
        <v>0</v>
      </c>
    </row>
    <row r="732">
      <c r="A732" t="inlineStr">
        <is>
          <t>25908960</t>
        </is>
      </c>
      <c r="B732" t="inlineStr">
        <is>
          <t>СЛУЖБА ВІДНОВЛЕННЯ ТА РОЗВИТКУ ІНФРАСТРУКТУРИ У ВОЛИНСЬКІЙ ОБЛАСТІ</t>
        </is>
      </c>
      <c r="C732" t="inlineStr">
        <is>
          <t>Волинська область</t>
        </is>
      </c>
      <c r="D732" s="5" t="n">
        <v>4</v>
      </c>
      <c r="E732" s="13" t="n">
        <v>95421.28</v>
      </c>
      <c r="F732" s="13" t="n">
        <v>95421.28</v>
      </c>
      <c r="G732" s="5" t="n">
        <v>2</v>
      </c>
      <c r="H732" s="13" t="n">
        <v>0</v>
      </c>
      <c r="I732" s="12" t="n">
        <v>0</v>
      </c>
    </row>
    <row r="733">
      <c r="A733" t="inlineStr">
        <is>
          <t>45929031</t>
        </is>
      </c>
      <c r="B733" t="inlineStr">
        <is>
          <t>ВОЛИНСЬКА РЕГІОНАЛЬНА ФІЛІЯ ДЕРЖАВНОЇ УСТАНОВИ "УКРАЇНСЬКІ ГІДРОМЕЛІОРАТИВНІ СИСТЕМИ"</t>
        </is>
      </c>
      <c r="C733" t="inlineStr">
        <is>
          <t>Волинська область</t>
        </is>
      </c>
      <c r="D733" s="5" t="n">
        <v>6</v>
      </c>
      <c r="E733" s="13" t="n">
        <v>94667</v>
      </c>
      <c r="F733" s="13" t="n">
        <v>94667</v>
      </c>
      <c r="G733" s="5" t="n">
        <v>3</v>
      </c>
      <c r="H733" s="13" t="n">
        <v>0</v>
      </c>
      <c r="I733" s="12" t="n">
        <v>0</v>
      </c>
    </row>
    <row r="734">
      <c r="A734" t="inlineStr">
        <is>
          <t>26414035</t>
        </is>
      </c>
      <c r="B734" t="inlineStr">
        <is>
          <t>КОМУНАЛЬНИЙ ЗАКЛАД ЗАГАЛЬНОЇ СЕРЕДНЬОЇ ОСВІТИ "ЛУЦЬКА ГІМНАЗІЯ №12 ЛУЦЬКОЇ МІСЬКОЇ РАДИ"</t>
        </is>
      </c>
      <c r="C734" t="inlineStr">
        <is>
          <t>Волинська область</t>
        </is>
      </c>
      <c r="D734" s="5" t="n">
        <v>3</v>
      </c>
      <c r="E734" s="13" t="n">
        <v>94500</v>
      </c>
      <c r="F734" s="13" t="n">
        <v>94500</v>
      </c>
      <c r="G734" s="5" t="n">
        <v>1</v>
      </c>
      <c r="H734" s="13" t="n">
        <v>0</v>
      </c>
      <c r="I734" s="12" t="n">
        <v>0</v>
      </c>
    </row>
    <row r="735">
      <c r="A735" t="inlineStr">
        <is>
          <t>01982778</t>
        </is>
      </c>
      <c r="B735" t="inlineStr">
        <is>
          <t>КНП "Шацька лікарня Шацької селищної ради"</t>
        </is>
      </c>
      <c r="C735" t="inlineStr">
        <is>
          <t>Волинська область</t>
        </is>
      </c>
      <c r="D735" s="5" t="n">
        <v>4</v>
      </c>
      <c r="E735" s="13" t="n">
        <v>93559</v>
      </c>
      <c r="F735" s="13" t="n">
        <v>93559</v>
      </c>
      <c r="G735" s="5" t="n">
        <v>1</v>
      </c>
      <c r="H735" s="13" t="n">
        <v>0</v>
      </c>
      <c r="I735" s="12" t="n">
        <v>0</v>
      </c>
    </row>
    <row r="736">
      <c r="A736" t="inlineStr">
        <is>
          <t>04051276</t>
        </is>
      </c>
      <c r="B736" t="inlineStr">
        <is>
          <t>ГОРОХІВСЬКА МІСЬКА РАДА</t>
        </is>
      </c>
      <c r="C736" t="inlineStr">
        <is>
          <t>Волинська область</t>
        </is>
      </c>
      <c r="D736" s="5" t="n">
        <v>2</v>
      </c>
      <c r="E736" s="13" t="n">
        <v>93172.14</v>
      </c>
      <c r="F736" s="13" t="n">
        <v>93172.14</v>
      </c>
      <c r="G736" s="5" t="n">
        <v>2</v>
      </c>
      <c r="H736" s="13" t="n">
        <v>0</v>
      </c>
      <c r="I736" s="12" t="n">
        <v>0</v>
      </c>
    </row>
    <row r="737">
      <c r="A737" t="inlineStr">
        <is>
          <t>35104016</t>
        </is>
      </c>
      <c r="B737" t="inlineStr">
        <is>
          <t>Управління будівництва та інфраструктури виконавчого комітету Нововолинської міської ради Волинської області</t>
        </is>
      </c>
      <c r="C737" t="inlineStr">
        <is>
          <t>Волинська область</t>
        </is>
      </c>
      <c r="D737" s="5" t="n">
        <v>1</v>
      </c>
      <c r="E737" s="13" t="n">
        <v>90000</v>
      </c>
      <c r="F737" s="13" t="n">
        <v>90000</v>
      </c>
      <c r="G737" s="5" t="n">
        <v>1</v>
      </c>
      <c r="H737" s="13" t="n">
        <v>0</v>
      </c>
      <c r="I737" s="12" t="n">
        <v>0</v>
      </c>
    </row>
    <row r="738">
      <c r="A738" t="inlineStr">
        <is>
          <t>34310221</t>
        </is>
      </c>
      <c r="B738" t="inlineStr">
        <is>
          <t>КУ Волинська обласна Мала академія наук</t>
        </is>
      </c>
      <c r="C738" t="inlineStr">
        <is>
          <t>Волинська область</t>
        </is>
      </c>
      <c r="D738" s="5" t="n">
        <v>7</v>
      </c>
      <c r="E738" s="13" t="n">
        <v>89799</v>
      </c>
      <c r="F738" s="13" t="n">
        <v>89799</v>
      </c>
      <c r="G738" s="5" t="n">
        <v>1</v>
      </c>
      <c r="H738" s="13" t="n">
        <v>0</v>
      </c>
      <c r="I738" s="12" t="n">
        <v>0</v>
      </c>
    </row>
    <row r="739">
      <c r="A739" t="inlineStr">
        <is>
          <t>21733149</t>
        </is>
      </c>
      <c r="B739" t="inlineStr">
        <is>
          <t>Комунальна установа «Територіальний центр соціального обслуговування (надання соціальних послуг) Луцької міської територіальної громади»</t>
        </is>
      </c>
      <c r="C739" t="inlineStr">
        <is>
          <t>Волинська область</t>
        </is>
      </c>
      <c r="D739" s="5" t="n">
        <v>4</v>
      </c>
      <c r="E739" s="13" t="n">
        <v>88482.60000000001</v>
      </c>
      <c r="F739" s="13" t="n">
        <v>88482.60000000001</v>
      </c>
      <c r="G739" s="5" t="n">
        <v>3</v>
      </c>
      <c r="H739" s="13" t="n">
        <v>0</v>
      </c>
      <c r="I739" s="12" t="n">
        <v>0</v>
      </c>
    </row>
    <row r="740">
      <c r="A740" t="inlineStr">
        <is>
          <t>36892614</t>
        </is>
      </c>
      <c r="B740" t="inlineStr">
        <is>
          <t>Комунальний Заклад «Публічна бібліотека Луцької міської територіальної громади»</t>
        </is>
      </c>
      <c r="C740" t="inlineStr">
        <is>
          <t>Волинська область</t>
        </is>
      </c>
      <c r="D740" s="5" t="n">
        <v>1</v>
      </c>
      <c r="E740" s="13" t="n">
        <v>88200</v>
      </c>
      <c r="F740" s="13" t="n">
        <v>88200</v>
      </c>
      <c r="G740" s="5" t="n">
        <v>1</v>
      </c>
      <c r="H740" s="13" t="n">
        <v>0</v>
      </c>
      <c r="I740" s="12" t="n">
        <v>0</v>
      </c>
    </row>
    <row r="741">
      <c r="A741" t="inlineStr">
        <is>
          <t>20140766</t>
        </is>
      </c>
      <c r="B741" t="inlineStr">
        <is>
          <t>Комунальний заклад загальної середньої освіти "Рожищенський ліцей №4" Рожищенської міської ради Луцького району Волинської області</t>
        </is>
      </c>
      <c r="C741" t="inlineStr">
        <is>
          <t>Волинська область</t>
        </is>
      </c>
      <c r="D741" s="5" t="n">
        <v>1</v>
      </c>
      <c r="E741" s="13" t="n">
        <v>96000</v>
      </c>
      <c r="F741" s="13" t="n">
        <v>87200</v>
      </c>
      <c r="G741" s="5" t="n">
        <v>1</v>
      </c>
      <c r="H741" s="13" t="n">
        <v>0</v>
      </c>
      <c r="I741" s="12" t="n">
        <v>0</v>
      </c>
    </row>
    <row r="742">
      <c r="A742" t="inlineStr">
        <is>
          <t>03191986</t>
        </is>
      </c>
      <c r="B742" t="inlineStr">
        <is>
          <t>Управління соціальної політики Нововолинської міської ради</t>
        </is>
      </c>
      <c r="C742" t="inlineStr">
        <is>
          <t>Волинська область</t>
        </is>
      </c>
      <c r="D742" s="5" t="n">
        <v>2</v>
      </c>
      <c r="E742" s="13" t="n">
        <v>85050</v>
      </c>
      <c r="F742" s="13" t="n">
        <v>85050</v>
      </c>
      <c r="G742" s="5" t="n">
        <v>1</v>
      </c>
      <c r="H742" s="13" t="n">
        <v>0</v>
      </c>
      <c r="I742" s="12" t="n">
        <v>0</v>
      </c>
    </row>
    <row r="743">
      <c r="A743" t="inlineStr">
        <is>
          <t>42631325</t>
        </is>
      </c>
      <c r="B743" t="inlineStr">
        <is>
          <t>КП "ВОЛОДИМИРСЬКЕ ТЕРИТОРІАЛЬНЕ МЕДИЧНЕ ОБ'ЄДНАННЯ" ВОЛОДИМИРСЬКОЇ МІСЬКОЇ РАДИ</t>
        </is>
      </c>
      <c r="C743" t="inlineStr">
        <is>
          <t>Волинська область</t>
        </is>
      </c>
      <c r="D743" s="5" t="n">
        <v>12</v>
      </c>
      <c r="E743" s="13" t="n">
        <v>208454.38</v>
      </c>
      <c r="F743" s="13" t="n">
        <v>84857.39999999999</v>
      </c>
      <c r="G743" s="5" t="n">
        <v>4</v>
      </c>
      <c r="H743" s="13" t="n">
        <v>0</v>
      </c>
      <c r="I743" s="12" t="n">
        <v>0</v>
      </c>
    </row>
    <row r="744">
      <c r="A744" t="inlineStr">
        <is>
          <t>05384488</t>
        </is>
      </c>
      <c r="B744" t="inlineStr">
        <is>
          <t>КП "ВОЛОДИМИРТЕПЛО" ВОЛОДИМИРСЬКОЇ МІСЬКОЇ РАДИ</t>
        </is>
      </c>
      <c r="C744" t="inlineStr">
        <is>
          <t>Волинська область</t>
        </is>
      </c>
      <c r="D744" s="5" t="n">
        <v>7</v>
      </c>
      <c r="E744" s="13" t="n">
        <v>84632</v>
      </c>
      <c r="F744" s="13" t="n">
        <v>84632</v>
      </c>
      <c r="G744" s="5" t="n">
        <v>2</v>
      </c>
      <c r="H744" s="13" t="n">
        <v>0</v>
      </c>
      <c r="I744" s="12" t="n">
        <v>0</v>
      </c>
    </row>
    <row r="745">
      <c r="A745" t="inlineStr">
        <is>
          <t>20124721</t>
        </is>
      </c>
      <c r="B745" t="inlineStr">
        <is>
          <t>Ковельський міський центр соціальних служб</t>
        </is>
      </c>
      <c r="C745" t="inlineStr">
        <is>
          <t>Волинська область</t>
        </is>
      </c>
      <c r="D745" s="5" t="n">
        <v>6</v>
      </c>
      <c r="E745" s="13" t="n">
        <v>83048</v>
      </c>
      <c r="F745" s="13" t="n">
        <v>83048</v>
      </c>
      <c r="G745" s="5" t="n">
        <v>1</v>
      </c>
      <c r="H745" s="13" t="n">
        <v>0</v>
      </c>
      <c r="I745" s="12" t="n">
        <v>0</v>
      </c>
    </row>
    <row r="746">
      <c r="A746" t="inlineStr">
        <is>
          <t>04333170</t>
        </is>
      </c>
      <c r="B746" t="inlineStr">
        <is>
          <t>ЛЮБЕШІВСЬКА СЕЛИЩНА РАДА</t>
        </is>
      </c>
      <c r="C746" t="inlineStr">
        <is>
          <t>Волинська область</t>
        </is>
      </c>
      <c r="D746" s="5" t="n">
        <v>5</v>
      </c>
      <c r="E746" s="13" t="n">
        <v>82410</v>
      </c>
      <c r="F746" s="13" t="n">
        <v>82410</v>
      </c>
      <c r="G746" s="5" t="n">
        <v>3</v>
      </c>
      <c r="H746" s="13" t="n">
        <v>0</v>
      </c>
      <c r="I746" s="12" t="n">
        <v>0</v>
      </c>
    </row>
    <row r="747">
      <c r="A747" t="inlineStr">
        <is>
          <t>38850219</t>
        </is>
      </c>
      <c r="B747" t="inlineStr">
        <is>
          <t>КП "КІВЕРЦІВСЬКИЙ ЦЕНТР ПЕРВИННОЇ МЕДИЧНОЇ ДОПОМОГИ КІВЕРЦІВСЬКОЇ МІСЬКОЇ РАДИ"</t>
        </is>
      </c>
      <c r="C747" t="inlineStr">
        <is>
          <t>Волинська область</t>
        </is>
      </c>
      <c r="D747" s="5" t="n">
        <v>2</v>
      </c>
      <c r="E747" s="13" t="n">
        <v>81397</v>
      </c>
      <c r="F747" s="13" t="n">
        <v>81397</v>
      </c>
      <c r="G747" s="5" t="n">
        <v>1</v>
      </c>
      <c r="H747" s="13" t="n">
        <v>0</v>
      </c>
      <c r="I747" s="12" t="n">
        <v>0</v>
      </c>
    </row>
    <row r="748">
      <c r="A748" t="inlineStr">
        <is>
          <t>41942148</t>
        </is>
      </c>
      <c r="B748" t="inlineStr">
        <is>
          <t>Управління гуманітарної сфери виконавчого комітету Колодяжненської сільської ради</t>
        </is>
      </c>
      <c r="C748" t="inlineStr">
        <is>
          <t>Волинська область</t>
        </is>
      </c>
      <c r="D748" s="5" t="n">
        <v>4</v>
      </c>
      <c r="E748" s="13" t="n">
        <v>80498</v>
      </c>
      <c r="F748" s="13" t="n">
        <v>80498</v>
      </c>
      <c r="G748" s="5" t="n">
        <v>3</v>
      </c>
      <c r="H748" s="13" t="n">
        <v>0</v>
      </c>
      <c r="I748" s="12" t="n">
        <v>0</v>
      </c>
    </row>
    <row r="749">
      <c r="A749" t="inlineStr">
        <is>
          <t>05500670</t>
        </is>
      </c>
      <c r="B749" t="inlineStr">
        <is>
          <t>Управління охорони здоров'я Луцької міської ради</t>
        </is>
      </c>
      <c r="C749" t="inlineStr">
        <is>
          <t>Волинська область</t>
        </is>
      </c>
      <c r="D749" s="5" t="n">
        <v>6</v>
      </c>
      <c r="E749" s="13" t="n">
        <v>79725</v>
      </c>
      <c r="F749" s="13" t="n">
        <v>79725</v>
      </c>
      <c r="G749" s="5" t="n">
        <v>3</v>
      </c>
      <c r="H749" s="13" t="n">
        <v>0</v>
      </c>
      <c r="I749" s="12" t="n">
        <v>0</v>
      </c>
    </row>
    <row r="750">
      <c r="A750" t="inlineStr">
        <is>
          <t>04334413</t>
        </is>
      </c>
      <c r="B750" t="inlineStr">
        <is>
          <t>Прилісненська сільська рада</t>
        </is>
      </c>
      <c r="C750" t="inlineStr">
        <is>
          <t>Волинська область</t>
        </is>
      </c>
      <c r="D750" s="5" t="n">
        <v>10</v>
      </c>
      <c r="E750" s="13" t="n">
        <v>79650</v>
      </c>
      <c r="F750" s="13" t="n">
        <v>79650</v>
      </c>
      <c r="G750" s="5" t="n">
        <v>2</v>
      </c>
      <c r="H750" s="13" t="n">
        <v>0</v>
      </c>
      <c r="I750" s="12" t="n">
        <v>0</v>
      </c>
    </row>
    <row r="751">
      <c r="A751" t="inlineStr">
        <is>
          <t>38485727</t>
        </is>
      </c>
      <c r="B751" t="inlineStr">
        <is>
          <t>КНП «Центр первинної медичної допомоги» Любомльської міської ради</t>
        </is>
      </c>
      <c r="C751" t="inlineStr">
        <is>
          <t>Волинська область</t>
        </is>
      </c>
      <c r="D751" s="5" t="n">
        <v>5</v>
      </c>
      <c r="E751" s="13" t="n">
        <v>79318</v>
      </c>
      <c r="F751" s="13" t="n">
        <v>79318</v>
      </c>
      <c r="G751" s="5" t="n">
        <v>2</v>
      </c>
      <c r="H751" s="13" t="n">
        <v>0</v>
      </c>
      <c r="I751" s="12" t="n">
        <v>0</v>
      </c>
    </row>
    <row r="752">
      <c r="A752" t="inlineStr">
        <is>
          <t>04332087</t>
        </is>
      </c>
      <c r="B752" t="inlineStr">
        <is>
          <t>ЗАТУРЦІВСЬКА СІЛЬСЬКА РАДА</t>
        </is>
      </c>
      <c r="C752" t="inlineStr">
        <is>
          <t>Волинська область</t>
        </is>
      </c>
      <c r="D752" s="5" t="n">
        <v>5</v>
      </c>
      <c r="E752" s="13" t="n">
        <v>78867</v>
      </c>
      <c r="F752" s="13" t="n">
        <v>78867</v>
      </c>
      <c r="G752" s="5" t="n">
        <v>4</v>
      </c>
      <c r="H752" s="13" t="n">
        <v>0</v>
      </c>
      <c r="I752" s="12" t="n">
        <v>0</v>
      </c>
    </row>
    <row r="753">
      <c r="A753" t="inlineStr">
        <is>
          <t>44343693</t>
        </is>
      </c>
      <c r="B753" t="inlineStr">
        <is>
          <t>Управління "Центр надання адміністративних послуг" виконавчого комітету Володимир-Волинської міської ради</t>
        </is>
      </c>
      <c r="C753" t="inlineStr">
        <is>
          <t>Волинська область</t>
        </is>
      </c>
      <c r="D753" s="5" t="n">
        <v>3</v>
      </c>
      <c r="E753" s="13" t="n">
        <v>78711</v>
      </c>
      <c r="F753" s="13" t="n">
        <v>78711</v>
      </c>
      <c r="G753" s="5" t="n">
        <v>2</v>
      </c>
      <c r="H753" s="13" t="n">
        <v>0</v>
      </c>
      <c r="I753" s="12" t="n">
        <v>0</v>
      </c>
    </row>
    <row r="754">
      <c r="A754" t="inlineStr">
        <is>
          <t>03327931</t>
        </is>
      </c>
      <c r="B754" t="inlineStr">
        <is>
          <t>КП Луцьке підприємство електротранспорту</t>
        </is>
      </c>
      <c r="C754" t="inlineStr">
        <is>
          <t>Волинська область</t>
        </is>
      </c>
      <c r="D754" s="5" t="n">
        <v>3</v>
      </c>
      <c r="E754" s="13" t="n">
        <v>78094</v>
      </c>
      <c r="F754" s="13" t="n">
        <v>78094</v>
      </c>
      <c r="G754" s="5" t="n">
        <v>3</v>
      </c>
      <c r="H754" s="13" t="n">
        <v>0</v>
      </c>
      <c r="I754" s="12" t="n">
        <v>0</v>
      </c>
    </row>
    <row r="755">
      <c r="A755" t="inlineStr">
        <is>
          <t>42304390</t>
        </is>
      </c>
      <c r="B755" t="inlineStr">
        <is>
          <t>УПРАВЛІННЯ ІНФРАСТРУКТУРИ ВОЛИНСЬКОЇ ОБЛАСНОЇ ДЕРЖАВНОЇ АДМІНІСТРАЦІЇ</t>
        </is>
      </c>
      <c r="C755" t="inlineStr">
        <is>
          <t>Волинська область</t>
        </is>
      </c>
      <c r="D755" s="5" t="n">
        <v>2</v>
      </c>
      <c r="E755" s="13" t="n">
        <v>77995</v>
      </c>
      <c r="F755" s="13" t="n">
        <v>77995</v>
      </c>
      <c r="G755" s="5" t="n">
        <v>1</v>
      </c>
      <c r="H755" s="13" t="n">
        <v>0</v>
      </c>
      <c r="I755" s="12" t="n">
        <v>0</v>
      </c>
    </row>
    <row r="756">
      <c r="A756" t="inlineStr">
        <is>
          <t>38527798</t>
        </is>
      </c>
      <c r="B756" t="inlineStr">
        <is>
          <t>КП "ВОЛИНСЬКИЙ ОБЛАСНИЙ ЦЕНТР ЕКСТРЕНОЇ МЕДИЧНОЇ ДОПОМОГИ ТА МЕДИЦИНИ КАТАСТРОФ” ВОЛИНСЬКОЇ ОБЛАСНОЇ РАДИ</t>
        </is>
      </c>
      <c r="C756" t="inlineStr">
        <is>
          <t>Волинська область</t>
        </is>
      </c>
      <c r="D756" s="5" t="n">
        <v>5</v>
      </c>
      <c r="E756" s="13" t="n">
        <v>221650</v>
      </c>
      <c r="F756" s="13" t="n">
        <v>77330</v>
      </c>
      <c r="G756" s="5" t="n">
        <v>2</v>
      </c>
      <c r="H756" s="13" t="n">
        <v>0</v>
      </c>
      <c r="I756" s="12" t="n">
        <v>0</v>
      </c>
    </row>
    <row r="757">
      <c r="A757" t="inlineStr">
        <is>
          <t>02546950</t>
        </is>
      </c>
      <c r="B757" t="inlineStr">
        <is>
          <t>Старовижівський професійний ліцей</t>
        </is>
      </c>
      <c r="C757" t="inlineStr">
        <is>
          <t>Волинська область</t>
        </is>
      </c>
      <c r="D757" s="5" t="n">
        <v>4</v>
      </c>
      <c r="E757" s="13" t="n">
        <v>206499</v>
      </c>
      <c r="F757" s="13" t="n">
        <v>76499</v>
      </c>
      <c r="G757" s="5" t="n">
        <v>2</v>
      </c>
      <c r="H757" s="13" t="n">
        <v>0</v>
      </c>
      <c r="I757" s="12" t="n">
        <v>0</v>
      </c>
    </row>
    <row r="758">
      <c r="A758" t="inlineStr">
        <is>
          <t>02126107</t>
        </is>
      </c>
      <c r="B758" t="inlineStr">
        <is>
          <t>Комунальний заклад вищої освіти «Луцький педагогічний інститут» Волинської обласної ради</t>
        </is>
      </c>
      <c r="C758" t="inlineStr">
        <is>
          <t>Волинська область</t>
        </is>
      </c>
      <c r="D758" s="5" t="n">
        <v>6</v>
      </c>
      <c r="E758" s="13" t="n">
        <v>76224</v>
      </c>
      <c r="F758" s="13" t="n">
        <v>76224</v>
      </c>
      <c r="G758" s="5" t="n">
        <v>4</v>
      </c>
      <c r="H758" s="13" t="n">
        <v>0</v>
      </c>
      <c r="I758" s="12" t="n">
        <v>0</v>
      </c>
    </row>
    <row r="759">
      <c r="A759" t="inlineStr">
        <is>
          <t>04332940</t>
        </is>
      </c>
      <c r="B759" t="inlineStr">
        <is>
          <t>ДУБЕЧНЕНСЬКА СІЛЬСЬКА РАДА</t>
        </is>
      </c>
      <c r="C759" t="inlineStr">
        <is>
          <t>Волинська область</t>
        </is>
      </c>
      <c r="D759" s="5" t="n">
        <v>4</v>
      </c>
      <c r="E759" s="13" t="n">
        <v>74622</v>
      </c>
      <c r="F759" s="13" t="n">
        <v>74622</v>
      </c>
      <c r="G759" s="5" t="n">
        <v>2</v>
      </c>
      <c r="H759" s="13" t="n">
        <v>0</v>
      </c>
      <c r="I759" s="12" t="n">
        <v>0</v>
      </c>
    </row>
    <row r="760">
      <c r="A760" t="inlineStr">
        <is>
          <t>04543022</t>
        </is>
      </c>
      <c r="B760" t="inlineStr">
        <is>
          <t>КП "ЛУЦЬКА МІСЬКА ДИТЯЧА ПОЛІКЛІНІКА"</t>
        </is>
      </c>
      <c r="C760" t="inlineStr">
        <is>
          <t>Волинська область</t>
        </is>
      </c>
      <c r="D760" s="5" t="n">
        <v>5</v>
      </c>
      <c r="E760" s="13" t="n">
        <v>73814.84</v>
      </c>
      <c r="F760" s="13" t="n">
        <v>73814.84</v>
      </c>
      <c r="G760" s="5" t="n">
        <v>2</v>
      </c>
      <c r="H760" s="13" t="n">
        <v>0</v>
      </c>
      <c r="I760" s="12" t="n">
        <v>0</v>
      </c>
    </row>
    <row r="761">
      <c r="A761" t="inlineStr">
        <is>
          <t>02317913</t>
        </is>
      </c>
      <c r="B761" t="inlineStr">
        <is>
          <t>Фінансове управління виконавчого комітету Ковельської міської ради</t>
        </is>
      </c>
      <c r="C761" t="inlineStr">
        <is>
          <t>Волинська область</t>
        </is>
      </c>
      <c r="D761" s="5" t="n">
        <v>4</v>
      </c>
      <c r="E761" s="13" t="n">
        <v>72858</v>
      </c>
      <c r="F761" s="13" t="n">
        <v>72858</v>
      </c>
      <c r="G761" s="5" t="n">
        <v>3</v>
      </c>
      <c r="H761" s="13" t="n">
        <v>0</v>
      </c>
      <c r="I761" s="12" t="n">
        <v>0</v>
      </c>
    </row>
    <row r="762">
      <c r="A762" t="inlineStr">
        <is>
          <t>09959690</t>
        </is>
      </c>
      <c r="B762" t="inlineStr">
        <is>
          <t>НМЦ ЦЗ та БЖД Волинської області</t>
        </is>
      </c>
      <c r="C762" t="inlineStr">
        <is>
          <t>Волинська область</t>
        </is>
      </c>
      <c r="D762" s="5" t="n">
        <v>5</v>
      </c>
      <c r="E762" s="13" t="n">
        <v>137884</v>
      </c>
      <c r="F762" s="13" t="n">
        <v>71884</v>
      </c>
      <c r="G762" s="5" t="n">
        <v>3</v>
      </c>
      <c r="H762" s="13" t="n">
        <v>0</v>
      </c>
      <c r="I762" s="12" t="n">
        <v>0</v>
      </c>
    </row>
    <row r="763">
      <c r="A763" t="inlineStr">
        <is>
          <t>21754312</t>
        </is>
      </c>
      <c r="B763" t="inlineStr">
        <is>
          <t>Мстишинська гімназія Боратинської сільської ради</t>
        </is>
      </c>
      <c r="C763" t="inlineStr">
        <is>
          <t>Волинська область</t>
        </is>
      </c>
      <c r="D763" s="5" t="n">
        <v>1</v>
      </c>
      <c r="E763" s="13" t="n">
        <v>70000</v>
      </c>
      <c r="F763" s="13" t="n">
        <v>70000</v>
      </c>
      <c r="G763" s="5" t="n">
        <v>1</v>
      </c>
      <c r="H763" s="13" t="n">
        <v>0</v>
      </c>
      <c r="I763" s="12" t="n">
        <v>0</v>
      </c>
    </row>
    <row r="764">
      <c r="A764" t="inlineStr">
        <is>
          <t>21754275</t>
        </is>
      </c>
      <c r="B764" t="inlineStr">
        <is>
          <t>КОМУНАЛЬНИЙ ЗАКЛАД ЗАГАЛЬНОЇ СЕРЕДНЬОЇ ОСВІТИ "КОРШІВСЬКА ГІМНАЗІЯ БОРАТИНСЬКОЇ СІЛЬСЬКОЇ РАДИ"</t>
        </is>
      </c>
      <c r="C764" t="inlineStr">
        <is>
          <t>Волинська область</t>
        </is>
      </c>
      <c r="D764" s="5" t="n">
        <v>1</v>
      </c>
      <c r="E764" s="13" t="n">
        <v>70000</v>
      </c>
      <c r="F764" s="13" t="n">
        <v>70000</v>
      </c>
      <c r="G764" s="5" t="n">
        <v>1</v>
      </c>
      <c r="H764" s="13" t="n">
        <v>0</v>
      </c>
      <c r="I764" s="12" t="n">
        <v>0</v>
      </c>
    </row>
    <row r="765">
      <c r="A765" t="inlineStr">
        <is>
          <t>20124454</t>
        </is>
      </c>
      <c r="B765" t="inlineStr">
        <is>
          <t>КП "ЦЕНТР МЕДИЧНОЇ РЕАБІЛІТАЦІЇ ТА ПАЛІАТИВНОЇ ДОПОМОГИ ДІТЯМ" ВОЛИНСЬКОЇ ОБЛАСНОЇ РАДИ</t>
        </is>
      </c>
      <c r="C765" t="inlineStr">
        <is>
          <t>Волинська область</t>
        </is>
      </c>
      <c r="D765" s="5" t="n">
        <v>3</v>
      </c>
      <c r="E765" s="13" t="n">
        <v>69000</v>
      </c>
      <c r="F765" s="13" t="n">
        <v>69000</v>
      </c>
      <c r="G765" s="5" t="n">
        <v>1</v>
      </c>
      <c r="H765" s="13" t="n">
        <v>0</v>
      </c>
      <c r="I765" s="12" t="n">
        <v>0</v>
      </c>
    </row>
    <row r="766">
      <c r="A766" t="inlineStr">
        <is>
          <t>44045779</t>
        </is>
      </c>
      <c r="B766" t="inlineStr">
        <is>
          <t>Управління з гуманітарних питань Горохівської міської ради</t>
        </is>
      </c>
      <c r="C766" t="inlineStr">
        <is>
          <t>Волинська область</t>
        </is>
      </c>
      <c r="D766" s="5" t="n">
        <v>2</v>
      </c>
      <c r="E766" s="13" t="n">
        <v>74476</v>
      </c>
      <c r="F766" s="13" t="n">
        <v>68815.2</v>
      </c>
      <c r="G766" s="5" t="n">
        <v>2</v>
      </c>
      <c r="H766" s="13" t="n">
        <v>0</v>
      </c>
      <c r="I766" s="12" t="n">
        <v>0</v>
      </c>
    </row>
    <row r="767">
      <c r="A767" t="inlineStr">
        <is>
          <t>25818003</t>
        </is>
      </c>
      <c r="B767" t="inlineStr">
        <is>
          <t>НОВОВОЛИНСЬКИЙ ЛІЦЕЙ №9 НОВОВОЛИНСЬКОЇ МІСЬКОЇ РАДИ ВОЛИНСЬКОЇ ОБЛАСТІ</t>
        </is>
      </c>
      <c r="C767" t="inlineStr">
        <is>
          <t>Волинська область</t>
        </is>
      </c>
      <c r="D767" s="5" t="n">
        <v>3</v>
      </c>
      <c r="E767" s="13" t="n">
        <v>135712</v>
      </c>
      <c r="F767" s="13" t="n">
        <v>67800</v>
      </c>
      <c r="G767" s="5" t="n">
        <v>1</v>
      </c>
      <c r="H767" s="13" t="n">
        <v>0</v>
      </c>
      <c r="I767" s="12" t="n">
        <v>0</v>
      </c>
    </row>
    <row r="768">
      <c r="A768" t="inlineStr">
        <is>
          <t>02540002</t>
        </is>
      </c>
      <c r="B768" t="inlineStr">
        <is>
          <t>Комунальний заклад професійної освіти «Нововолинський центр професійної освіти» Волинської обласної ради</t>
        </is>
      </c>
      <c r="C768" t="inlineStr">
        <is>
          <t>Волинська область</t>
        </is>
      </c>
      <c r="D768" s="5" t="n">
        <v>19</v>
      </c>
      <c r="E768" s="13" t="n">
        <v>69004</v>
      </c>
      <c r="F768" s="13" t="n">
        <v>67702</v>
      </c>
      <c r="G768" s="5" t="n">
        <v>2</v>
      </c>
      <c r="H768" s="13" t="n">
        <v>0</v>
      </c>
      <c r="I768" s="12" t="n">
        <v>0</v>
      </c>
    </row>
    <row r="769">
      <c r="A769" t="inlineStr">
        <is>
          <t>43983715</t>
        </is>
      </c>
      <c r="B769" t="inlineStr">
        <is>
          <t>ОПОРНИЙ ЗАКЛАД ЗАГАЛЬНОЇ СЕРЕДНЬОЇ ОСВІТИ "ТОБОЛІВСЬКИЙ ЛІЦЕЙ ПРИЛІСНЕНСЬКОЇ СІЛЬСЬКОЇ РАДИ ВОЛИНСЬКОЇ ОБЛАСТІ"</t>
        </is>
      </c>
      <c r="C769" t="inlineStr">
        <is>
          <t>Волинська область</t>
        </is>
      </c>
      <c r="D769" s="5" t="n">
        <v>1</v>
      </c>
      <c r="E769" s="13" t="n">
        <v>67300</v>
      </c>
      <c r="F769" s="13" t="n">
        <v>67300</v>
      </c>
      <c r="G769" s="5" t="n">
        <v>1</v>
      </c>
      <c r="H769" s="13" t="n">
        <v>0</v>
      </c>
      <c r="I769" s="12" t="n">
        <v>0</v>
      </c>
    </row>
    <row r="770">
      <c r="A770" t="inlineStr">
        <is>
          <t>03191963</t>
        </is>
      </c>
      <c r="B770" t="inlineStr">
        <is>
          <t>Департамент соціальної політики Луцької міської ради</t>
        </is>
      </c>
      <c r="C770" t="inlineStr">
        <is>
          <t>Волинська область</t>
        </is>
      </c>
      <c r="D770" s="5" t="n">
        <v>1</v>
      </c>
      <c r="E770" s="13" t="n">
        <v>66850</v>
      </c>
      <c r="F770" s="13" t="n">
        <v>66850</v>
      </c>
      <c r="G770" s="5" t="n">
        <v>1</v>
      </c>
      <c r="H770" s="13" t="n">
        <v>0</v>
      </c>
      <c r="I770" s="12" t="n">
        <v>0</v>
      </c>
    </row>
    <row r="771">
      <c r="A771" t="inlineStr">
        <is>
          <t>38541660</t>
        </is>
      </c>
      <c r="B771" t="inlineStr">
        <is>
          <t>КНП "РОЖИЩЕНСЬКИЙ ЦЕНТР ПЕРВИННОЇ МЕДИКО-САНІТАРНОЇ ДОПОМОГИ" РОЖИЩЕНСЬКОЇ МІСЬКОЇ РАДИ</t>
        </is>
      </c>
      <c r="C771" t="inlineStr">
        <is>
          <t>Волинська область</t>
        </is>
      </c>
      <c r="D771" s="5" t="n">
        <v>2</v>
      </c>
      <c r="E771" s="13" t="n">
        <v>66849</v>
      </c>
      <c r="F771" s="13" t="n">
        <v>66849</v>
      </c>
      <c r="G771" s="5" t="n">
        <v>2</v>
      </c>
      <c r="H771" s="13" t="n">
        <v>0</v>
      </c>
      <c r="I771" s="12" t="n">
        <v>0</v>
      </c>
    </row>
    <row r="772">
      <c r="A772" t="inlineStr">
        <is>
          <t>04333879</t>
        </is>
      </c>
      <c r="B772" t="inlineStr">
        <is>
          <t>Олицька міська рада</t>
        </is>
      </c>
      <c r="C772" t="inlineStr">
        <is>
          <t>Волинська область</t>
        </is>
      </c>
      <c r="D772" s="5" t="n">
        <v>9</v>
      </c>
      <c r="E772" s="13" t="n">
        <v>66816</v>
      </c>
      <c r="F772" s="13" t="n">
        <v>66816</v>
      </c>
      <c r="G772" s="5" t="n">
        <v>3</v>
      </c>
      <c r="H772" s="13" t="n">
        <v>0</v>
      </c>
      <c r="I772" s="12" t="n">
        <v>0</v>
      </c>
    </row>
    <row r="773">
      <c r="A773" t="inlineStr">
        <is>
          <t>23251822</t>
        </is>
      </c>
      <c r="B773" t="inlineStr">
        <is>
          <t>Ковельська районна рада Волинської області</t>
        </is>
      </c>
      <c r="C773" t="inlineStr">
        <is>
          <t>Волинська область</t>
        </is>
      </c>
      <c r="D773" s="5" t="n">
        <v>3</v>
      </c>
      <c r="E773" s="13" t="n">
        <v>64659</v>
      </c>
      <c r="F773" s="13" t="n">
        <v>64659</v>
      </c>
      <c r="G773" s="5" t="n">
        <v>2</v>
      </c>
      <c r="H773" s="13" t="n">
        <v>0</v>
      </c>
      <c r="I773" s="12" t="n">
        <v>0</v>
      </c>
    </row>
    <row r="774">
      <c r="A774" t="inlineStr">
        <is>
          <t>04334583</t>
        </is>
      </c>
      <c r="B774" t="inlineStr">
        <is>
          <t>ЗАБРОДІВСЬКА СІЛЬСЬКА РАДА</t>
        </is>
      </c>
      <c r="C774" t="inlineStr">
        <is>
          <t>Волинська область</t>
        </is>
      </c>
      <c r="D774" s="5" t="n">
        <v>5</v>
      </c>
      <c r="E774" s="13" t="n">
        <v>72940</v>
      </c>
      <c r="F774" s="13" t="n">
        <v>64530</v>
      </c>
      <c r="G774" s="5" t="n">
        <v>5</v>
      </c>
      <c r="H774" s="13" t="n">
        <v>0</v>
      </c>
      <c r="I774" s="12" t="n">
        <v>0</v>
      </c>
    </row>
    <row r="775">
      <c r="A775" t="inlineStr">
        <is>
          <t>38031501</t>
        </is>
      </c>
      <c r="B775" t="inlineStr">
        <is>
          <t>ЛЮБОМЛЬСЬКЕ УПРАВЛІННЯ ДЕРЖАВНОЇ КАЗНАЧЕЙСЬКОЇ СЛУЖБИ УКРАЇНИ ВОЛИНСЬКОЇ ОБЛАСТІ</t>
        </is>
      </c>
      <c r="C775" t="inlineStr">
        <is>
          <t>Волинська область</t>
        </is>
      </c>
      <c r="D775" s="5" t="n">
        <v>3</v>
      </c>
      <c r="E775" s="13" t="n">
        <v>64350</v>
      </c>
      <c r="F775" s="13" t="n">
        <v>64350</v>
      </c>
      <c r="G775" s="5" t="n">
        <v>1</v>
      </c>
      <c r="H775" s="13" t="n">
        <v>0</v>
      </c>
      <c r="I775" s="12" t="n">
        <v>0</v>
      </c>
    </row>
    <row r="776">
      <c r="A776" t="inlineStr">
        <is>
          <t>02540083</t>
        </is>
      </c>
      <c r="B776" t="inlineStr">
        <is>
          <t>Відокремлений структурний підрозділ"Любешівський технічний фаховий коледж Луцького національного технічного університету"</t>
        </is>
      </c>
      <c r="C776" t="inlineStr">
        <is>
          <t>Волинська область</t>
        </is>
      </c>
      <c r="D776" s="5" t="n">
        <v>2</v>
      </c>
      <c r="E776" s="13" t="n">
        <v>63890</v>
      </c>
      <c r="F776" s="13" t="n">
        <v>63890</v>
      </c>
      <c r="G776" s="5" t="n">
        <v>1</v>
      </c>
      <c r="H776" s="13" t="n">
        <v>0</v>
      </c>
      <c r="I776" s="12" t="n">
        <v>0</v>
      </c>
    </row>
    <row r="777">
      <c r="A777" t="inlineStr">
        <is>
          <t>30514446</t>
        </is>
      </c>
      <c r="B777" t="inlineStr">
        <is>
          <t>ПТМ "КОВЕЛЬТЕПЛО"</t>
        </is>
      </c>
      <c r="C777" t="inlineStr">
        <is>
          <t>Волинська область</t>
        </is>
      </c>
      <c r="D777" s="5" t="n">
        <v>4</v>
      </c>
      <c r="E777" s="13" t="n">
        <v>61900</v>
      </c>
      <c r="F777" s="13" t="n">
        <v>61900</v>
      </c>
      <c r="G777" s="5" t="n">
        <v>3</v>
      </c>
      <c r="H777" s="13" t="n">
        <v>0</v>
      </c>
      <c r="I777" s="12" t="n">
        <v>0</v>
      </c>
    </row>
    <row r="778">
      <c r="A778" t="inlineStr">
        <is>
          <t>02540060</t>
        </is>
      </c>
      <c r="B778" t="inlineStr">
        <is>
          <t>ДЕРЖАВНИЙ НАВЧАЛЬНИЙ ЗАКЛАД "КОВЕЛЬСЬКИЙ ЦЕНТР ПРОФЕСІЙНО-ТЕХНІЧНОЇ ОСВІТИ"</t>
        </is>
      </c>
      <c r="C778" t="inlineStr">
        <is>
          <t>Волинська область</t>
        </is>
      </c>
      <c r="D778" s="5" t="n">
        <v>5</v>
      </c>
      <c r="E778" s="13" t="n">
        <v>61117</v>
      </c>
      <c r="F778" s="13" t="n">
        <v>61117</v>
      </c>
      <c r="G778" s="5" t="n">
        <v>1</v>
      </c>
      <c r="H778" s="13" t="n">
        <v>0</v>
      </c>
      <c r="I778" s="12" t="n">
        <v>0</v>
      </c>
    </row>
    <row r="779">
      <c r="A779" t="inlineStr">
        <is>
          <t>13369178</t>
        </is>
      </c>
      <c r="B779" t="inlineStr">
        <is>
          <t>Комунальний заклад загальної середньої освіти "Луцький ліцей № 21 імені Михайла Кравчука Луцької міської ради"</t>
        </is>
      </c>
      <c r="C779" t="inlineStr">
        <is>
          <t>Волинська область</t>
        </is>
      </c>
      <c r="D779" s="5" t="n">
        <v>2</v>
      </c>
      <c r="E779" s="13" t="n">
        <v>61040</v>
      </c>
      <c r="F779" s="13" t="n">
        <v>61040</v>
      </c>
      <c r="G779" s="5" t="n">
        <v>1</v>
      </c>
      <c r="H779" s="13" t="n">
        <v>0</v>
      </c>
      <c r="I779" s="12" t="n">
        <v>0</v>
      </c>
    </row>
    <row r="780">
      <c r="A780" t="inlineStr">
        <is>
          <t>04332182</t>
        </is>
      </c>
      <c r="B780" t="inlineStr">
        <is>
          <t>ЛОКАЧИНСЬКА СЕЛИЩНА РАДА</t>
        </is>
      </c>
      <c r="C780" t="inlineStr">
        <is>
          <t>Волинська область</t>
        </is>
      </c>
      <c r="D780" s="5" t="n">
        <v>9</v>
      </c>
      <c r="E780" s="13" t="n">
        <v>61019</v>
      </c>
      <c r="F780" s="13" t="n">
        <v>61019</v>
      </c>
      <c r="G780" s="5" t="n">
        <v>2</v>
      </c>
      <c r="H780" s="13" t="n">
        <v>0</v>
      </c>
      <c r="I780" s="12" t="n">
        <v>0</v>
      </c>
    </row>
    <row r="781">
      <c r="A781" t="inlineStr">
        <is>
          <t>04333187</t>
        </is>
      </c>
      <c r="B781" t="inlineStr">
        <is>
          <t>Головненська селищна рада</t>
        </is>
      </c>
      <c r="C781" t="inlineStr">
        <is>
          <t>Волинська область</t>
        </is>
      </c>
      <c r="D781" s="5" t="n">
        <v>3</v>
      </c>
      <c r="E781" s="13" t="n">
        <v>60950</v>
      </c>
      <c r="F781" s="13" t="n">
        <v>60950</v>
      </c>
      <c r="G781" s="5" t="n">
        <v>1</v>
      </c>
      <c r="H781" s="13" t="n">
        <v>0</v>
      </c>
      <c r="I781" s="12" t="n">
        <v>0</v>
      </c>
    </row>
    <row r="782">
      <c r="A782" t="inlineStr">
        <is>
          <t>44131066</t>
        </is>
      </c>
      <c r="B782" t="inlineStr">
        <is>
          <t>ФІНАНСОВИЙ ВІДДІЛ РАТНІВСЬКОЇ СЕЛИЩНОЇ РАДИ</t>
        </is>
      </c>
      <c r="C782" t="inlineStr">
        <is>
          <t>Волинська область</t>
        </is>
      </c>
      <c r="D782" s="5" t="n">
        <v>4</v>
      </c>
      <c r="E782" s="13" t="n">
        <v>60500</v>
      </c>
      <c r="F782" s="13" t="n">
        <v>60500</v>
      </c>
      <c r="G782" s="5" t="n">
        <v>1</v>
      </c>
      <c r="H782" s="13" t="n">
        <v>0</v>
      </c>
      <c r="I782" s="12" t="n">
        <v>0</v>
      </c>
    </row>
    <row r="783">
      <c r="A783" t="inlineStr">
        <is>
          <t>23018238</t>
        </is>
      </c>
      <c r="B783" t="inlineStr">
        <is>
          <t>Олеський ліцей Вишнівської сільської ради</t>
        </is>
      </c>
      <c r="C783" t="inlineStr">
        <is>
          <t>Волинська область</t>
        </is>
      </c>
      <c r="D783" s="5" t="n">
        <v>1</v>
      </c>
      <c r="E783" s="13" t="n">
        <v>60000</v>
      </c>
      <c r="F783" s="13" t="n">
        <v>60000</v>
      </c>
      <c r="G783" s="5" t="n">
        <v>1</v>
      </c>
      <c r="H783" s="13" t="n">
        <v>0</v>
      </c>
      <c r="I783" s="12" t="n">
        <v>0</v>
      </c>
    </row>
    <row r="784">
      <c r="A784" t="inlineStr">
        <is>
          <t>41508136</t>
        </is>
      </c>
      <c r="B784" t="inlineStr">
        <is>
          <t>Ліцей с. Вербка Дубівської сільської ради Ковельського району Волинської області</t>
        </is>
      </c>
      <c r="C784" t="inlineStr">
        <is>
          <t>Волинська область</t>
        </is>
      </c>
      <c r="D784" s="5" t="n">
        <v>2</v>
      </c>
      <c r="E784" s="13" t="n">
        <v>59228</v>
      </c>
      <c r="F784" s="13" t="n">
        <v>59228</v>
      </c>
      <c r="G784" s="5" t="n">
        <v>1</v>
      </c>
      <c r="H784" s="13" t="n">
        <v>0</v>
      </c>
      <c r="I784" s="12" t="n">
        <v>0</v>
      </c>
    </row>
    <row r="785">
      <c r="A785" t="inlineStr">
        <is>
          <t>41799138</t>
        </is>
      </c>
      <c r="B785" t="inlineStr">
        <is>
          <t>Комунальний заклад “Центр культури ”Княгининок”</t>
        </is>
      </c>
      <c r="C785" t="inlineStr">
        <is>
          <t>Волинська область</t>
        </is>
      </c>
      <c r="D785" s="5" t="n">
        <v>3</v>
      </c>
      <c r="E785" s="13" t="n">
        <v>57949</v>
      </c>
      <c r="F785" s="13" t="n">
        <v>57949</v>
      </c>
      <c r="G785" s="5" t="n">
        <v>1</v>
      </c>
      <c r="H785" s="13" t="n">
        <v>0</v>
      </c>
      <c r="I785" s="12" t="n">
        <v>0</v>
      </c>
    </row>
    <row r="786">
      <c r="A786" t="inlineStr">
        <is>
          <t>41862974</t>
        </is>
      </c>
      <c r="B786" t="inlineStr">
        <is>
          <t>Централізована бухгалтерія</t>
        </is>
      </c>
      <c r="C786" t="inlineStr">
        <is>
          <t>Волинська область</t>
        </is>
      </c>
      <c r="D786" s="5" t="n">
        <v>2</v>
      </c>
      <c r="E786" s="13" t="n">
        <v>57809</v>
      </c>
      <c r="F786" s="13" t="n">
        <v>57809</v>
      </c>
      <c r="G786" s="5" t="n">
        <v>1</v>
      </c>
      <c r="H786" s="13" t="n">
        <v>0</v>
      </c>
      <c r="I786" s="12" t="n">
        <v>0</v>
      </c>
    </row>
    <row r="787">
      <c r="A787" t="inlineStr">
        <is>
          <t>44039278</t>
        </is>
      </c>
      <c r="B787" t="inlineStr">
        <is>
          <t>Фінансовий відділ Вишнівської сільської ради</t>
        </is>
      </c>
      <c r="C787" t="inlineStr">
        <is>
          <t>Волинська область</t>
        </is>
      </c>
      <c r="D787" s="5" t="n">
        <v>2</v>
      </c>
      <c r="E787" s="13" t="n">
        <v>57475</v>
      </c>
      <c r="F787" s="13" t="n">
        <v>57475</v>
      </c>
      <c r="G787" s="5" t="n">
        <v>1</v>
      </c>
      <c r="H787" s="13" t="n">
        <v>0</v>
      </c>
      <c r="I787" s="12" t="n">
        <v>0</v>
      </c>
    </row>
    <row r="788">
      <c r="A788" t="inlineStr">
        <is>
          <t>39782790</t>
        </is>
      </c>
      <c r="B788" t="inlineStr">
        <is>
          <t>Управління освіти і науки Волинської обласної державної адміністрації</t>
        </is>
      </c>
      <c r="C788" t="inlineStr">
        <is>
          <t>Волинська область</t>
        </is>
      </c>
      <c r="D788" s="5" t="n">
        <v>5</v>
      </c>
      <c r="E788" s="13" t="n">
        <v>55348</v>
      </c>
      <c r="F788" s="13" t="n">
        <v>55348</v>
      </c>
      <c r="G788" s="5" t="n">
        <v>2</v>
      </c>
      <c r="H788" s="13" t="n">
        <v>0</v>
      </c>
      <c r="I788" s="12" t="n">
        <v>0</v>
      </c>
    </row>
    <row r="789">
      <c r="A789" t="inlineStr">
        <is>
          <t>03188180</t>
        </is>
      </c>
      <c r="B789" t="inlineStr">
        <is>
          <t>БЕРЕСТЕЧКІВСЬКИЙ ПСИХОНЕВРОЛОГІЧНИЙ ІНТЕРНАТ</t>
        </is>
      </c>
      <c r="C789" t="inlineStr">
        <is>
          <t>Волинська область</t>
        </is>
      </c>
      <c r="D789" s="5" t="n">
        <v>4</v>
      </c>
      <c r="E789" s="13" t="n">
        <v>55130</v>
      </c>
      <c r="F789" s="13" t="n">
        <v>55130</v>
      </c>
      <c r="G789" s="5" t="n">
        <v>2</v>
      </c>
      <c r="H789" s="13" t="n">
        <v>0</v>
      </c>
      <c r="I789" s="12" t="n">
        <v>0</v>
      </c>
    </row>
    <row r="790">
      <c r="A790" t="inlineStr">
        <is>
          <t>04333885</t>
        </is>
      </c>
      <c r="B790" t="inlineStr">
        <is>
          <t>Цуманська селищна рада</t>
        </is>
      </c>
      <c r="C790" t="inlineStr">
        <is>
          <t>Волинська область</t>
        </is>
      </c>
      <c r="D790" s="5" t="n">
        <v>1</v>
      </c>
      <c r="E790" s="13" t="n">
        <v>53700</v>
      </c>
      <c r="F790" s="13" t="n">
        <v>53700</v>
      </c>
      <c r="G790" s="5" t="n">
        <v>1</v>
      </c>
      <c r="H790" s="13" t="n">
        <v>0</v>
      </c>
      <c r="I790" s="12" t="n">
        <v>0</v>
      </c>
    </row>
    <row r="791">
      <c r="A791" t="inlineStr">
        <is>
          <t>00692682</t>
        </is>
      </c>
      <c r="B791" t="inlineStr">
        <is>
          <t>Волинська регіональна державна лабораторія Державної служби України з питань безпечності харчових продуктів та захисту споживачів</t>
        </is>
      </c>
      <c r="C791" t="inlineStr">
        <is>
          <t>Волинська область</t>
        </is>
      </c>
      <c r="D791" s="5" t="n">
        <v>6</v>
      </c>
      <c r="E791" s="13" t="n">
        <v>52489</v>
      </c>
      <c r="F791" s="13" t="n">
        <v>52489</v>
      </c>
      <c r="G791" s="5" t="n">
        <v>2</v>
      </c>
      <c r="H791" s="13" t="n">
        <v>0</v>
      </c>
      <c r="I791" s="12" t="n">
        <v>0</v>
      </c>
    </row>
    <row r="792">
      <c r="A792" t="inlineStr">
        <is>
          <t>03192081</t>
        </is>
      </c>
      <c r="B792" t="inlineStr">
        <is>
          <t>Управління соціальної та ветеранської політики Луцької районної державної адміністрації Волинської області</t>
        </is>
      </c>
      <c r="C792" t="inlineStr">
        <is>
          <t>Волинська область</t>
        </is>
      </c>
      <c r="D792" s="5" t="n">
        <v>2</v>
      </c>
      <c r="E792" s="13" t="n">
        <v>50990.03</v>
      </c>
      <c r="F792" s="13" t="n">
        <v>50990.03</v>
      </c>
      <c r="G792" s="5" t="n">
        <v>2</v>
      </c>
      <c r="H792" s="13" t="n">
        <v>0</v>
      </c>
      <c r="I792" s="12" t="n">
        <v>0</v>
      </c>
    </row>
    <row r="793">
      <c r="A793" t="inlineStr">
        <is>
          <t>04333342</t>
        </is>
      </c>
      <c r="B793" t="inlineStr">
        <is>
          <t>Павлівська сільська рада</t>
        </is>
      </c>
      <c r="C793" t="inlineStr">
        <is>
          <t>Волинська область</t>
        </is>
      </c>
      <c r="D793" s="5" t="n">
        <v>2</v>
      </c>
      <c r="E793" s="13" t="n">
        <v>50329</v>
      </c>
      <c r="F793" s="13" t="n">
        <v>50329</v>
      </c>
      <c r="G793" s="5" t="n">
        <v>2</v>
      </c>
      <c r="H793" s="13" t="n">
        <v>0</v>
      </c>
      <c r="I793" s="12" t="n">
        <v>0</v>
      </c>
    </row>
    <row r="794">
      <c r="A794" t="inlineStr">
        <is>
          <t>45562621</t>
        </is>
      </c>
      <c r="B794" t="inlineStr">
        <is>
          <t>КОМУНАЛЬНИЙ ЗАКЛАД "ЦЕНТР БЕЗПЕКИ" ГОРОХІВСЬКОЇ МІСЬКОЇ РАДИ</t>
        </is>
      </c>
      <c r="C794" t="inlineStr">
        <is>
          <t>Волинська область</t>
        </is>
      </c>
      <c r="D794" s="5" t="n">
        <v>1</v>
      </c>
      <c r="E794" s="13" t="n">
        <v>49800</v>
      </c>
      <c r="F794" s="13" t="n">
        <v>49800</v>
      </c>
      <c r="G794" s="5" t="n">
        <v>1</v>
      </c>
      <c r="H794" s="13" t="n">
        <v>0</v>
      </c>
      <c r="I794" s="12" t="n">
        <v>0</v>
      </c>
    </row>
    <row r="795">
      <c r="A795" t="inlineStr">
        <is>
          <t>44060745</t>
        </is>
      </c>
      <c r="B795" t="inlineStr">
        <is>
          <t>ВІДДІЛ КУЛЬТУРИ ТА МОЛОДІЖНОЇ ПОЛІТИКИ БОРАТИНСЬКОЇ СІЛЬСЬКОЇ РАДИ</t>
        </is>
      </c>
      <c r="C795" t="inlineStr">
        <is>
          <t>Волинська область</t>
        </is>
      </c>
      <c r="D795" s="5" t="n">
        <v>5</v>
      </c>
      <c r="E795" s="13" t="n">
        <v>49023</v>
      </c>
      <c r="F795" s="13" t="n">
        <v>49023</v>
      </c>
      <c r="G795" s="5" t="n">
        <v>2</v>
      </c>
      <c r="H795" s="13" t="n">
        <v>0</v>
      </c>
      <c r="I795" s="12" t="n">
        <v>0</v>
      </c>
    </row>
    <row r="796">
      <c r="A796" t="inlineStr">
        <is>
          <t>01982910</t>
        </is>
      </c>
      <c r="B796" t="inlineStr">
        <is>
          <t>КП "Рожищенська багатопрофільна лікарня" Рожищенської міської ради</t>
        </is>
      </c>
      <c r="C796" t="inlineStr">
        <is>
          <t>Волинська область</t>
        </is>
      </c>
      <c r="D796" s="5" t="n">
        <v>7</v>
      </c>
      <c r="E796" s="13" t="n">
        <v>48803</v>
      </c>
      <c r="F796" s="13" t="n">
        <v>48803</v>
      </c>
      <c r="G796" s="5" t="n">
        <v>2</v>
      </c>
      <c r="H796" s="13" t="n">
        <v>0</v>
      </c>
      <c r="I796" s="12" t="n">
        <v>0</v>
      </c>
    </row>
    <row r="797">
      <c r="A797" t="inlineStr">
        <is>
          <t>01983140</t>
        </is>
      </c>
      <c r="B797" t="inlineStr">
        <is>
          <t>КНП "ТОРЧИНСЬКА РАЙОННА ЛІКАРНЯ ТОРЧИНСЬКОЇ СЕЛИЩНОЇ РАДИ"</t>
        </is>
      </c>
      <c r="C797" t="inlineStr">
        <is>
          <t>Волинська область</t>
        </is>
      </c>
      <c r="D797" s="5" t="n">
        <v>5</v>
      </c>
      <c r="E797" s="13" t="n">
        <v>48443</v>
      </c>
      <c r="F797" s="13" t="n">
        <v>48443</v>
      </c>
      <c r="G797" s="5" t="n">
        <v>1</v>
      </c>
      <c r="H797" s="13" t="n">
        <v>0</v>
      </c>
      <c r="I797" s="12" t="n">
        <v>0</v>
      </c>
    </row>
    <row r="798">
      <c r="A798" t="inlineStr">
        <is>
          <t>01982933</t>
        </is>
      </c>
      <c r="B798" t="inlineStr">
        <is>
          <t>КНП "Локачинська лікарня" Локачинської селищної ради</t>
        </is>
      </c>
      <c r="C798" t="inlineStr">
        <is>
          <t>Волинська область</t>
        </is>
      </c>
      <c r="D798" s="5" t="n">
        <v>4</v>
      </c>
      <c r="E798" s="13" t="n">
        <v>48428.61</v>
      </c>
      <c r="F798" s="13" t="n">
        <v>48428.61</v>
      </c>
      <c r="G798" s="5" t="n">
        <v>3</v>
      </c>
      <c r="H798" s="13" t="n">
        <v>0</v>
      </c>
      <c r="I798" s="12" t="n">
        <v>0</v>
      </c>
    </row>
    <row r="799">
      <c r="A799" t="inlineStr">
        <is>
          <t>21754045</t>
        </is>
      </c>
      <c r="B799" t="inlineStr">
        <is>
          <t>КОМУНАЛЬНИЙ ЗАКЛАД ЗАГАЛЬНОЇ СЕРЕДНЬОЇ ОСВІТИ "ЛАВРІВСЬКИЙ ЛІЦЕЙ БОРАТИНСЬКОЇ СІЛЬСЬКОЇ РАДИ"</t>
        </is>
      </c>
      <c r="C799" t="inlineStr">
        <is>
          <t>Волинська область</t>
        </is>
      </c>
      <c r="D799" s="5" t="n">
        <v>2</v>
      </c>
      <c r="E799" s="13" t="n">
        <v>48324</v>
      </c>
      <c r="F799" s="13" t="n">
        <v>48324</v>
      </c>
      <c r="G799" s="5" t="n">
        <v>2</v>
      </c>
      <c r="H799" s="13" t="n">
        <v>0</v>
      </c>
      <c r="I799" s="12" t="n">
        <v>0</v>
      </c>
    </row>
    <row r="800">
      <c r="A800" t="inlineStr">
        <is>
          <t>36699366</t>
        </is>
      </c>
      <c r="B800" t="inlineStr">
        <is>
          <t>КЗ Княгининівська школа мистецтв</t>
        </is>
      </c>
      <c r="C800" t="inlineStr">
        <is>
          <t>Волинська область</t>
        </is>
      </c>
      <c r="D800" s="5" t="n">
        <v>2</v>
      </c>
      <c r="E800" s="13" t="n">
        <v>47970</v>
      </c>
      <c r="F800" s="13" t="n">
        <v>47970</v>
      </c>
      <c r="G800" s="5" t="n">
        <v>1</v>
      </c>
      <c r="H800" s="13" t="n">
        <v>0</v>
      </c>
      <c r="I800" s="12" t="n">
        <v>0</v>
      </c>
    </row>
    <row r="801">
      <c r="A801" t="inlineStr">
        <is>
          <t>41181019</t>
        </is>
      </c>
      <c r="B801" t="inlineStr">
        <is>
          <t>КП "Ковельський центр медичної реабілітації та паліативної допомоги" Волинської обласної ради</t>
        </is>
      </c>
      <c r="C801" t="inlineStr">
        <is>
          <t>Волинська область</t>
        </is>
      </c>
      <c r="D801" s="5" t="n">
        <v>3</v>
      </c>
      <c r="E801" s="13" t="n">
        <v>47373.2</v>
      </c>
      <c r="F801" s="13" t="n">
        <v>47373.2</v>
      </c>
      <c r="G801" s="5" t="n">
        <v>2</v>
      </c>
      <c r="H801" s="13" t="n">
        <v>0</v>
      </c>
      <c r="I801" s="12" t="n">
        <v>0</v>
      </c>
    </row>
    <row r="802">
      <c r="A802" t="inlineStr">
        <is>
          <t>40317441</t>
        </is>
      </c>
      <c r="B802" t="inlineStr">
        <is>
          <t>Головне управління Держпродспоживслужби у Волинській області</t>
        </is>
      </c>
      <c r="C802" t="inlineStr">
        <is>
          <t>Волинська область</t>
        </is>
      </c>
      <c r="D802" s="5" t="n">
        <v>1</v>
      </c>
      <c r="E802" s="13" t="n">
        <v>56000</v>
      </c>
      <c r="F802" s="13" t="n">
        <v>47200</v>
      </c>
      <c r="G802" s="5" t="n">
        <v>1</v>
      </c>
      <c r="H802" s="13" t="n">
        <v>0</v>
      </c>
      <c r="I802" s="12" t="n">
        <v>0</v>
      </c>
    </row>
    <row r="803">
      <c r="A803" t="inlineStr">
        <is>
          <t>21739732</t>
        </is>
      </c>
      <c r="B803" t="inlineStr">
        <is>
          <t>ЗАКЛАД ЗАГАЛЬНОЇ СЕРЕДНЬОЇ ОСВІТИ ВОЛОДИМИРСЬКА ГІМНАЗІЯ №2 ВОЛОДИМИРСЬКОЇ МІСЬКОЇ РАДИ</t>
        </is>
      </c>
      <c r="C803" t="inlineStr">
        <is>
          <t>Волинська область</t>
        </is>
      </c>
      <c r="D803" s="5" t="n">
        <v>2</v>
      </c>
      <c r="E803" s="13" t="n">
        <v>46420</v>
      </c>
      <c r="F803" s="13" t="n">
        <v>46420</v>
      </c>
      <c r="G803" s="5" t="n">
        <v>1</v>
      </c>
      <c r="H803" s="13" t="n">
        <v>0</v>
      </c>
      <c r="I803" s="12" t="n">
        <v>0</v>
      </c>
    </row>
    <row r="804">
      <c r="A804" t="inlineStr">
        <is>
          <t>26413969</t>
        </is>
      </c>
      <c r="B804" t="inlineStr">
        <is>
          <t>КОМУНАЛЬНИЙ ЗАКЛАД ЗАГАЛЬНОЇ СЕРЕДНЬОЇ ОСВІТИ "ЛУЦЬКИЙ ЛІЦЕЙ №15 ЛУЦЬКОЇ МІСЬКОЇ РАДИ"</t>
        </is>
      </c>
      <c r="C804" t="inlineStr">
        <is>
          <t>Волинська область</t>
        </is>
      </c>
      <c r="D804" s="5" t="n">
        <v>2</v>
      </c>
      <c r="E804" s="13" t="n">
        <v>46206</v>
      </c>
      <c r="F804" s="13" t="n">
        <v>46206</v>
      </c>
      <c r="G804" s="5" t="n">
        <v>2</v>
      </c>
      <c r="H804" s="13" t="n">
        <v>0</v>
      </c>
      <c r="I804" s="12" t="n">
        <v>0</v>
      </c>
    </row>
    <row r="805">
      <c r="A805" t="inlineStr">
        <is>
          <t>45599159</t>
        </is>
      </c>
      <c r="B805" t="inlineStr">
        <is>
          <t>КОМУНАЛЬНА УСТАНОВА "ХАБ ВЕТЕРАН"</t>
        </is>
      </c>
      <c r="C805" t="inlineStr">
        <is>
          <t>Волинська область</t>
        </is>
      </c>
      <c r="D805" s="5" t="n">
        <v>3</v>
      </c>
      <c r="E805" s="13" t="n">
        <v>45927</v>
      </c>
      <c r="F805" s="13" t="n">
        <v>45927</v>
      </c>
      <c r="G805" s="5" t="n">
        <v>1</v>
      </c>
      <c r="H805" s="13" t="n">
        <v>0</v>
      </c>
      <c r="I805" s="12" t="n">
        <v>0</v>
      </c>
    </row>
    <row r="806">
      <c r="A806" t="inlineStr">
        <is>
          <t>13344468</t>
        </is>
      </c>
      <c r="B806" t="inlineStr">
        <is>
          <t>МУЗЕЙ ІСТОРІЇ СІЛЬСЬКОГО ГОСПОДАРСТВА ВОЛИНІ-СКАНСЕН</t>
        </is>
      </c>
      <c r="C806" t="inlineStr">
        <is>
          <t>Волинська область</t>
        </is>
      </c>
      <c r="D806" s="5" t="n">
        <v>4</v>
      </c>
      <c r="E806" s="13" t="n">
        <v>45900</v>
      </c>
      <c r="F806" s="13" t="n">
        <v>45900</v>
      </c>
      <c r="G806" s="5" t="n">
        <v>2</v>
      </c>
      <c r="H806" s="13" t="n">
        <v>0</v>
      </c>
      <c r="I806" s="12" t="n">
        <v>0</v>
      </c>
    </row>
    <row r="807">
      <c r="A807" t="inlineStr">
        <is>
          <t>23252000</t>
        </is>
      </c>
      <c r="B807" t="inlineStr">
        <is>
          <t>КОМУНАЛЬНИЙ ЗАКЛАД "ЦЕНТР СОЦІАЛЬНОЇ ПІДТРИМКИ ДІТЕЙ ТА СІМЕЙ" ВОЛИНСЬКОЇ ОБЛАСНОЇ РАДИ</t>
        </is>
      </c>
      <c r="C807" t="inlineStr">
        <is>
          <t>Волинська область</t>
        </is>
      </c>
      <c r="D807" s="5" t="n">
        <v>4</v>
      </c>
      <c r="E807" s="13" t="n">
        <v>45675</v>
      </c>
      <c r="F807" s="13" t="n">
        <v>45675</v>
      </c>
      <c r="G807" s="5" t="n">
        <v>2</v>
      </c>
      <c r="H807" s="13" t="n">
        <v>0</v>
      </c>
      <c r="I807" s="12" t="n">
        <v>0</v>
      </c>
    </row>
    <row r="808">
      <c r="A808" t="inlineStr">
        <is>
          <t>03192135</t>
        </is>
      </c>
      <c r="B808" t="inlineStr">
        <is>
          <t>ДЕПАРТАМЕНТ СОЦІАЛЬНОГО ЗАХИСТУ НАСЕЛЕННЯ ВОЛИНСЬКОЇ ОБЛАСНОЇ ДЕРЖАВНОЇ АДМІНІСТРАЦІЇ</t>
        </is>
      </c>
      <c r="C808" t="inlineStr">
        <is>
          <t>Волинська область</t>
        </is>
      </c>
      <c r="D808" s="5" t="n">
        <v>3</v>
      </c>
      <c r="E808" s="13" t="n">
        <v>45387</v>
      </c>
      <c r="F808" s="13" t="n">
        <v>45387</v>
      </c>
      <c r="G808" s="5" t="n">
        <v>2</v>
      </c>
      <c r="H808" s="13" t="n">
        <v>0</v>
      </c>
      <c r="I808" s="12" t="n">
        <v>0</v>
      </c>
    </row>
    <row r="809">
      <c r="A809" t="inlineStr">
        <is>
          <t>08734463</t>
        </is>
      </c>
      <c r="B809" t="inlineStr">
        <is>
          <t>Державна установа "Територіальне медичне об'єднання Міністерства внутрішніх справ України по Волинській області"</t>
        </is>
      </c>
      <c r="C809" t="inlineStr">
        <is>
          <t>Волинська область</t>
        </is>
      </c>
      <c r="D809" s="5" t="n">
        <v>3</v>
      </c>
      <c r="E809" s="13" t="n">
        <v>45200</v>
      </c>
      <c r="F809" s="13" t="n">
        <v>45200</v>
      </c>
      <c r="G809" s="5" t="n">
        <v>1</v>
      </c>
      <c r="H809" s="13" t="n">
        <v>0</v>
      </c>
      <c r="I809" s="12" t="n">
        <v>0</v>
      </c>
    </row>
    <row r="810">
      <c r="A810" t="inlineStr">
        <is>
          <t>01982896</t>
        </is>
      </c>
      <c r="B810" t="inlineStr">
        <is>
          <t>КП "Горохівська багатопрофільна лікарня Горохівської міської ради"</t>
        </is>
      </c>
      <c r="C810" t="inlineStr">
        <is>
          <t>Волинська область</t>
        </is>
      </c>
      <c r="D810" s="5" t="n">
        <v>1</v>
      </c>
      <c r="E810" s="13" t="n">
        <v>45000</v>
      </c>
      <c r="F810" s="13" t="n">
        <v>45000</v>
      </c>
      <c r="G810" s="5" t="n">
        <v>1</v>
      </c>
      <c r="H810" s="13" t="n">
        <v>0</v>
      </c>
      <c r="I810" s="12" t="n">
        <v>0</v>
      </c>
    </row>
    <row r="811">
      <c r="A811" t="inlineStr">
        <is>
          <t>01982991</t>
        </is>
      </c>
      <c r="B811" t="inlineStr">
        <is>
          <t>КНП "Ратнівська центральна районна лікарня" Ратнівської селищної ради</t>
        </is>
      </c>
      <c r="C811" t="inlineStr">
        <is>
          <t>Волинська область</t>
        </is>
      </c>
      <c r="D811" s="5" t="n">
        <v>5</v>
      </c>
      <c r="E811" s="13" t="n">
        <v>44880</v>
      </c>
      <c r="F811" s="13" t="n">
        <v>44770</v>
      </c>
      <c r="G811" s="5" t="n">
        <v>2</v>
      </c>
      <c r="H811" s="13" t="n">
        <v>0</v>
      </c>
      <c r="I811" s="12" t="n">
        <v>0</v>
      </c>
    </row>
    <row r="812">
      <c r="A812" t="inlineStr">
        <is>
          <t>44045784</t>
        </is>
      </c>
      <c r="B812" t="inlineStr">
        <is>
          <t>Відділ інфраструктури, житлово-комунального господарства, благоустрою, капітального будівництва та матеріального забезпечення виконавчого комітету Горохівської міської ради</t>
        </is>
      </c>
      <c r="C812" t="inlineStr">
        <is>
          <t>Волинська область</t>
        </is>
      </c>
      <c r="D812" s="5" t="n">
        <v>2</v>
      </c>
      <c r="E812" s="13" t="n">
        <v>44456</v>
      </c>
      <c r="F812" s="13" t="n">
        <v>44456</v>
      </c>
      <c r="G812" s="5" t="n">
        <v>1</v>
      </c>
      <c r="H812" s="13" t="n">
        <v>0</v>
      </c>
      <c r="I812" s="12" t="n">
        <v>0</v>
      </c>
    </row>
    <row r="813">
      <c r="A813" t="inlineStr">
        <is>
          <t>21747861</t>
        </is>
      </c>
      <c r="B813" t="inlineStr">
        <is>
          <t>Жиричівський ліцей Ратнівської селищної ради</t>
        </is>
      </c>
      <c r="C813" t="inlineStr">
        <is>
          <t>Волинська область</t>
        </is>
      </c>
      <c r="D813" s="5" t="n">
        <v>1</v>
      </c>
      <c r="E813" s="13" t="n">
        <v>44166.66</v>
      </c>
      <c r="F813" s="13" t="n">
        <v>44166.66</v>
      </c>
      <c r="G813" s="5" t="n">
        <v>1</v>
      </c>
      <c r="H813" s="13" t="n">
        <v>0</v>
      </c>
      <c r="I813" s="12" t="n">
        <v>0</v>
      </c>
    </row>
    <row r="814">
      <c r="A814" t="inlineStr">
        <is>
          <t>45597570</t>
        </is>
      </c>
      <c r="B814" t="inlineStr">
        <is>
          <t>Відділ молоді та спорту Нововолинської міської ради Волинської області</t>
        </is>
      </c>
      <c r="C814" t="inlineStr">
        <is>
          <t>Волинська область</t>
        </is>
      </c>
      <c r="D814" s="5" t="n">
        <v>2</v>
      </c>
      <c r="E814" s="13" t="n">
        <v>44150</v>
      </c>
      <c r="F814" s="13" t="n">
        <v>44150</v>
      </c>
      <c r="G814" s="5" t="n">
        <v>1</v>
      </c>
      <c r="H814" s="13" t="n">
        <v>0</v>
      </c>
      <c r="I814" s="12" t="n">
        <v>0</v>
      </c>
    </row>
    <row r="815">
      <c r="A815" t="inlineStr">
        <is>
          <t>41833482</t>
        </is>
      </c>
      <c r="B815" t="inlineStr">
        <is>
          <t>КЗ "Центр КМЕВС"</t>
        </is>
      </c>
      <c r="C815" t="inlineStr">
        <is>
          <t>Волинська область</t>
        </is>
      </c>
      <c r="D815" s="5" t="n">
        <v>3</v>
      </c>
      <c r="E815" s="13" t="n">
        <v>43880</v>
      </c>
      <c r="F815" s="13" t="n">
        <v>43880</v>
      </c>
      <c r="G815" s="5" t="n">
        <v>2</v>
      </c>
      <c r="H815" s="13" t="n">
        <v>0</v>
      </c>
      <c r="I815" s="12" t="n">
        <v>0</v>
      </c>
    </row>
    <row r="816">
      <c r="A816" t="inlineStr">
        <is>
          <t>04335186</t>
        </is>
      </c>
      <c r="B816" t="inlineStr">
        <is>
          <t>Іваничівська селищна рада</t>
        </is>
      </c>
      <c r="C816" t="inlineStr">
        <is>
          <t>Волинська область</t>
        </is>
      </c>
      <c r="D816" s="5" t="n">
        <v>2</v>
      </c>
      <c r="E816" s="13" t="n">
        <v>43124</v>
      </c>
      <c r="F816" s="13" t="n">
        <v>43124</v>
      </c>
      <c r="G816" s="5" t="n">
        <v>2</v>
      </c>
      <c r="H816" s="13" t="n">
        <v>0</v>
      </c>
      <c r="I816" s="12" t="n">
        <v>0</v>
      </c>
    </row>
    <row r="817">
      <c r="A817" t="inlineStr">
        <is>
          <t>41569204</t>
        </is>
      </c>
      <c r="B817" t="inlineStr">
        <is>
          <t>УСТИЛУЗЬКИЙ БУДИНОК КУЛЬТУРИ УСТИЛУЗЬКОЇ МІСЬКОЇ РАДИ</t>
        </is>
      </c>
      <c r="C817" t="inlineStr">
        <is>
          <t>Волинська область</t>
        </is>
      </c>
      <c r="D817" s="5" t="n">
        <v>2</v>
      </c>
      <c r="E817" s="13" t="n">
        <v>42920</v>
      </c>
      <c r="F817" s="13" t="n">
        <v>42920</v>
      </c>
      <c r="G817" s="5" t="n">
        <v>2</v>
      </c>
      <c r="H817" s="13" t="n">
        <v>0</v>
      </c>
      <c r="I817" s="12" t="n">
        <v>0</v>
      </c>
    </row>
    <row r="818">
      <c r="A818" t="inlineStr">
        <is>
          <t>38485879</t>
        </is>
      </c>
      <c r="B818" t="inlineStr">
        <is>
          <t>КНП "СТАРОВИЖІВСЬКИЙ ЦЕНТР ПЕРВИННОЇ МЕДИЧНОЇ ДОПОМОГИ" СТАРОВИЖІВСЬКОЇ СЕЛИЩНОЇ РАДИ</t>
        </is>
      </c>
      <c r="C818" t="inlineStr">
        <is>
          <t>Волинська область</t>
        </is>
      </c>
      <c r="D818" s="5" t="n">
        <v>8</v>
      </c>
      <c r="E818" s="13" t="n">
        <v>42911</v>
      </c>
      <c r="F818" s="13" t="n">
        <v>42911</v>
      </c>
      <c r="G818" s="5" t="n">
        <v>1</v>
      </c>
      <c r="H818" s="13" t="n">
        <v>0</v>
      </c>
      <c r="I818" s="12" t="n">
        <v>0</v>
      </c>
    </row>
    <row r="819">
      <c r="A819" t="inlineStr">
        <is>
          <t>21747921</t>
        </is>
      </c>
      <c r="B819" t="inlineStr">
        <is>
          <t>Опорний заклад освіти "Кортеліський ліцей імені Василя Корнелюка Ратнівської селищної ради"</t>
        </is>
      </c>
      <c r="C819" t="inlineStr">
        <is>
          <t>Волинська область</t>
        </is>
      </c>
      <c r="D819" s="5" t="n">
        <v>1</v>
      </c>
      <c r="E819" s="13" t="n">
        <v>52000</v>
      </c>
      <c r="F819" s="13" t="n">
        <v>42000</v>
      </c>
      <c r="G819" s="5" t="n">
        <v>1</v>
      </c>
      <c r="H819" s="13" t="n">
        <v>0</v>
      </c>
      <c r="I819" s="12" t="n">
        <v>0</v>
      </c>
    </row>
    <row r="820">
      <c r="A820" t="inlineStr">
        <is>
          <t>02006662</t>
        </is>
      </c>
      <c r="B820" t="inlineStr">
        <is>
          <t>КП "Волинський обласний інформаційно-аналітичний центр медичної статистики" Волинської обласної ради</t>
        </is>
      </c>
      <c r="C820" t="inlineStr">
        <is>
          <t>Волинська область</t>
        </is>
      </c>
      <c r="D820" s="5" t="n">
        <v>4</v>
      </c>
      <c r="E820" s="13" t="n">
        <v>41913</v>
      </c>
      <c r="F820" s="13" t="n">
        <v>41913</v>
      </c>
      <c r="G820" s="5" t="n">
        <v>2</v>
      </c>
      <c r="H820" s="13" t="n">
        <v>0</v>
      </c>
      <c r="I820" s="12" t="n">
        <v>0</v>
      </c>
    </row>
    <row r="821">
      <c r="A821" t="inlineStr">
        <is>
          <t>44045831</t>
        </is>
      </c>
      <c r="B821" t="inlineStr">
        <is>
          <t>Відділ фінансів Шацької селищної ради</t>
        </is>
      </c>
      <c r="C821" t="inlineStr">
        <is>
          <t>Волинська область</t>
        </is>
      </c>
      <c r="D821" s="5" t="n">
        <v>2</v>
      </c>
      <c r="E821" s="13" t="n">
        <v>41400</v>
      </c>
      <c r="F821" s="13" t="n">
        <v>41400</v>
      </c>
      <c r="G821" s="5" t="n">
        <v>1</v>
      </c>
      <c r="H821" s="13" t="n">
        <v>0</v>
      </c>
      <c r="I821" s="12" t="n">
        <v>0</v>
      </c>
    </row>
    <row r="822">
      <c r="A822" t="inlineStr">
        <is>
          <t>43907753</t>
        </is>
      </c>
      <c r="B822" t="inlineStr">
        <is>
          <t>ВІДДІЛ ФІНАНСІВ КАМІНЬ-КАШИРСЬКОЇ МІСЬКОЇ РАДИ</t>
        </is>
      </c>
      <c r="C822" t="inlineStr">
        <is>
          <t>Волинська область</t>
        </is>
      </c>
      <c r="D822" s="5" t="n">
        <v>1</v>
      </c>
      <c r="E822" s="13" t="n">
        <v>41400</v>
      </c>
      <c r="F822" s="13" t="n">
        <v>41400</v>
      </c>
      <c r="G822" s="5" t="n">
        <v>1</v>
      </c>
      <c r="H822" s="13" t="n">
        <v>0</v>
      </c>
      <c r="I822" s="12" t="n">
        <v>0</v>
      </c>
    </row>
    <row r="823">
      <c r="A823" t="inlineStr">
        <is>
          <t>45530940</t>
        </is>
      </c>
      <c r="B823" t="inlineStr">
        <is>
          <t>КОМУНАЛЬНА УСТАНОВА "ЦЕНТР НАДАННЯ СОЦІАЛЬНИХ ПОСЛУГ" ПІДГАЙЦІВСЬКОЇ СІЛЬСЬКОЇ РАДИ</t>
        </is>
      </c>
      <c r="C823" t="inlineStr">
        <is>
          <t>Волинська область</t>
        </is>
      </c>
      <c r="D823" s="5" t="n">
        <v>2</v>
      </c>
      <c r="E823" s="13" t="n">
        <v>40873</v>
      </c>
      <c r="F823" s="13" t="n">
        <v>40873</v>
      </c>
      <c r="G823" s="5" t="n">
        <v>1</v>
      </c>
      <c r="H823" s="13" t="n">
        <v>0</v>
      </c>
      <c r="I823" s="12" t="n">
        <v>0</v>
      </c>
    </row>
    <row r="824">
      <c r="A824" t="inlineStr">
        <is>
          <t>04051262</t>
        </is>
      </c>
      <c r="B824" t="inlineStr">
        <is>
          <t>Берестечківська міська рада</t>
        </is>
      </c>
      <c r="C824" t="inlineStr">
        <is>
          <t>Волинська область</t>
        </is>
      </c>
      <c r="D824" s="5" t="n">
        <v>5</v>
      </c>
      <c r="E824" s="13" t="n">
        <v>40780</v>
      </c>
      <c r="F824" s="13" t="n">
        <v>40780</v>
      </c>
      <c r="G824" s="5" t="n">
        <v>2</v>
      </c>
      <c r="H824" s="13" t="n">
        <v>0</v>
      </c>
      <c r="I824" s="12" t="n">
        <v>0</v>
      </c>
    </row>
    <row r="825">
      <c r="A825" t="inlineStr">
        <is>
          <t>23018965</t>
        </is>
      </c>
      <c r="B825" t="inlineStr">
        <is>
          <t>ЛУДИНСЬКА ГІМНАЗІЯ УСТИЛУЗЬКОЇ МІСЬКОЇ РАДИ ВОЛИНСЬКОЇ ОБЛАСТІ</t>
        </is>
      </c>
      <c r="C825" t="inlineStr">
        <is>
          <t>Волинська область</t>
        </is>
      </c>
      <c r="D825" s="5" t="n">
        <v>2</v>
      </c>
      <c r="E825" s="13" t="n">
        <v>40684</v>
      </c>
      <c r="F825" s="13" t="n">
        <v>40684</v>
      </c>
      <c r="G825" s="5" t="n">
        <v>1</v>
      </c>
      <c r="H825" s="13" t="n">
        <v>0</v>
      </c>
      <c r="I825" s="12" t="n">
        <v>0</v>
      </c>
    </row>
    <row r="826">
      <c r="A826" t="inlineStr">
        <is>
          <t>13347923</t>
        </is>
      </c>
      <c r="B826" t="inlineStr">
        <is>
          <t>Адміністрація Державного історико-культурного заповідника у м. Луцьку</t>
        </is>
      </c>
      <c r="C826" t="inlineStr">
        <is>
          <t>Волинська область</t>
        </is>
      </c>
      <c r="D826" s="5" t="n">
        <v>1</v>
      </c>
      <c r="E826" s="13" t="n">
        <v>40355</v>
      </c>
      <c r="F826" s="13" t="n">
        <v>40355</v>
      </c>
      <c r="G826" s="5" t="n">
        <v>1</v>
      </c>
      <c r="H826" s="13" t="n">
        <v>0</v>
      </c>
      <c r="I826" s="12" t="n">
        <v>0</v>
      </c>
    </row>
    <row r="827">
      <c r="A827" t="inlineStr">
        <is>
          <t>37950294</t>
        </is>
      </c>
      <c r="B827" t="inlineStr">
        <is>
          <t>Володимир-Волинське управління Державної казначейської служби України Волинської області</t>
        </is>
      </c>
      <c r="C827" t="inlineStr">
        <is>
          <t>Волинська область</t>
        </is>
      </c>
      <c r="D827" s="5" t="n">
        <v>1</v>
      </c>
      <c r="E827" s="13" t="n">
        <v>39998</v>
      </c>
      <c r="F827" s="13" t="n">
        <v>39998</v>
      </c>
      <c r="G827" s="5" t="n">
        <v>1</v>
      </c>
      <c r="H827" s="13" t="n">
        <v>0</v>
      </c>
      <c r="I827" s="12" t="n">
        <v>0</v>
      </c>
    </row>
    <row r="828">
      <c r="A828" t="inlineStr">
        <is>
          <t>44167291</t>
        </is>
      </c>
      <c r="B828" t="inlineStr">
        <is>
          <t>Відділ освіти, культури, молоді та спорту Іваничівської селищної ради</t>
        </is>
      </c>
      <c r="C828" t="inlineStr">
        <is>
          <t>Волинська область</t>
        </is>
      </c>
      <c r="D828" s="5" t="n">
        <v>1</v>
      </c>
      <c r="E828" s="13" t="n">
        <v>39000</v>
      </c>
      <c r="F828" s="13" t="n">
        <v>39000</v>
      </c>
      <c r="G828" s="5" t="n">
        <v>1</v>
      </c>
      <c r="H828" s="13" t="n">
        <v>0</v>
      </c>
      <c r="I828" s="12" t="n">
        <v>0</v>
      </c>
    </row>
    <row r="829">
      <c r="A829" t="inlineStr">
        <is>
          <t>37940181</t>
        </is>
      </c>
      <c r="B829" t="inlineStr">
        <is>
          <t>Управління Державної казначейської служби України в Іваничівському районі Волинської області</t>
        </is>
      </c>
      <c r="C829" t="inlineStr">
        <is>
          <t>Волинська область</t>
        </is>
      </c>
      <c r="D829" s="5" t="n">
        <v>1</v>
      </c>
      <c r="E829" s="13" t="n">
        <v>39000</v>
      </c>
      <c r="F829" s="13" t="n">
        <v>39000</v>
      </c>
      <c r="G829" s="5" t="n">
        <v>1</v>
      </c>
      <c r="H829" s="13" t="n">
        <v>0</v>
      </c>
      <c r="I829" s="12" t="n">
        <v>0</v>
      </c>
    </row>
    <row r="830">
      <c r="A830" t="inlineStr">
        <is>
          <t>23252081</t>
        </is>
      </c>
      <c r="B830" t="inlineStr">
        <is>
          <t>Державна реабілітаційна установа "Центр комплексної реабілітації для дітей з інвалідністю "Пролісок"</t>
        </is>
      </c>
      <c r="C830" t="inlineStr">
        <is>
          <t>Волинська область</t>
        </is>
      </c>
      <c r="D830" s="5" t="n">
        <v>6</v>
      </c>
      <c r="E830" s="13" t="n">
        <v>38914</v>
      </c>
      <c r="F830" s="13" t="n">
        <v>38914</v>
      </c>
      <c r="G830" s="5" t="n">
        <v>2</v>
      </c>
      <c r="H830" s="13" t="n">
        <v>0</v>
      </c>
      <c r="I830" s="12" t="n">
        <v>0</v>
      </c>
    </row>
    <row r="831">
      <c r="A831" t="inlineStr">
        <is>
          <t>21747967</t>
        </is>
      </c>
      <c r="B831" t="inlineStr">
        <is>
          <t>Опорний заклад освіти "Ратнівський ліцей № 1 імені Героя України Едуарда Камардіна Ратнівської селищної ради"</t>
        </is>
      </c>
      <c r="C831" t="inlineStr">
        <is>
          <t>Волинська область</t>
        </is>
      </c>
      <c r="D831" s="5" t="n">
        <v>4</v>
      </c>
      <c r="E831" s="13" t="n">
        <v>53398</v>
      </c>
      <c r="F831" s="13" t="n">
        <v>38018</v>
      </c>
      <c r="G831" s="5" t="n">
        <v>2</v>
      </c>
      <c r="H831" s="13" t="n">
        <v>0</v>
      </c>
      <c r="I831" s="12" t="n">
        <v>0</v>
      </c>
    </row>
    <row r="832">
      <c r="A832" t="inlineStr">
        <is>
          <t>21732569</t>
        </is>
      </c>
      <c r="B832" t="inlineStr">
        <is>
          <t>Хворостівський ліцей Вишнівської сільської ради</t>
        </is>
      </c>
      <c r="C832" t="inlineStr">
        <is>
          <t>Волинська область</t>
        </is>
      </c>
      <c r="D832" s="5" t="n">
        <v>2</v>
      </c>
      <c r="E832" s="13" t="n">
        <v>37575</v>
      </c>
      <c r="F832" s="13" t="n">
        <v>37575</v>
      </c>
      <c r="G832" s="5" t="n">
        <v>1</v>
      </c>
      <c r="H832" s="13" t="n">
        <v>0</v>
      </c>
      <c r="I832" s="12" t="n">
        <v>0</v>
      </c>
    </row>
    <row r="833">
      <c r="A833" t="inlineStr">
        <is>
          <t>44050911</t>
        </is>
      </c>
      <c r="B833" t="inlineStr">
        <is>
          <t>ФІНАНСОВЕ УПРАВЛІННЯ КІВЕРЦІВСЬКОЇ МІСЬКОЇ РАДИ</t>
        </is>
      </c>
      <c r="C833" t="inlineStr">
        <is>
          <t>Волинська область</t>
        </is>
      </c>
      <c r="D833" s="5" t="n">
        <v>3</v>
      </c>
      <c r="E833" s="13" t="n">
        <v>37455</v>
      </c>
      <c r="F833" s="13" t="n">
        <v>37455</v>
      </c>
      <c r="G833" s="5" t="n">
        <v>1</v>
      </c>
      <c r="H833" s="13" t="n">
        <v>0</v>
      </c>
      <c r="I833" s="12" t="n">
        <v>0</v>
      </c>
    </row>
    <row r="834">
      <c r="A834" t="inlineStr">
        <is>
          <t>03339064</t>
        </is>
      </c>
      <c r="B834" t="inlineStr">
        <is>
          <t>КП "УПРАВЛЯЮЧА ЖИТЛОВА КОМПАНІЯ" ВОЛОДИМИРСЬКОЇ МІСЬКОЇ РАДИ</t>
        </is>
      </c>
      <c r="C834" t="inlineStr">
        <is>
          <t>Волинська область</t>
        </is>
      </c>
      <c r="D834" s="5" t="n">
        <v>3</v>
      </c>
      <c r="E834" s="13" t="n">
        <v>37220</v>
      </c>
      <c r="F834" s="13" t="n">
        <v>37220</v>
      </c>
      <c r="G834" s="5" t="n">
        <v>2</v>
      </c>
      <c r="H834" s="13" t="n">
        <v>0</v>
      </c>
      <c r="I834" s="12" t="n">
        <v>0</v>
      </c>
    </row>
    <row r="835">
      <c r="A835" t="inlineStr">
        <is>
          <t>30659101</t>
        </is>
      </c>
      <c r="B835" t="inlineStr">
        <is>
          <t>Луцьке спеціальне комунальне автотранспортне підприємство "ЛУЦЬКСПЕЦКОМУНТРАНС"</t>
        </is>
      </c>
      <c r="C835" t="inlineStr">
        <is>
          <t>Волинська область</t>
        </is>
      </c>
      <c r="D835" s="5" t="n">
        <v>5</v>
      </c>
      <c r="E835" s="13" t="n">
        <v>36882.91</v>
      </c>
      <c r="F835" s="13" t="n">
        <v>36882.91</v>
      </c>
      <c r="G835" s="5" t="n">
        <v>3</v>
      </c>
      <c r="H835" s="13" t="n">
        <v>0</v>
      </c>
      <c r="I835" s="12" t="n">
        <v>0</v>
      </c>
    </row>
    <row r="836">
      <c r="A836" t="inlineStr">
        <is>
          <t>43887257</t>
        </is>
      </c>
      <c r="B836" t="inlineStr">
        <is>
          <t>КОМУНАЛЬНЕ НЕКОМЕРЦІЙНЕ ГОСПОДАРСЬКЕ ОБ'ЄДНАННЯ «ТРАНСКОРДОННИЙ ЦЕНТР ДІАЛОГУ КУЛЬТУР ІМЕНІ ГЕТЬМАНІВ РУЖИНСЬКИХ» КОВЕЛЬСЬКОЇ МІСЬКОЇ РАДИ ВОЛИНСЬКОЇ ОБЛАСТІ</t>
        </is>
      </c>
      <c r="C836" t="inlineStr">
        <is>
          <t>Волинська область</t>
        </is>
      </c>
      <c r="D836" s="5" t="n">
        <v>1</v>
      </c>
      <c r="E836" s="13" t="n">
        <v>34995</v>
      </c>
      <c r="F836" s="13" t="n">
        <v>34995</v>
      </c>
      <c r="G836" s="5" t="n">
        <v>1</v>
      </c>
      <c r="H836" s="13" t="n">
        <v>0</v>
      </c>
      <c r="I836" s="12" t="n">
        <v>0</v>
      </c>
    </row>
    <row r="837">
      <c r="A837" t="inlineStr">
        <is>
          <t>38527740</t>
        </is>
      </c>
      <c r="B837" t="inlineStr">
        <is>
          <t>УПРАВЛІННЯ МІСТОБУДУВАННЯ ТА АРХІТЕКТУРИ ВОЛИНСЬКОЇ ОБЛАСНОЇ ДЕРЖАВНОЇ АДМІНІСТРАЦІЇ</t>
        </is>
      </c>
      <c r="C837" t="inlineStr">
        <is>
          <t>Волинська область</t>
        </is>
      </c>
      <c r="D837" s="5" t="n">
        <v>4</v>
      </c>
      <c r="E837" s="13" t="n">
        <v>34744</v>
      </c>
      <c r="F837" s="13" t="n">
        <v>34744</v>
      </c>
      <c r="G837" s="5" t="n">
        <v>3</v>
      </c>
      <c r="H837" s="13" t="n">
        <v>0</v>
      </c>
      <c r="I837" s="12" t="n">
        <v>0</v>
      </c>
    </row>
    <row r="838">
      <c r="A838" t="inlineStr">
        <is>
          <t>45867976</t>
        </is>
      </c>
      <c r="B838" t="inlineStr">
        <is>
          <t>Комунальна установа "Центр надання соціальних послуг" Городищенської сільської ради</t>
        </is>
      </c>
      <c r="C838" t="inlineStr">
        <is>
          <t>Волинська область</t>
        </is>
      </c>
      <c r="D838" s="5" t="n">
        <v>2</v>
      </c>
      <c r="E838" s="13" t="n">
        <v>34000</v>
      </c>
      <c r="F838" s="13" t="n">
        <v>34000</v>
      </c>
      <c r="G838" s="5" t="n">
        <v>1</v>
      </c>
      <c r="H838" s="13" t="n">
        <v>0</v>
      </c>
      <c r="I838" s="12" t="n">
        <v>0</v>
      </c>
    </row>
    <row r="839">
      <c r="A839" t="inlineStr">
        <is>
          <t>21754068</t>
        </is>
      </c>
      <c r="B839" t="inlineStr">
        <is>
          <t>Комунальний заклад загальної середньої освіти "Шепельська гімназія № 39 Луцької міської ради"</t>
        </is>
      </c>
      <c r="C839" t="inlineStr">
        <is>
          <t>Волинська область</t>
        </is>
      </c>
      <c r="D839" s="5" t="n">
        <v>1</v>
      </c>
      <c r="E839" s="13" t="n">
        <v>34000</v>
      </c>
      <c r="F839" s="13" t="n">
        <v>34000</v>
      </c>
      <c r="G839" s="5" t="n">
        <v>1</v>
      </c>
      <c r="H839" s="13" t="n">
        <v>0</v>
      </c>
      <c r="I839" s="12" t="n">
        <v>0</v>
      </c>
    </row>
    <row r="840">
      <c r="A840" t="inlineStr">
        <is>
          <t>20139094</t>
        </is>
      </c>
      <c r="B840" t="inlineStr">
        <is>
          <t>Володимирcька спеціальна школа Волинської обласної ради</t>
        </is>
      </c>
      <c r="C840" t="inlineStr">
        <is>
          <t>Волинська область</t>
        </is>
      </c>
      <c r="D840" s="5" t="n">
        <v>2</v>
      </c>
      <c r="E840" s="13" t="n">
        <v>33260</v>
      </c>
      <c r="F840" s="13" t="n">
        <v>33260</v>
      </c>
      <c r="G840" s="5" t="n">
        <v>2</v>
      </c>
      <c r="H840" s="13" t="n">
        <v>0</v>
      </c>
      <c r="I840" s="12" t="n">
        <v>0</v>
      </c>
    </row>
    <row r="841">
      <c r="A841" t="inlineStr">
        <is>
          <t>03339408</t>
        </is>
      </c>
      <c r="B841" t="inlineStr">
        <is>
          <t>КП "ЛЮБОМЛЬСЬКЕ ЖИТЛОВО-КОМУНАЛЬНЕ ГОСПОДАРСТВО"</t>
        </is>
      </c>
      <c r="C841" t="inlineStr">
        <is>
          <t>Волинська область</t>
        </is>
      </c>
      <c r="D841" s="5" t="n">
        <v>1</v>
      </c>
      <c r="E841" s="13" t="n">
        <v>32682</v>
      </c>
      <c r="F841" s="13" t="n">
        <v>32682</v>
      </c>
      <c r="G841" s="5" t="n">
        <v>1</v>
      </c>
      <c r="H841" s="13" t="n">
        <v>0</v>
      </c>
      <c r="I841" s="12" t="n">
        <v>0</v>
      </c>
    </row>
    <row r="842">
      <c r="A842" t="inlineStr">
        <is>
          <t>41834292</t>
        </is>
      </c>
      <c r="B842" t="inlineStr">
        <is>
          <t>ГУМАНІТАРНИЙ ВІДДІЛ ВИКОНАВЧОГО КОМІТЕТУ ГОЛОБСЬКОЇ СЕЛИЩНОЇ РАДИ</t>
        </is>
      </c>
      <c r="C842" t="inlineStr">
        <is>
          <t>Волинська область</t>
        </is>
      </c>
      <c r="D842" s="5" t="n">
        <v>1</v>
      </c>
      <c r="E842" s="13" t="n">
        <v>32598</v>
      </c>
      <c r="F842" s="13" t="n">
        <v>32598</v>
      </c>
      <c r="G842" s="5" t="n">
        <v>1</v>
      </c>
      <c r="H842" s="13" t="n">
        <v>0</v>
      </c>
      <c r="I842" s="12" t="n">
        <v>0</v>
      </c>
    </row>
    <row r="843">
      <c r="A843" t="inlineStr">
        <is>
          <t>44092263</t>
        </is>
      </c>
      <c r="B843" t="inlineStr">
        <is>
          <t>ФІНАНСОВИЙ ВІДДІЛ КОЛКІВСЬКОЇ СЕЛИЩНОЇ РАДИ</t>
        </is>
      </c>
      <c r="C843" t="inlineStr">
        <is>
          <t>Волинська область</t>
        </is>
      </c>
      <c r="D843" s="5" t="n">
        <v>3</v>
      </c>
      <c r="E843" s="13" t="n">
        <v>31994</v>
      </c>
      <c r="F843" s="13" t="n">
        <v>31994</v>
      </c>
      <c r="G843" s="5" t="n">
        <v>1</v>
      </c>
      <c r="H843" s="13" t="n">
        <v>0</v>
      </c>
      <c r="I843" s="12" t="n">
        <v>0</v>
      </c>
    </row>
    <row r="844">
      <c r="A844" t="inlineStr">
        <is>
          <t>20140074</t>
        </is>
      </c>
      <c r="B844" t="inlineStr">
        <is>
          <t>КЗ ЗЗСО №31</t>
        </is>
      </c>
      <c r="C844" t="inlineStr">
        <is>
          <t>Волинська область</t>
        </is>
      </c>
      <c r="D844" s="5" t="n">
        <v>4</v>
      </c>
      <c r="E844" s="13" t="n">
        <v>31237</v>
      </c>
      <c r="F844" s="13" t="n">
        <v>31237</v>
      </c>
      <c r="G844" s="5" t="n">
        <v>2</v>
      </c>
      <c r="H844" s="13" t="n">
        <v>0</v>
      </c>
      <c r="I844" s="12" t="n">
        <v>0</v>
      </c>
    </row>
    <row r="845">
      <c r="A845" t="inlineStr">
        <is>
          <t>13366926</t>
        </is>
      </c>
      <c r="B845" t="inlineStr">
        <is>
          <t>Волинська обласна державна адміністрація</t>
        </is>
      </c>
      <c r="C845" t="inlineStr">
        <is>
          <t>Волинська область</t>
        </is>
      </c>
      <c r="D845" s="5" t="n">
        <v>2</v>
      </c>
      <c r="E845" s="13" t="n">
        <v>31041.8</v>
      </c>
      <c r="F845" s="13" t="n">
        <v>31041.8</v>
      </c>
      <c r="G845" s="5" t="n">
        <v>2</v>
      </c>
      <c r="H845" s="13" t="n">
        <v>0</v>
      </c>
      <c r="I845" s="12" t="n">
        <v>0</v>
      </c>
    </row>
    <row r="846">
      <c r="A846" t="inlineStr">
        <is>
          <t>44382088</t>
        </is>
      </c>
      <c r="B846" t="inlineStr">
        <is>
          <t>Римачівський заклад дошкільної освіти Вишнівської сільської ради</t>
        </is>
      </c>
      <c r="C846" t="inlineStr">
        <is>
          <t>Волинська область</t>
        </is>
      </c>
      <c r="D846" s="5" t="n">
        <v>1</v>
      </c>
      <c r="E846" s="13" t="n">
        <v>31000</v>
      </c>
      <c r="F846" s="13" t="n">
        <v>31000</v>
      </c>
      <c r="G846" s="5" t="n">
        <v>1</v>
      </c>
      <c r="H846" s="13" t="n">
        <v>0</v>
      </c>
      <c r="I846" s="12" t="n">
        <v>0</v>
      </c>
    </row>
    <row r="847">
      <c r="A847" t="inlineStr">
        <is>
          <t>39122149</t>
        </is>
      </c>
      <c r="B847" t="inlineStr">
        <is>
          <t>КОРШОВЕЦЬКИЙ ЗАКЛАД ДОШКІЛЬНОЇ ОСВІТИ (ЯСЛА-САДОК) "СОНЕЧКО" БОРАТИНСЬКОЇ СІЛЬСЬКОЇ РАДИ</t>
        </is>
      </c>
      <c r="C847" t="inlineStr">
        <is>
          <t>Волинська область</t>
        </is>
      </c>
      <c r="D847" s="5" t="n">
        <v>1</v>
      </c>
      <c r="E847" s="13" t="n">
        <v>30000</v>
      </c>
      <c r="F847" s="13" t="n">
        <v>30000</v>
      </c>
      <c r="G847" s="5" t="n">
        <v>1</v>
      </c>
      <c r="H847" s="13" t="n">
        <v>0</v>
      </c>
      <c r="I847" s="12" t="n">
        <v>0</v>
      </c>
    </row>
    <row r="848">
      <c r="A848" t="inlineStr">
        <is>
          <t>44557260</t>
        </is>
      </c>
      <c r="B848" t="inlineStr">
        <is>
          <t>Відділ освіти, культури, молоді, спорту та туризму Олицької міської ради</t>
        </is>
      </c>
      <c r="C848" t="inlineStr">
        <is>
          <t>Волинська область</t>
        </is>
      </c>
      <c r="D848" s="5" t="n">
        <v>6</v>
      </c>
      <c r="E848" s="13" t="n">
        <v>28810</v>
      </c>
      <c r="F848" s="13" t="n">
        <v>28810</v>
      </c>
      <c r="G848" s="5" t="n">
        <v>3</v>
      </c>
      <c r="H848" s="13" t="n">
        <v>0</v>
      </c>
      <c r="I848" s="12" t="n">
        <v>0</v>
      </c>
    </row>
    <row r="849">
      <c r="A849" t="inlineStr">
        <is>
          <t>36604608</t>
        </is>
      </c>
      <c r="B849" t="inlineStr">
        <is>
          <t>Рованцівський ліцей Боратинської сільської ради</t>
        </is>
      </c>
      <c r="C849" t="inlineStr">
        <is>
          <t>Волинська область</t>
        </is>
      </c>
      <c r="D849" s="5" t="n">
        <v>3</v>
      </c>
      <c r="E849" s="13" t="n">
        <v>28585</v>
      </c>
      <c r="F849" s="13" t="n">
        <v>28585</v>
      </c>
      <c r="G849" s="5" t="n">
        <v>2</v>
      </c>
      <c r="H849" s="13" t="n">
        <v>0</v>
      </c>
      <c r="I849" s="12" t="n">
        <v>0</v>
      </c>
    </row>
    <row r="850">
      <c r="A850" t="inlineStr">
        <is>
          <t>34572192</t>
        </is>
      </c>
      <c r="B850" t="inlineStr">
        <is>
          <t>Департамент житлово-комунального господарства Луцької міської ради</t>
        </is>
      </c>
      <c r="C850" t="inlineStr">
        <is>
          <t>Волинська область</t>
        </is>
      </c>
      <c r="D850" s="5" t="n">
        <v>7</v>
      </c>
      <c r="E850" s="13" t="n">
        <v>100100</v>
      </c>
      <c r="F850" s="13" t="n">
        <v>27632</v>
      </c>
      <c r="G850" s="5" t="n">
        <v>2</v>
      </c>
      <c r="H850" s="13" t="n">
        <v>0</v>
      </c>
      <c r="I850" s="12" t="n">
        <v>0</v>
      </c>
    </row>
    <row r="851">
      <c r="A851" t="inlineStr">
        <is>
          <t>01983163</t>
        </is>
      </c>
      <c r="B851" t="inlineStr">
        <is>
          <t>КП "Волинська обласна клінічна лікарня" Волинської обласної ради</t>
        </is>
      </c>
      <c r="C851" t="inlineStr">
        <is>
          <t>Волинська область</t>
        </is>
      </c>
      <c r="D851" s="5" t="n">
        <v>3</v>
      </c>
      <c r="E851" s="13" t="n">
        <v>32257.8</v>
      </c>
      <c r="F851" s="13" t="n">
        <v>27285.8</v>
      </c>
      <c r="G851" s="5" t="n">
        <v>3</v>
      </c>
      <c r="H851" s="13" t="n">
        <v>0</v>
      </c>
      <c r="I851" s="12" t="n">
        <v>0</v>
      </c>
    </row>
    <row r="852">
      <c r="A852" t="inlineStr">
        <is>
          <t>05391703</t>
        </is>
      </c>
      <c r="B852" t="inlineStr">
        <is>
          <t>КП «Володимирводоканал» Володимирської міської ради</t>
        </is>
      </c>
      <c r="C852" t="inlineStr">
        <is>
          <t>Волинська область</t>
        </is>
      </c>
      <c r="D852" s="5" t="n">
        <v>6</v>
      </c>
      <c r="E852" s="13" t="n">
        <v>27245</v>
      </c>
      <c r="F852" s="13" t="n">
        <v>27245</v>
      </c>
      <c r="G852" s="5" t="n">
        <v>2</v>
      </c>
      <c r="H852" s="13" t="n">
        <v>0</v>
      </c>
      <c r="I852" s="12" t="n">
        <v>0</v>
      </c>
    </row>
    <row r="853">
      <c r="A853" t="inlineStr">
        <is>
          <t>43944063</t>
        </is>
      </c>
      <c r="B853" t="inlineStr">
        <is>
          <t>Управління фінансів Горохівської міської ради</t>
        </is>
      </c>
      <c r="C853" t="inlineStr">
        <is>
          <t>Волинська область</t>
        </is>
      </c>
      <c r="D853" s="5" t="n">
        <v>1</v>
      </c>
      <c r="E853" s="13" t="n">
        <v>27000</v>
      </c>
      <c r="F853" s="13" t="n">
        <v>27000</v>
      </c>
      <c r="G853" s="5" t="n">
        <v>1</v>
      </c>
      <c r="H853" s="13" t="n">
        <v>0</v>
      </c>
      <c r="I853" s="12" t="n">
        <v>0</v>
      </c>
    </row>
    <row r="854">
      <c r="A854" t="inlineStr">
        <is>
          <t>26208086</t>
        </is>
      </c>
      <c r="B854" t="inlineStr">
        <is>
          <t>ВІДДІЛ ОХОРОНИ ЗДОРОВ'Я ВИКОНАВЧОГО КОМІТЕТУ КОВЕЛЬСЬКОЇ МІСЬКОЇ РАДИ</t>
        </is>
      </c>
      <c r="C854" t="inlineStr">
        <is>
          <t>Волинська область</t>
        </is>
      </c>
      <c r="D854" s="5" t="n">
        <v>1</v>
      </c>
      <c r="E854" s="13" t="n">
        <v>27000</v>
      </c>
      <c r="F854" s="13" t="n">
        <v>27000</v>
      </c>
      <c r="G854" s="5" t="n">
        <v>1</v>
      </c>
      <c r="H854" s="13" t="n">
        <v>0</v>
      </c>
      <c r="I854" s="12" t="n">
        <v>0</v>
      </c>
    </row>
    <row r="855">
      <c r="A855" t="inlineStr">
        <is>
          <t>21754358</t>
        </is>
      </c>
      <c r="B855" t="inlineStr">
        <is>
          <t>ПРОМІНСЬКА ГІМНАЗІЯ БОРАТИНСЬКОЇ СІЛЬСЬКОЇ РАДИ</t>
        </is>
      </c>
      <c r="C855" t="inlineStr">
        <is>
          <t>Волинська область</t>
        </is>
      </c>
      <c r="D855" s="5" t="n">
        <v>1</v>
      </c>
      <c r="E855" s="13" t="n">
        <v>26598</v>
      </c>
      <c r="F855" s="13" t="n">
        <v>26598</v>
      </c>
      <c r="G855" s="5" t="n">
        <v>1</v>
      </c>
      <c r="H855" s="13" t="n">
        <v>0</v>
      </c>
      <c r="I855" s="12" t="n">
        <v>0</v>
      </c>
    </row>
    <row r="856">
      <c r="A856" t="inlineStr">
        <is>
          <t>03339147</t>
        </is>
      </c>
      <c r="B856" t="inlineStr">
        <is>
          <t>МАНЕВИЦЬКЕ ВИРОБНИЧЕ УПРАВЛІННЯ ЖИТЛОВО-КОМУНАЛЬНОГО ГОСПОДАРСТВА</t>
        </is>
      </c>
      <c r="C856" t="inlineStr">
        <is>
          <t>Волинська область</t>
        </is>
      </c>
      <c r="D856" s="5" t="n">
        <v>3</v>
      </c>
      <c r="E856" s="13" t="n">
        <v>25980</v>
      </c>
      <c r="F856" s="13" t="n">
        <v>25980</v>
      </c>
      <c r="G856" s="5" t="n">
        <v>2</v>
      </c>
      <c r="H856" s="13" t="n">
        <v>0</v>
      </c>
      <c r="I856" s="12" t="n">
        <v>0</v>
      </c>
    </row>
    <row r="857">
      <c r="A857" t="inlineStr">
        <is>
          <t>44332084</t>
        </is>
      </c>
      <c r="B857" t="inlineStr">
        <is>
          <t>ВІДДІЛ СОЦІАЛЬНОГО ЗАХИСТУ НАСЕЛЕННЯ ТА ОХОРОНИ ЗДОРОВ'Я ІВАНИЧІВСЬКОЇ СЕЛИЩНОЇ РАДИ</t>
        </is>
      </c>
      <c r="C857" t="inlineStr">
        <is>
          <t>Волинська область</t>
        </is>
      </c>
      <c r="D857" s="5" t="n">
        <v>1</v>
      </c>
      <c r="E857" s="13" t="n">
        <v>25964</v>
      </c>
      <c r="F857" s="13" t="n">
        <v>25964</v>
      </c>
      <c r="G857" s="5" t="n">
        <v>1</v>
      </c>
      <c r="H857" s="13" t="n">
        <v>0</v>
      </c>
      <c r="I857" s="12" t="n">
        <v>0</v>
      </c>
    </row>
    <row r="858">
      <c r="A858" t="inlineStr">
        <is>
          <t>42255369</t>
        </is>
      </c>
      <c r="B858" t="inlineStr">
        <is>
          <t>ВОЛИНСЬКИЙ АПЕЛЯЦІЙНИЙ СУД</t>
        </is>
      </c>
      <c r="C858" t="inlineStr">
        <is>
          <t>Волинська область</t>
        </is>
      </c>
      <c r="D858" s="5" t="n">
        <v>3</v>
      </c>
      <c r="E858" s="13" t="n">
        <v>25210</v>
      </c>
      <c r="F858" s="13" t="n">
        <v>25210</v>
      </c>
      <c r="G858" s="5" t="n">
        <v>2</v>
      </c>
      <c r="H858" s="13" t="n">
        <v>0</v>
      </c>
      <c r="I858" s="12" t="n">
        <v>0</v>
      </c>
    </row>
    <row r="859">
      <c r="A859" t="inlineStr">
        <is>
          <t>44070255</t>
        </is>
      </c>
      <c r="B859" t="inlineStr">
        <is>
          <t>ВІДДІЛ ФІНАНСІВ СОШИЧНЕНСЬКОЇ СІЛЬСЬКОЇ РАДИ</t>
        </is>
      </c>
      <c r="C859" t="inlineStr">
        <is>
          <t>Волинська область</t>
        </is>
      </c>
      <c r="D859" s="5" t="n">
        <v>1</v>
      </c>
      <c r="E859" s="13" t="n">
        <v>24800</v>
      </c>
      <c r="F859" s="13" t="n">
        <v>24800</v>
      </c>
      <c r="G859" s="5" t="n">
        <v>1</v>
      </c>
      <c r="H859" s="13" t="n">
        <v>0</v>
      </c>
      <c r="I859" s="12" t="n">
        <v>0</v>
      </c>
    </row>
    <row r="860">
      <c r="A860" t="inlineStr">
        <is>
          <t>13369882</t>
        </is>
      </c>
      <c r="B860" t="inlineStr">
        <is>
          <t>Волинське обласне відділення Фонду соціального захисту осіб з інвалідністю</t>
        </is>
      </c>
      <c r="C860" t="inlineStr">
        <is>
          <t>Волинська область</t>
        </is>
      </c>
      <c r="D860" s="5" t="n">
        <v>4</v>
      </c>
      <c r="E860" s="13" t="n">
        <v>24097</v>
      </c>
      <c r="F860" s="13" t="n">
        <v>24097</v>
      </c>
      <c r="G860" s="5" t="n">
        <v>2</v>
      </c>
      <c r="H860" s="13" t="n">
        <v>0</v>
      </c>
      <c r="I860" s="12" t="n">
        <v>0</v>
      </c>
    </row>
    <row r="861">
      <c r="A861" t="inlineStr">
        <is>
          <t>21748033</t>
        </is>
      </c>
      <c r="B861" t="inlineStr">
        <is>
          <t>Бродівський ліцей Ратнівської селищної ради</t>
        </is>
      </c>
      <c r="C861" t="inlineStr">
        <is>
          <t>Волинська область</t>
        </is>
      </c>
      <c r="D861" s="5" t="n">
        <v>1</v>
      </c>
      <c r="E861" s="13" t="n">
        <v>24000</v>
      </c>
      <c r="F861" s="13" t="n">
        <v>24000</v>
      </c>
      <c r="G861" s="5" t="n">
        <v>1</v>
      </c>
      <c r="H861" s="13" t="n">
        <v>0</v>
      </c>
      <c r="I861" s="12" t="n">
        <v>0</v>
      </c>
    </row>
    <row r="862">
      <c r="A862" t="inlineStr">
        <is>
          <t>33990899</t>
        </is>
      </c>
      <c r="B862" t="inlineStr">
        <is>
          <t>КОМУНАЛЬНА УСТАНОВА "ВІДДІЛ СОЦІАЛЬНОГО РОЗВИТКУ ЗАКЛАДІВ ТА УСТАНОВ ОСВІТИ І НАУКИ"</t>
        </is>
      </c>
      <c r="C862" t="inlineStr">
        <is>
          <t>Волинська область</t>
        </is>
      </c>
      <c r="D862" s="5" t="n">
        <v>2</v>
      </c>
      <c r="E862" s="13" t="n">
        <v>23895</v>
      </c>
      <c r="F862" s="13" t="n">
        <v>23895</v>
      </c>
      <c r="G862" s="5" t="n">
        <v>1</v>
      </c>
      <c r="H862" s="13" t="n">
        <v>0</v>
      </c>
      <c r="I862" s="12" t="n">
        <v>0</v>
      </c>
    </row>
    <row r="863">
      <c r="A863" t="inlineStr">
        <is>
          <t>42305352</t>
        </is>
      </c>
      <c r="B863" t="inlineStr">
        <is>
          <t>КП «Володимирський центр первинної медичної допомоги» Володимирської міської ради</t>
        </is>
      </c>
      <c r="C863" t="inlineStr">
        <is>
          <t>Волинська область</t>
        </is>
      </c>
      <c r="D863" s="5" t="n">
        <v>4</v>
      </c>
      <c r="E863" s="13" t="n">
        <v>23688</v>
      </c>
      <c r="F863" s="13" t="n">
        <v>23688</v>
      </c>
      <c r="G863" s="5" t="n">
        <v>4</v>
      </c>
      <c r="H863" s="13" t="n">
        <v>0</v>
      </c>
      <c r="I863" s="12" t="n">
        <v>0</v>
      </c>
    </row>
    <row r="864">
      <c r="A864" t="inlineStr">
        <is>
          <t>05427482</t>
        </is>
      </c>
      <c r="B864" t="inlineStr">
        <is>
          <t>Волинський обласний центр зайнятості</t>
        </is>
      </c>
      <c r="C864" t="inlineStr">
        <is>
          <t>Волинська область</t>
        </is>
      </c>
      <c r="D864" s="5" t="n">
        <v>2</v>
      </c>
      <c r="E864" s="13" t="n">
        <v>23686</v>
      </c>
      <c r="F864" s="13" t="n">
        <v>23686</v>
      </c>
      <c r="G864" s="5" t="n">
        <v>2</v>
      </c>
      <c r="H864" s="13" t="n">
        <v>0</v>
      </c>
      <c r="I864" s="12" t="n">
        <v>0</v>
      </c>
    </row>
    <row r="865">
      <c r="A865" t="inlineStr">
        <is>
          <t>37887516</t>
        </is>
      </c>
      <c r="B865" t="inlineStr">
        <is>
          <t>КП Парки та сквери м.Луцька</t>
        </is>
      </c>
      <c r="C865" t="inlineStr">
        <is>
          <t>Волинська область</t>
        </is>
      </c>
      <c r="D865" s="5" t="n">
        <v>3</v>
      </c>
      <c r="E865" s="13" t="n">
        <v>23410</v>
      </c>
      <c r="F865" s="13" t="n">
        <v>23410</v>
      </c>
      <c r="G865" s="5" t="n">
        <v>2</v>
      </c>
      <c r="H865" s="13" t="n">
        <v>0</v>
      </c>
      <c r="I865" s="12" t="n">
        <v>0</v>
      </c>
    </row>
    <row r="866">
      <c r="A866" t="inlineStr">
        <is>
          <t>33731604</t>
        </is>
      </c>
      <c r="B866" t="inlineStr">
        <is>
          <t>КУ Трудовий архів Іваничівської селищної ради</t>
        </is>
      </c>
      <c r="C866" t="inlineStr">
        <is>
          <t>Волинська область</t>
        </is>
      </c>
      <c r="D866" s="5" t="n">
        <v>1</v>
      </c>
      <c r="E866" s="13" t="n">
        <v>23132.91</v>
      </c>
      <c r="F866" s="13" t="n">
        <v>23132.91</v>
      </c>
      <c r="G866" s="5" t="n">
        <v>1</v>
      </c>
      <c r="H866" s="13" t="n">
        <v>0</v>
      </c>
      <c r="I866" s="12" t="n">
        <v>0</v>
      </c>
    </row>
    <row r="867">
      <c r="A867" t="inlineStr">
        <is>
          <t>21733534</t>
        </is>
      </c>
      <c r="B867" t="inlineStr">
        <is>
          <t>КОМУНАЛЬНИЙ ЗАКЛАД ЗАГАЛЬНОЇ СЕРЕДНЬОЇ ОСВІТИ "ЛУЦЬКИЙ ЛІЦЕЙ №28 З ПОСИЛЕНОЮ ФІЗИЧНОЮ ПІДГОТОВКОЮ ЛУЦЬКОЇ МІСЬКОЇ РАДИ"</t>
        </is>
      </c>
      <c r="C867" t="inlineStr">
        <is>
          <t>Волинська область</t>
        </is>
      </c>
      <c r="D867" s="5" t="n">
        <v>1</v>
      </c>
      <c r="E867" s="13" t="n">
        <v>23000</v>
      </c>
      <c r="F867" s="13" t="n">
        <v>23000</v>
      </c>
      <c r="G867" s="5" t="n">
        <v>1</v>
      </c>
      <c r="H867" s="13" t="n">
        <v>0</v>
      </c>
      <c r="I867" s="12" t="n">
        <v>0</v>
      </c>
    </row>
    <row r="868">
      <c r="A868" t="inlineStr">
        <is>
          <t>43564564</t>
        </is>
      </c>
      <c r="B868" t="inlineStr">
        <is>
          <t>Департамент економіки, інвестиційної діяльності та регіональної політики Волинської ОДА</t>
        </is>
      </c>
      <c r="C868" t="inlineStr">
        <is>
          <t>Волинська область</t>
        </is>
      </c>
      <c r="D868" s="5" t="n">
        <v>3</v>
      </c>
      <c r="E868" s="13" t="n">
        <v>22940</v>
      </c>
      <c r="F868" s="13" t="n">
        <v>22940</v>
      </c>
      <c r="G868" s="5" t="n">
        <v>2</v>
      </c>
      <c r="H868" s="13" t="n">
        <v>0</v>
      </c>
      <c r="I868" s="12" t="n">
        <v>0</v>
      </c>
    </row>
    <row r="869">
      <c r="A869" t="inlineStr">
        <is>
          <t>33959450</t>
        </is>
      </c>
      <c r="B869" t="inlineStr">
        <is>
          <t>КОМУНАЛЬНА УСТАНОВА ВОЛИНСЬКИЙ ОБЛАСНИЙ ЦЕНТР СОЦІАЛЬНО-ПСИХОЛОГІЧНОЇ РЕАБІЛІТАЦІЇ ДІТЕЙ</t>
        </is>
      </c>
      <c r="C869" t="inlineStr">
        <is>
          <t>Волинська область</t>
        </is>
      </c>
      <c r="D869" s="5" t="n">
        <v>2</v>
      </c>
      <c r="E869" s="13" t="n">
        <v>22476.47</v>
      </c>
      <c r="F869" s="13" t="n">
        <v>22476.47</v>
      </c>
      <c r="G869" s="5" t="n">
        <v>2</v>
      </c>
      <c r="H869" s="13" t="n">
        <v>0</v>
      </c>
      <c r="I869" s="12" t="n">
        <v>0</v>
      </c>
    </row>
    <row r="870">
      <c r="A870" t="inlineStr">
        <is>
          <t>35963673</t>
        </is>
      </c>
      <c r="B870" t="inlineStr">
        <is>
          <t>КП "АВТОПАРКСЕРВІС"</t>
        </is>
      </c>
      <c r="C870" t="inlineStr">
        <is>
          <t>Волинська область</t>
        </is>
      </c>
      <c r="D870" s="5" t="n">
        <v>3</v>
      </c>
      <c r="E870" s="13" t="n">
        <v>22340</v>
      </c>
      <c r="F870" s="13" t="n">
        <v>22340</v>
      </c>
      <c r="G870" s="5" t="n">
        <v>2</v>
      </c>
      <c r="H870" s="13" t="n">
        <v>0</v>
      </c>
      <c r="I870" s="12" t="n">
        <v>0</v>
      </c>
    </row>
    <row r="871">
      <c r="A871" t="inlineStr">
        <is>
          <t>39000757</t>
        </is>
      </c>
      <c r="B871" t="inlineStr">
        <is>
          <t>Зорянський заклад дошкільної освіти Устилузької міської ради Волинської області</t>
        </is>
      </c>
      <c r="C871" t="inlineStr">
        <is>
          <t>Волинська область</t>
        </is>
      </c>
      <c r="D871" s="5" t="n">
        <v>1</v>
      </c>
      <c r="E871" s="13" t="n">
        <v>21843</v>
      </c>
      <c r="F871" s="13" t="n">
        <v>21843</v>
      </c>
      <c r="G871" s="5" t="n">
        <v>1</v>
      </c>
      <c r="H871" s="13" t="n">
        <v>0</v>
      </c>
      <c r="I871" s="12" t="n">
        <v>0</v>
      </c>
    </row>
    <row r="872">
      <c r="A872" t="inlineStr">
        <is>
          <t>01982904</t>
        </is>
      </c>
      <c r="B872" t="inlineStr">
        <is>
          <t>КНП "Іваничівська багатопрофільна лікарня"</t>
        </is>
      </c>
      <c r="C872" t="inlineStr">
        <is>
          <t>Волинська область</t>
        </is>
      </c>
      <c r="D872" s="5" t="n">
        <v>1</v>
      </c>
      <c r="E872" s="13" t="n">
        <v>23674</v>
      </c>
      <c r="F872" s="13" t="n">
        <v>21288</v>
      </c>
      <c r="G872" s="5" t="n">
        <v>1</v>
      </c>
      <c r="H872" s="13" t="n">
        <v>0</v>
      </c>
      <c r="I872" s="12" t="n">
        <v>0</v>
      </c>
    </row>
    <row r="873">
      <c r="A873" t="inlineStr">
        <is>
          <t>42426285</t>
        </is>
      </c>
      <c r="B873" t="inlineStr">
        <is>
          <t>УПРАВЛІННЯ ВНУТРІШНЬОГО АУДИТУ ВОЛИНСЬКОЇ ОБЛАСНОЇ ДЕРЖАВНОЇ АДМІНІСТРАЦІЇ</t>
        </is>
      </c>
      <c r="C873" t="inlineStr">
        <is>
          <t>Волинська область</t>
        </is>
      </c>
      <c r="D873" s="5" t="n">
        <v>2</v>
      </c>
      <c r="E873" s="13" t="n">
        <v>21175</v>
      </c>
      <c r="F873" s="13" t="n">
        <v>21175</v>
      </c>
      <c r="G873" s="5" t="n">
        <v>2</v>
      </c>
      <c r="H873" s="13" t="n">
        <v>0</v>
      </c>
      <c r="I873" s="12" t="n">
        <v>0</v>
      </c>
    </row>
    <row r="874">
      <c r="A874" t="inlineStr">
        <is>
          <t>13353993</t>
        </is>
      </c>
      <c r="B874" t="inlineStr">
        <is>
          <t>ВОЛОДИМИРСЬКИЙ СПОРТИВНИЙ ЛІЦЕЙ ВОЛИНСЬКОЇ ОБЛАСНОЇ РАДИ</t>
        </is>
      </c>
      <c r="C874" t="inlineStr">
        <is>
          <t>Волинська область</t>
        </is>
      </c>
      <c r="D874" s="5" t="n">
        <v>1</v>
      </c>
      <c r="E874" s="13" t="n">
        <v>21000</v>
      </c>
      <c r="F874" s="13" t="n">
        <v>21000</v>
      </c>
      <c r="G874" s="5" t="n">
        <v>1</v>
      </c>
      <c r="H874" s="13" t="n">
        <v>0</v>
      </c>
      <c r="I874" s="12" t="n">
        <v>0</v>
      </c>
    </row>
    <row r="875">
      <c r="A875" t="inlineStr">
        <is>
          <t>44047912</t>
        </is>
      </c>
      <c r="B875" t="inlineStr">
        <is>
          <t>УПРАВЛІННЯ ФІНАНСІВ ТА БУХГАЛТЕРСЬКОГО ОБЛІКУ ВИКОНАВЧОГО КОМІТЕТУ КОЛОДЯЖНЕНСЬКОЇ СІЛЬСЬКОЇ РАДИ</t>
        </is>
      </c>
      <c r="C875" t="inlineStr">
        <is>
          <t>Волинська область</t>
        </is>
      </c>
      <c r="D875" s="5" t="n">
        <v>2</v>
      </c>
      <c r="E875" s="13" t="n">
        <v>20839</v>
      </c>
      <c r="F875" s="13" t="n">
        <v>20839</v>
      </c>
      <c r="G875" s="5" t="n">
        <v>1</v>
      </c>
      <c r="H875" s="13" t="n">
        <v>0</v>
      </c>
      <c r="I875" s="12" t="n">
        <v>0</v>
      </c>
    </row>
    <row r="876">
      <c r="A876" t="inlineStr">
        <is>
          <t>44141080</t>
        </is>
      </c>
      <c r="B876" t="inlineStr">
        <is>
          <t>УПРАВЛІННЯ КАПІТАЛЬНОГО БУДІВНИЦТВА, ТРАНСПОРТУ, ЖИТЛОВО-КОМУНАЛЬНОГО ГОСПОДАРСТВА ТА КОМУНАЛЬНОГО МАЙНА КАМІНЬ-КАШИРСЬКОЇ МІСЬКОЇ РАДИ</t>
        </is>
      </c>
      <c r="C876" t="inlineStr">
        <is>
          <t>Волинська область</t>
        </is>
      </c>
      <c r="D876" s="5" t="n">
        <v>2</v>
      </c>
      <c r="E876" s="13" t="n">
        <v>18640</v>
      </c>
      <c r="F876" s="13" t="n">
        <v>18640</v>
      </c>
      <c r="G876" s="5" t="n">
        <v>1</v>
      </c>
      <c r="H876" s="13" t="n">
        <v>0</v>
      </c>
      <c r="I876" s="12" t="n">
        <v>0</v>
      </c>
    </row>
    <row r="877">
      <c r="A877" t="inlineStr">
        <is>
          <t>26415046</t>
        </is>
      </c>
      <c r="B877" t="inlineStr">
        <is>
          <t>Відокремлений структурний підрозділ "Технічний фаховий коледж Луцького національного технічного університету"</t>
        </is>
      </c>
      <c r="C877" t="inlineStr">
        <is>
          <t>Волинська область</t>
        </is>
      </c>
      <c r="D877" s="5" t="n">
        <v>4</v>
      </c>
      <c r="E877" s="13" t="n">
        <v>17579</v>
      </c>
      <c r="F877" s="13" t="n">
        <v>17579</v>
      </c>
      <c r="G877" s="5" t="n">
        <v>2</v>
      </c>
      <c r="H877" s="13" t="n">
        <v>0</v>
      </c>
      <c r="I877" s="12" t="n">
        <v>0</v>
      </c>
    </row>
    <row r="878">
      <c r="A878" t="inlineStr">
        <is>
          <t>04333141</t>
        </is>
      </c>
      <c r="B878" t="inlineStr">
        <is>
          <t>ГОЛОБСЬКА СЕЛИЩНА РАДА КОВЕЛЬСЬКОГО РАЙОНУ ВОЛИНСЬКОЇ ОБЛАСТІ</t>
        </is>
      </c>
      <c r="C878" t="inlineStr">
        <is>
          <t>Волинська область</t>
        </is>
      </c>
      <c r="D878" s="5" t="n">
        <v>3</v>
      </c>
      <c r="E878" s="13" t="n">
        <v>17519</v>
      </c>
      <c r="F878" s="13" t="n">
        <v>17519</v>
      </c>
      <c r="G878" s="5" t="n">
        <v>2</v>
      </c>
      <c r="H878" s="13" t="n">
        <v>0</v>
      </c>
      <c r="I878" s="12" t="n">
        <v>0</v>
      </c>
    </row>
    <row r="879">
      <c r="A879" t="inlineStr">
        <is>
          <t>38960146</t>
        </is>
      </c>
      <c r="B879" t="inlineStr">
        <is>
          <t>КНП "ЛОКАЧИНСЬКИЙ ЦЕНТР ПЕРВИННОЇ МЕДИКО-САНІТАРНОЇ ДОПОМОГИ" Локачинської селищної ради</t>
        </is>
      </c>
      <c r="C879" t="inlineStr">
        <is>
          <t>Волинська область</t>
        </is>
      </c>
      <c r="D879" s="5" t="n">
        <v>1</v>
      </c>
      <c r="E879" s="13" t="n">
        <v>17500</v>
      </c>
      <c r="F879" s="13" t="n">
        <v>17500</v>
      </c>
      <c r="G879" s="5" t="n">
        <v>1</v>
      </c>
      <c r="H879" s="13" t="n">
        <v>0</v>
      </c>
      <c r="I879" s="12" t="n">
        <v>0</v>
      </c>
    </row>
    <row r="880">
      <c r="A880" t="inlineStr">
        <is>
          <t>20139837</t>
        </is>
      </c>
      <c r="B880" t="inlineStr">
        <is>
          <t>Комунальна установа "Центр надання соціальних послуг Ківерцівської міської ради"</t>
        </is>
      </c>
      <c r="C880" t="inlineStr">
        <is>
          <t>Волинська область</t>
        </is>
      </c>
      <c r="D880" s="5" t="n">
        <v>1</v>
      </c>
      <c r="E880" s="13" t="n">
        <v>17450</v>
      </c>
      <c r="F880" s="13" t="n">
        <v>17450</v>
      </c>
      <c r="G880" s="5" t="n">
        <v>1</v>
      </c>
      <c r="H880" s="13" t="n">
        <v>0</v>
      </c>
      <c r="I880" s="12" t="n">
        <v>0</v>
      </c>
    </row>
    <row r="881">
      <c r="A881" t="inlineStr">
        <is>
          <t>38580469</t>
        </is>
      </c>
      <c r="B881" t="inlineStr">
        <is>
          <t>Устилузька дитяча школа мистецтв-музей-садиба Ігоря Стравінського Устилузької міської ради</t>
        </is>
      </c>
      <c r="C881" t="inlineStr">
        <is>
          <t>Волинська область</t>
        </is>
      </c>
      <c r="D881" s="5" t="n">
        <v>1</v>
      </c>
      <c r="E881" s="13" t="n">
        <v>17265</v>
      </c>
      <c r="F881" s="13" t="n">
        <v>17265</v>
      </c>
      <c r="G881" s="5" t="n">
        <v>1</v>
      </c>
      <c r="H881" s="13" t="n">
        <v>0</v>
      </c>
      <c r="I881" s="12" t="n">
        <v>0</v>
      </c>
    </row>
    <row r="882">
      <c r="A882" t="inlineStr">
        <is>
          <t>45354664</t>
        </is>
      </c>
      <c r="B882" t="inlineStr">
        <is>
          <t>Управління "Центр надання адміністративних послуг" та соціального захисту населення Рожищенської міської ради</t>
        </is>
      </c>
      <c r="C882" t="inlineStr">
        <is>
          <t>Волинська область</t>
        </is>
      </c>
      <c r="D882" s="5" t="n">
        <v>2</v>
      </c>
      <c r="E882" s="13" t="n">
        <v>17030</v>
      </c>
      <c r="F882" s="13" t="n">
        <v>17030</v>
      </c>
      <c r="G882" s="5" t="n">
        <v>1</v>
      </c>
      <c r="H882" s="13" t="n">
        <v>0</v>
      </c>
      <c r="I882" s="12" t="n">
        <v>0</v>
      </c>
    </row>
    <row r="883">
      <c r="A883" t="inlineStr">
        <is>
          <t>03398983</t>
        </is>
      </c>
      <c r="B883" t="inlineStr">
        <is>
          <t>КП "Волинська обласна інфекційна лікарня" Волинської обласної ради</t>
        </is>
      </c>
      <c r="C883" t="inlineStr">
        <is>
          <t>Волинська область</t>
        </is>
      </c>
      <c r="D883" s="5" t="n">
        <v>6</v>
      </c>
      <c r="E883" s="13" t="n">
        <v>16725</v>
      </c>
      <c r="F883" s="13" t="n">
        <v>16725</v>
      </c>
      <c r="G883" s="5" t="n">
        <v>2</v>
      </c>
      <c r="H883" s="13" t="n">
        <v>0</v>
      </c>
      <c r="I883" s="12" t="n">
        <v>0</v>
      </c>
    </row>
    <row r="884">
      <c r="A884" t="inlineStr">
        <is>
          <t>40927506</t>
        </is>
      </c>
      <c r="B884" t="inlineStr">
        <is>
          <t>Виконавчий комітет Люблинецької селищної ради Ковельського району Волинської області</t>
        </is>
      </c>
      <c r="C884" t="inlineStr">
        <is>
          <t>Волинська область</t>
        </is>
      </c>
      <c r="D884" s="5" t="n">
        <v>1</v>
      </c>
      <c r="E884" s="13" t="n">
        <v>16200</v>
      </c>
      <c r="F884" s="13" t="n">
        <v>16200</v>
      </c>
      <c r="G884" s="5" t="n">
        <v>1</v>
      </c>
      <c r="H884" s="13" t="n">
        <v>0</v>
      </c>
      <c r="I884" s="12" t="n">
        <v>0</v>
      </c>
    </row>
    <row r="885">
      <c r="A885" t="inlineStr">
        <is>
          <t>08562660</t>
        </is>
      </c>
      <c r="B885" t="inlineStr">
        <is>
          <t>Державна установа "Маневицька виправна колонія (№42)"</t>
        </is>
      </c>
      <c r="C885" t="inlineStr">
        <is>
          <t>Волинська область</t>
        </is>
      </c>
      <c r="D885" s="5" t="n">
        <v>3</v>
      </c>
      <c r="E885" s="13" t="n">
        <v>16030</v>
      </c>
      <c r="F885" s="13" t="n">
        <v>16030</v>
      </c>
      <c r="G885" s="5" t="n">
        <v>3</v>
      </c>
      <c r="H885" s="13" t="n">
        <v>0</v>
      </c>
      <c r="I885" s="12" t="n">
        <v>0</v>
      </c>
    </row>
    <row r="886">
      <c r="A886" t="inlineStr">
        <is>
          <t>44151150</t>
        </is>
      </c>
      <c r="B886" t="inlineStr">
        <is>
          <t>ВІДДІЛ ФІНАНСІВ ЛОКАЧИНСЬКОЇ СЕЛИЩНОЇ РАДИ</t>
        </is>
      </c>
      <c r="C886" t="inlineStr">
        <is>
          <t>Волинська область</t>
        </is>
      </c>
      <c r="D886" s="5" t="n">
        <v>2</v>
      </c>
      <c r="E886" s="13" t="n">
        <v>15949</v>
      </c>
      <c r="F886" s="13" t="n">
        <v>15949</v>
      </c>
      <c r="G886" s="5" t="n">
        <v>2</v>
      </c>
      <c r="H886" s="13" t="n">
        <v>0</v>
      </c>
      <c r="I886" s="12" t="n">
        <v>0</v>
      </c>
    </row>
    <row r="887">
      <c r="A887" t="inlineStr">
        <is>
          <t>02141696</t>
        </is>
      </c>
      <c r="B887" t="inlineStr">
        <is>
          <t>УПРАВЛІННЯ ОСВІТИ ВИКОНАВЧОГО КОМІТЕТУ НОВОВОЛИНСЬКОЇ МІСЬКОЇ РАДИ ВОЛИНСЬКОЇ ОБЛАСТІ</t>
        </is>
      </c>
      <c r="C887" t="inlineStr">
        <is>
          <t>Волинська область</t>
        </is>
      </c>
      <c r="D887" s="5" t="n">
        <v>1</v>
      </c>
      <c r="E887" s="13" t="n">
        <v>17000</v>
      </c>
      <c r="F887" s="13" t="n">
        <v>15912</v>
      </c>
      <c r="G887" s="5" t="n">
        <v>1</v>
      </c>
      <c r="H887" s="13" t="n">
        <v>0</v>
      </c>
      <c r="I887" s="12" t="n">
        <v>0</v>
      </c>
    </row>
    <row r="888">
      <c r="A888" t="inlineStr">
        <is>
          <t>02540025</t>
        </is>
      </c>
      <c r="B888" t="inlineStr">
        <is>
          <t>Торчинський професійний ліцей</t>
        </is>
      </c>
      <c r="C888" t="inlineStr">
        <is>
          <t>Волинська область</t>
        </is>
      </c>
      <c r="D888" s="5" t="n">
        <v>5</v>
      </c>
      <c r="E888" s="13" t="n">
        <v>15671.35</v>
      </c>
      <c r="F888" s="13" t="n">
        <v>15671.35</v>
      </c>
      <c r="G888" s="5" t="n">
        <v>2</v>
      </c>
      <c r="H888" s="13" t="n">
        <v>0</v>
      </c>
      <c r="I888" s="12" t="n">
        <v>0</v>
      </c>
    </row>
    <row r="889">
      <c r="A889" t="inlineStr">
        <is>
          <t>43258822</t>
        </is>
      </c>
      <c r="B889" t="inlineStr">
        <is>
          <t>ТЕРИТОРІАЛЬНЕ УПРАВЛІННЯ СЛУЖБИ СУДОВОЇ ОХОРОНИ У ВОЛИНСЬКІЙ ОБЛАСТІ</t>
        </is>
      </c>
      <c r="C889" t="inlineStr">
        <is>
          <t>Волинська область</t>
        </is>
      </c>
      <c r="D889" s="5" t="n">
        <v>2</v>
      </c>
      <c r="E889" s="13" t="n">
        <v>15520</v>
      </c>
      <c r="F889" s="13" t="n">
        <v>15520</v>
      </c>
      <c r="G889" s="5" t="n">
        <v>2</v>
      </c>
      <c r="H889" s="13" t="n">
        <v>0</v>
      </c>
      <c r="I889" s="12" t="n">
        <v>0</v>
      </c>
    </row>
    <row r="890">
      <c r="A890" t="inlineStr">
        <is>
          <t>44365036</t>
        </is>
      </c>
      <c r="B890" t="inlineStr">
        <is>
          <t>Управління містобудування, архітектури та комунальних ресурсів виконавчого комітету Володимирської міської ради</t>
        </is>
      </c>
      <c r="C890" t="inlineStr">
        <is>
          <t>Волинська область</t>
        </is>
      </c>
      <c r="D890" s="5" t="n">
        <v>2</v>
      </c>
      <c r="E890" s="13" t="n">
        <v>15100</v>
      </c>
      <c r="F890" s="13" t="n">
        <v>15100</v>
      </c>
      <c r="G890" s="5" t="n">
        <v>1</v>
      </c>
      <c r="H890" s="13" t="n">
        <v>0</v>
      </c>
      <c r="I890" s="12" t="n">
        <v>0</v>
      </c>
    </row>
    <row r="891">
      <c r="A891" t="inlineStr">
        <is>
          <t>26414006</t>
        </is>
      </c>
      <c r="B891" t="inlineStr">
        <is>
          <t>Комунальний заклад загальної середньої освіти "Луцька гімназія №17 Луцької міської ради"</t>
        </is>
      </c>
      <c r="C891" t="inlineStr">
        <is>
          <t>Волинська область</t>
        </is>
      </c>
      <c r="D891" s="5" t="n">
        <v>1</v>
      </c>
      <c r="E891" s="13" t="n">
        <v>15000</v>
      </c>
      <c r="F891" s="13" t="n">
        <v>15000</v>
      </c>
      <c r="G891" s="5" t="n">
        <v>1</v>
      </c>
      <c r="H891" s="13" t="n">
        <v>0</v>
      </c>
      <c r="I891" s="12" t="n">
        <v>0</v>
      </c>
    </row>
    <row r="892">
      <c r="A892" t="inlineStr">
        <is>
          <t>02006679</t>
        </is>
      </c>
      <c r="B892" t="inlineStr">
        <is>
          <t>Державна спеціалізована установа "Волинське обласне бюро судово-медичної експертизи"</t>
        </is>
      </c>
      <c r="C892" t="inlineStr">
        <is>
          <t>Волинська область</t>
        </is>
      </c>
      <c r="D892" s="5" t="n">
        <v>7</v>
      </c>
      <c r="E892" s="13" t="n">
        <v>14429.9</v>
      </c>
      <c r="F892" s="13" t="n">
        <v>14429.9</v>
      </c>
      <c r="G892" s="5" t="n">
        <v>3</v>
      </c>
      <c r="H892" s="13" t="n">
        <v>0</v>
      </c>
      <c r="I892" s="12" t="n">
        <v>0</v>
      </c>
    </row>
    <row r="893">
      <c r="A893" t="inlineStr">
        <is>
          <t>03188197</t>
        </is>
      </c>
      <c r="B893" t="inlineStr">
        <is>
          <t>Олицький психоневрологічний інтернат</t>
        </is>
      </c>
      <c r="C893" t="inlineStr">
        <is>
          <t>Волинська область</t>
        </is>
      </c>
      <c r="D893" s="5" t="n">
        <v>1</v>
      </c>
      <c r="E893" s="13" t="n">
        <v>13700</v>
      </c>
      <c r="F893" s="13" t="n">
        <v>13700</v>
      </c>
      <c r="G893" s="5" t="n">
        <v>1</v>
      </c>
      <c r="H893" s="13" t="n">
        <v>0</v>
      </c>
      <c r="I893" s="12" t="n">
        <v>0</v>
      </c>
    </row>
    <row r="894">
      <c r="A894" t="inlineStr">
        <is>
          <t>38856054</t>
        </is>
      </c>
      <c r="B894" t="inlineStr">
        <is>
          <t>КП " ЛІКАРНЯ СВЯТОГО ПАНТЕЛЕЙМОНА КІВЕРЦІВСЬКОЇ МІСЬКОЇ РАДИ"</t>
        </is>
      </c>
      <c r="C894" t="inlineStr">
        <is>
          <t>Волинська область</t>
        </is>
      </c>
      <c r="D894" s="5" t="n">
        <v>2</v>
      </c>
      <c r="E894" s="13" t="n">
        <v>12654</v>
      </c>
      <c r="F894" s="13" t="n">
        <v>12654</v>
      </c>
      <c r="G894" s="5" t="n">
        <v>2</v>
      </c>
      <c r="H894" s="13" t="n">
        <v>0</v>
      </c>
      <c r="I894" s="12" t="n">
        <v>0</v>
      </c>
    </row>
    <row r="895">
      <c r="A895" t="inlineStr">
        <is>
          <t>21733043</t>
        </is>
      </c>
      <c r="B895" t="inlineStr">
        <is>
          <t>Волинський науковий ліцей Волинської обласної ради</t>
        </is>
      </c>
      <c r="C895" t="inlineStr">
        <is>
          <t>Волинська область</t>
        </is>
      </c>
      <c r="D895" s="5" t="n">
        <v>3</v>
      </c>
      <c r="E895" s="13" t="n">
        <v>12550</v>
      </c>
      <c r="F895" s="13" t="n">
        <v>12550</v>
      </c>
      <c r="G895" s="5" t="n">
        <v>1</v>
      </c>
      <c r="H895" s="13" t="n">
        <v>0</v>
      </c>
      <c r="I895" s="12" t="n">
        <v>0</v>
      </c>
    </row>
    <row r="896">
      <c r="A896" t="inlineStr">
        <is>
          <t>44258315</t>
        </is>
      </c>
      <c r="B896" t="inlineStr">
        <is>
          <t>Відділ освіти, молоді, спорту та охорони здоров'я Мар'янівської селищної ради (ВОМСОЗ)</t>
        </is>
      </c>
      <c r="C896" t="inlineStr">
        <is>
          <t>Волинська область</t>
        </is>
      </c>
      <c r="D896" s="5" t="n">
        <v>2</v>
      </c>
      <c r="E896" s="13" t="n">
        <v>12400</v>
      </c>
      <c r="F896" s="13" t="n">
        <v>12400</v>
      </c>
      <c r="G896" s="5" t="n">
        <v>2</v>
      </c>
      <c r="H896" s="13" t="n">
        <v>0</v>
      </c>
      <c r="I896" s="12" t="n">
        <v>0</v>
      </c>
    </row>
    <row r="897">
      <c r="A897" t="inlineStr">
        <is>
          <t>44461557</t>
        </is>
      </c>
      <c r="B897" t="inlineStr">
        <is>
          <t>КП при Олицькій міській раді</t>
        </is>
      </c>
      <c r="C897" t="inlineStr">
        <is>
          <t>Волинська область</t>
        </is>
      </c>
      <c r="D897" s="5" t="n">
        <v>1</v>
      </c>
      <c r="E897" s="13" t="n">
        <v>12000</v>
      </c>
      <c r="F897" s="13" t="n">
        <v>12000</v>
      </c>
      <c r="G897" s="5" t="n">
        <v>1</v>
      </c>
      <c r="H897" s="13" t="n">
        <v>0</v>
      </c>
      <c r="I897" s="12" t="n">
        <v>0</v>
      </c>
    </row>
    <row r="898">
      <c r="A898" t="inlineStr">
        <is>
          <t>26415247</t>
        </is>
      </c>
      <c r="B898" t="inlineStr">
        <is>
          <t>ОБ'ЄДНАНИЙ ТРУДОВИЙ АРХІВ СІЛ, СЕЛИЩА СТАРОВИЖІВСЬКОЇ СЕЛИЩНОЇ РАДИ</t>
        </is>
      </c>
      <c r="C898" t="inlineStr">
        <is>
          <t>Волинська область</t>
        </is>
      </c>
      <c r="D898" s="5" t="n">
        <v>1</v>
      </c>
      <c r="E898" s="13" t="n">
        <v>11890</v>
      </c>
      <c r="F898" s="13" t="n">
        <v>11890</v>
      </c>
      <c r="G898" s="5" t="n">
        <v>1</v>
      </c>
      <c r="H898" s="13" t="n">
        <v>0</v>
      </c>
      <c r="I898" s="12" t="n">
        <v>0</v>
      </c>
    </row>
    <row r="899">
      <c r="A899" t="inlineStr">
        <is>
          <t>35323247</t>
        </is>
      </c>
      <c r="B899" t="inlineStr">
        <is>
          <t>КП ПРИ ПІДГАЙЦІВСЬКІЙ СІЛЬСЬКІЙ РАДІ</t>
        </is>
      </c>
      <c r="C899" t="inlineStr">
        <is>
          <t>Волинська область</t>
        </is>
      </c>
      <c r="D899" s="5" t="n">
        <v>3</v>
      </c>
      <c r="E899" s="13" t="n">
        <v>11831</v>
      </c>
      <c r="F899" s="13" t="n">
        <v>11831</v>
      </c>
      <c r="G899" s="5" t="n">
        <v>3</v>
      </c>
      <c r="H899" s="13" t="n">
        <v>0</v>
      </c>
      <c r="I899" s="12" t="n">
        <v>0</v>
      </c>
    </row>
    <row r="900">
      <c r="A900" t="inlineStr">
        <is>
          <t>20140737</t>
        </is>
      </c>
      <c r="B900" t="inlineStr">
        <is>
          <t>КОМУНАЛЬНИЙ ЗАКЛАД ЗАГАЛЬНОЇ СЕРЕДНЬОЇ ОСВІТИ «РОЖИЩЕНСЬКА ГІМНАЗІЯ №1» РОЖИЩЕНСЬКОЇ МІСЬКОЇ РАДИ ЛУЦЬКОГО РАЙОНУ ВОЛИНСЬКОЇ ОБЛАСТІ</t>
        </is>
      </c>
      <c r="C900" t="inlineStr">
        <is>
          <t>Волинська область</t>
        </is>
      </c>
      <c r="D900" s="5" t="n">
        <v>4</v>
      </c>
      <c r="E900" s="13" t="n">
        <v>55430</v>
      </c>
      <c r="F900" s="13" t="n">
        <v>11680</v>
      </c>
      <c r="G900" s="5" t="n">
        <v>3</v>
      </c>
      <c r="H900" s="13" t="n">
        <v>0</v>
      </c>
      <c r="I900" s="12" t="n">
        <v>0</v>
      </c>
    </row>
    <row r="901">
      <c r="A901" t="inlineStr">
        <is>
          <t>01982940</t>
        </is>
      </c>
      <c r="B901" t="inlineStr">
        <is>
          <t>КНП Ковельське міськрайонне територіальне медичне об'єднання Ковельської міської ради Волинської області</t>
        </is>
      </c>
      <c r="C901" t="inlineStr">
        <is>
          <t>Волинська область</t>
        </is>
      </c>
      <c r="D901" s="5" t="n">
        <v>3</v>
      </c>
      <c r="E901" s="13" t="n">
        <v>12497.92</v>
      </c>
      <c r="F901" s="13" t="n">
        <v>11013</v>
      </c>
      <c r="G901" s="5" t="n">
        <v>3</v>
      </c>
      <c r="H901" s="13" t="n">
        <v>0</v>
      </c>
      <c r="I901" s="12" t="n">
        <v>0</v>
      </c>
    </row>
    <row r="902">
      <c r="A902" t="inlineStr">
        <is>
          <t>05384376</t>
        </is>
      </c>
      <c r="B902" t="inlineStr">
        <is>
          <t>ВОЛИНСЬКИЙ АКАДЕМІЧНИЙ ОБЛАСНИЙ ТЕАТР ЛЯЛЬОК</t>
        </is>
      </c>
      <c r="C902" t="inlineStr">
        <is>
          <t>Волинська область</t>
        </is>
      </c>
      <c r="D902" s="5" t="n">
        <v>3</v>
      </c>
      <c r="E902" s="13" t="n">
        <v>10848</v>
      </c>
      <c r="F902" s="13" t="n">
        <v>10848</v>
      </c>
      <c r="G902" s="5" t="n">
        <v>3</v>
      </c>
      <c r="H902" s="13" t="n">
        <v>0</v>
      </c>
      <c r="I902" s="12" t="n">
        <v>0</v>
      </c>
    </row>
    <row r="903">
      <c r="A903" t="inlineStr">
        <is>
          <t>25086095</t>
        </is>
      </c>
      <c r="B903" t="inlineStr">
        <is>
          <t>Карасинська гімназія Прилісненської сільської ради Волинської області</t>
        </is>
      </c>
      <c r="C903" t="inlineStr">
        <is>
          <t>Волинська область</t>
        </is>
      </c>
      <c r="D903" s="5" t="n">
        <v>2</v>
      </c>
      <c r="E903" s="13" t="n">
        <v>23850</v>
      </c>
      <c r="F903" s="13" t="n">
        <v>10350</v>
      </c>
      <c r="G903" s="5" t="n">
        <v>1</v>
      </c>
      <c r="H903" s="13" t="n">
        <v>0</v>
      </c>
      <c r="I903" s="12" t="n">
        <v>0</v>
      </c>
    </row>
    <row r="904">
      <c r="A904" t="inlineStr">
        <is>
          <t>04334815</t>
        </is>
      </c>
      <c r="B904" t="inlineStr">
        <is>
          <t>ЗИМНІВСЬКА СІЛЬСЬКА РАДА</t>
        </is>
      </c>
      <c r="C904" t="inlineStr">
        <is>
          <t>Волинська область</t>
        </is>
      </c>
      <c r="D904" s="5" t="n">
        <v>4</v>
      </c>
      <c r="E904" s="13" t="n">
        <v>10320</v>
      </c>
      <c r="F904" s="13" t="n">
        <v>10320</v>
      </c>
      <c r="G904" s="5" t="n">
        <v>2</v>
      </c>
      <c r="H904" s="13" t="n">
        <v>0</v>
      </c>
      <c r="I904" s="12" t="n">
        <v>0</v>
      </c>
    </row>
    <row r="905">
      <c r="A905" t="inlineStr">
        <is>
          <t>14373035</t>
        </is>
      </c>
      <c r="B905" t="inlineStr">
        <is>
          <t>УПРАВЛІННЯ З ПИТАНЬ ЦЗ ВОЛИНСЬКОЇ ОДА</t>
        </is>
      </c>
      <c r="C905" t="inlineStr">
        <is>
          <t>Волинська область</t>
        </is>
      </c>
      <c r="D905" s="5" t="n">
        <v>1</v>
      </c>
      <c r="E905" s="13" t="n">
        <v>10239</v>
      </c>
      <c r="F905" s="13" t="n">
        <v>10239</v>
      </c>
      <c r="G905" s="5" t="n">
        <v>1</v>
      </c>
      <c r="H905" s="13" t="n">
        <v>0</v>
      </c>
      <c r="I905" s="12" t="n">
        <v>0</v>
      </c>
    </row>
    <row r="906">
      <c r="A906" t="inlineStr">
        <is>
          <t>43929511</t>
        </is>
      </c>
      <c r="B906" t="inlineStr">
        <is>
          <t>ОБЛАСНА КОМУНАЛЬНА УСТАНОВА "ВОЛИНСЬКИЙ ОБЛАСНИЙ МОЛОДІЖНИЙ ЦЕНТР"</t>
        </is>
      </c>
      <c r="C906" t="inlineStr">
        <is>
          <t>Волинська область</t>
        </is>
      </c>
      <c r="D906" s="5" t="n">
        <v>1</v>
      </c>
      <c r="E906" s="13" t="n">
        <v>10099</v>
      </c>
      <c r="F906" s="13" t="n">
        <v>10099</v>
      </c>
      <c r="G906" s="5" t="n">
        <v>1</v>
      </c>
      <c r="H906" s="13" t="n">
        <v>0</v>
      </c>
      <c r="I906" s="12" t="n">
        <v>0</v>
      </c>
    </row>
    <row r="907">
      <c r="A907" t="inlineStr">
        <is>
          <t>42316102</t>
        </is>
      </c>
      <c r="B907" t="inlineStr">
        <is>
          <t>Відділ освіти, культури, молоді та спорту Рівненської сільської ради</t>
        </is>
      </c>
      <c r="C907" t="inlineStr">
        <is>
          <t>Волинська область</t>
        </is>
      </c>
      <c r="D907" s="5" t="n">
        <v>7</v>
      </c>
      <c r="E907" s="13" t="n">
        <v>9990</v>
      </c>
      <c r="F907" s="13" t="n">
        <v>9990</v>
      </c>
      <c r="G907" s="5" t="n">
        <v>1</v>
      </c>
      <c r="H907" s="13" t="n">
        <v>0</v>
      </c>
      <c r="I907" s="12" t="n">
        <v>0</v>
      </c>
    </row>
    <row r="908">
      <c r="A908" t="inlineStr">
        <is>
          <t>23254281</t>
        </is>
      </c>
      <c r="B908" t="inlineStr">
        <is>
          <t>Комунальний заклад "Центр культурних послуг" Ратнівської селищної ради</t>
        </is>
      </c>
      <c r="C908" t="inlineStr">
        <is>
          <t>Волинська область</t>
        </is>
      </c>
      <c r="D908" s="5" t="n">
        <v>2</v>
      </c>
      <c r="E908" s="13" t="n">
        <v>9940</v>
      </c>
      <c r="F908" s="13" t="n">
        <v>9940</v>
      </c>
      <c r="G908" s="5" t="n">
        <v>2</v>
      </c>
      <c r="H908" s="13" t="n">
        <v>0</v>
      </c>
      <c r="I908" s="12" t="n">
        <v>0</v>
      </c>
    </row>
    <row r="909">
      <c r="A909" t="inlineStr">
        <is>
          <t>04332880</t>
        </is>
      </c>
      <c r="B909" t="inlineStr">
        <is>
          <t>Смідинська СІЛЬСЬКА РАДА</t>
        </is>
      </c>
      <c r="C909" t="inlineStr">
        <is>
          <t>Волинська область</t>
        </is>
      </c>
      <c r="D909" s="5" t="n">
        <v>2</v>
      </c>
      <c r="E909" s="13" t="n">
        <v>9739</v>
      </c>
      <c r="F909" s="13" t="n">
        <v>9739</v>
      </c>
      <c r="G909" s="5" t="n">
        <v>2</v>
      </c>
      <c r="H909" s="13" t="n">
        <v>0</v>
      </c>
      <c r="I909" s="12" t="n">
        <v>0</v>
      </c>
    </row>
    <row r="910">
      <c r="A910" t="inlineStr">
        <is>
          <t>44333271</t>
        </is>
      </c>
      <c r="B910" t="inlineStr">
        <is>
          <t>Хворостівський заклад дошкільної освіти Вишнівської сільської ради</t>
        </is>
      </c>
      <c r="C910" t="inlineStr">
        <is>
          <t>Волинська область</t>
        </is>
      </c>
      <c r="D910" s="5" t="n">
        <v>1</v>
      </c>
      <c r="E910" s="13" t="n">
        <v>9600</v>
      </c>
      <c r="F910" s="13" t="n">
        <v>9600</v>
      </c>
      <c r="G910" s="5" t="n">
        <v>1</v>
      </c>
      <c r="H910" s="13" t="n">
        <v>0</v>
      </c>
      <c r="I910" s="12" t="n">
        <v>0</v>
      </c>
    </row>
    <row r="911">
      <c r="A911" t="inlineStr">
        <is>
          <t>01982844</t>
        </is>
      </c>
      <c r="B911" t="inlineStr">
        <is>
          <t>КП “Цуманська лікарня Цуманської селищної ради”</t>
        </is>
      </c>
      <c r="C911" t="inlineStr">
        <is>
          <t>Волинська область</t>
        </is>
      </c>
      <c r="D911" s="5" t="n">
        <v>1</v>
      </c>
      <c r="E911" s="13" t="n">
        <v>9305</v>
      </c>
      <c r="F911" s="13" t="n">
        <v>9305</v>
      </c>
      <c r="G911" s="5" t="n">
        <v>1</v>
      </c>
      <c r="H911" s="13" t="n">
        <v>0</v>
      </c>
      <c r="I911" s="12" t="n">
        <v>0</v>
      </c>
    </row>
    <row r="912">
      <c r="A912" t="inlineStr">
        <is>
          <t>20141576</t>
        </is>
      </c>
      <c r="B912" t="inlineStr">
        <is>
          <t>ЛЮБЛИНЕЦЬКИЙ ЛІЦЕЙ ВОЛИНСЬКОЇ ОБЛАСНОЇ РАДИ</t>
        </is>
      </c>
      <c r="C912" t="inlineStr">
        <is>
          <t>Волинська область</t>
        </is>
      </c>
      <c r="D912" s="5" t="n">
        <v>3</v>
      </c>
      <c r="E912" s="13" t="n">
        <v>67500</v>
      </c>
      <c r="F912" s="13" t="n">
        <v>9012.959999999999</v>
      </c>
      <c r="G912" s="5" t="n">
        <v>1</v>
      </c>
      <c r="H912" s="13" t="n">
        <v>0</v>
      </c>
      <c r="I912" s="12" t="n">
        <v>0</v>
      </c>
    </row>
    <row r="913">
      <c r="A913" t="inlineStr">
        <is>
          <t>31820241</t>
        </is>
      </c>
      <c r="B913" t="inlineStr">
        <is>
          <t>Черемський природний заповідник</t>
        </is>
      </c>
      <c r="C913" t="inlineStr">
        <is>
          <t>Волинська область</t>
        </is>
      </c>
      <c r="D913" s="5" t="n">
        <v>1</v>
      </c>
      <c r="E913" s="13" t="n">
        <v>8677</v>
      </c>
      <c r="F913" s="13" t="n">
        <v>8677</v>
      </c>
      <c r="G913" s="5" t="n">
        <v>1</v>
      </c>
      <c r="H913" s="13" t="n">
        <v>0</v>
      </c>
      <c r="I913" s="12" t="n">
        <v>0</v>
      </c>
    </row>
    <row r="914">
      <c r="A914" t="inlineStr">
        <is>
          <t>02311833</t>
        </is>
      </c>
      <c r="B914" t="inlineStr">
        <is>
          <t>Відділ фінансів Камінь-Каширської районної державної адміністрації</t>
        </is>
      </c>
      <c r="C914" t="inlineStr">
        <is>
          <t>Волинська область</t>
        </is>
      </c>
      <c r="D914" s="5" t="n">
        <v>1</v>
      </c>
      <c r="E914" s="13" t="n">
        <v>8506</v>
      </c>
      <c r="F914" s="13" t="n">
        <v>8506</v>
      </c>
      <c r="G914" s="5" t="n">
        <v>1</v>
      </c>
      <c r="H914" s="13" t="n">
        <v>0</v>
      </c>
      <c r="I914" s="12" t="n">
        <v>0</v>
      </c>
    </row>
    <row r="915">
      <c r="A915" t="inlineStr">
        <is>
          <t>38373547</t>
        </is>
      </c>
      <c r="B915" t="inlineStr">
        <is>
          <t>КНП "ЦЕНТР ПЕРВИННОЇ МЕДИКО-САНІТАРНОЇ ДОПОМОГИ ЛЮБЕШІВСЬКОЇ СЕЛИЩНОЇ РАДИ"</t>
        </is>
      </c>
      <c r="C915" t="inlineStr">
        <is>
          <t>Волинська область</t>
        </is>
      </c>
      <c r="D915" s="5" t="n">
        <v>8</v>
      </c>
      <c r="E915" s="13" t="n">
        <v>8447</v>
      </c>
      <c r="F915" s="13" t="n">
        <v>8447</v>
      </c>
      <c r="G915" s="5" t="n">
        <v>4</v>
      </c>
      <c r="H915" s="13" t="n">
        <v>0</v>
      </c>
      <c r="I915" s="12" t="n">
        <v>0</v>
      </c>
    </row>
    <row r="916">
      <c r="A916" t="inlineStr">
        <is>
          <t>05500687</t>
        </is>
      </c>
      <c r="B916" t="inlineStr">
        <is>
          <t>Комунальний заклад вищої освіти "Волинський медичний інститут" Волинської обласної ради</t>
        </is>
      </c>
      <c r="C916" t="inlineStr">
        <is>
          <t>Волинська область</t>
        </is>
      </c>
      <c r="D916" s="5" t="n">
        <v>3</v>
      </c>
      <c r="E916" s="13" t="n">
        <v>7174</v>
      </c>
      <c r="F916" s="13" t="n">
        <v>7174</v>
      </c>
      <c r="G916" s="5" t="n">
        <v>2</v>
      </c>
      <c r="H916" s="13" t="n">
        <v>0</v>
      </c>
      <c r="I916" s="12" t="n">
        <v>0</v>
      </c>
    </row>
    <row r="917">
      <c r="A917" t="inlineStr">
        <is>
          <t>05396356</t>
        </is>
      </c>
      <c r="B917" t="inlineStr">
        <is>
          <t>Комунальний заклад"Луцька музична школа №3"</t>
        </is>
      </c>
      <c r="C917" t="inlineStr">
        <is>
          <t>Волинська область</t>
        </is>
      </c>
      <c r="D917" s="5" t="n">
        <v>1</v>
      </c>
      <c r="E917" s="13" t="n">
        <v>5399</v>
      </c>
      <c r="F917" s="13" t="n">
        <v>5399</v>
      </c>
      <c r="G917" s="5" t="n">
        <v>1</v>
      </c>
      <c r="H917" s="13" t="n">
        <v>0</v>
      </c>
      <c r="I917" s="12" t="n">
        <v>0</v>
      </c>
    </row>
    <row r="918">
      <c r="A918" t="inlineStr">
        <is>
          <t>42428188</t>
        </is>
      </c>
      <c r="B918" t="inlineStr">
        <is>
          <t>КНП "ЦЕНТР ПМСД ПРИЛІСНЕНСЬКОЇ СІЛЬСЬКОЇ РАДИ"</t>
        </is>
      </c>
      <c r="C918" t="inlineStr">
        <is>
          <t>Волинська область</t>
        </is>
      </c>
      <c r="D918" s="5" t="n">
        <v>2</v>
      </c>
      <c r="E918" s="13" t="n">
        <v>4599</v>
      </c>
      <c r="F918" s="13" t="n">
        <v>4599</v>
      </c>
      <c r="G918" s="5" t="n">
        <v>1</v>
      </c>
      <c r="H918" s="13" t="n">
        <v>0</v>
      </c>
      <c r="I918" s="12" t="n">
        <v>0</v>
      </c>
    </row>
    <row r="919">
      <c r="A919" t="inlineStr">
        <is>
          <t>37789003</t>
        </is>
      </c>
      <c r="B919" t="inlineStr">
        <is>
          <t>Центр комплексної реабілітації дітей з інвалідністю м. Ковеля</t>
        </is>
      </c>
      <c r="C919" t="inlineStr">
        <is>
          <t>Волинська область</t>
        </is>
      </c>
      <c r="D919" s="5" t="n">
        <v>1</v>
      </c>
      <c r="E919" s="13" t="n">
        <v>4200</v>
      </c>
      <c r="F919" s="13" t="n">
        <v>4200</v>
      </c>
      <c r="G919" s="5" t="n">
        <v>1</v>
      </c>
      <c r="H919" s="13" t="n">
        <v>0</v>
      </c>
      <c r="I919" s="12" t="n">
        <v>0</v>
      </c>
    </row>
    <row r="920">
      <c r="A920" t="inlineStr">
        <is>
          <t>43037437</t>
        </is>
      </c>
      <c r="B920" t="inlineStr">
        <is>
          <t>ЦЕНТР НАДАННЯ СОЦІАЛЬНИХ ПОСЛУГ ІВАНИЧІВСЬКОЇ СЕЛИЩНОЇ РАДИ</t>
        </is>
      </c>
      <c r="C920" t="inlineStr">
        <is>
          <t>Волинська область</t>
        </is>
      </c>
      <c r="D920" s="5" t="n">
        <v>1</v>
      </c>
      <c r="E920" s="13" t="n">
        <v>4077</v>
      </c>
      <c r="F920" s="13" t="n">
        <v>4077</v>
      </c>
      <c r="G920" s="5" t="n">
        <v>1</v>
      </c>
      <c r="H920" s="13" t="n">
        <v>0</v>
      </c>
      <c r="I920" s="12" t="n">
        <v>0</v>
      </c>
    </row>
    <row r="921">
      <c r="A921" t="inlineStr">
        <is>
          <t>37950857</t>
        </is>
      </c>
      <c r="B921" t="inlineStr">
        <is>
          <t>Маневицьке управління Державної казначейської служби України Волинської області</t>
        </is>
      </c>
      <c r="C921" t="inlineStr">
        <is>
          <t>Волинська область</t>
        </is>
      </c>
      <c r="D921" s="5" t="n">
        <v>2</v>
      </c>
      <c r="E921" s="13" t="n">
        <v>3722</v>
      </c>
      <c r="F921" s="13" t="n">
        <v>3722</v>
      </c>
      <c r="G921" s="5" t="n">
        <v>2</v>
      </c>
      <c r="H921" s="13" t="n">
        <v>0</v>
      </c>
      <c r="I921" s="12" t="n">
        <v>0</v>
      </c>
    </row>
    <row r="922">
      <c r="A922" t="inlineStr">
        <is>
          <t>34435054</t>
        </is>
      </c>
      <c r="B922" t="inlineStr">
        <is>
          <t>ВОЛИНСЬКИЙ ПУНКТ ТИМЧАСОВОГО ПЕРЕБУВАННЯ ІНОЗЕМЦІВ ТА ОСІБ БЕЗ ГРОМАДЯНСТВА, ЯКІ НЕЗАКОННО ПЕРЕБУВАЮТЬ В УКРАЇНІ ДМС УКРАЇНИ</t>
        </is>
      </c>
      <c r="C922" t="inlineStr">
        <is>
          <t>Волинська область</t>
        </is>
      </c>
      <c r="D922" s="5" t="n">
        <v>3</v>
      </c>
      <c r="E922" s="13" t="n">
        <v>3259.05</v>
      </c>
      <c r="F922" s="13" t="n">
        <v>3259.05</v>
      </c>
      <c r="G922" s="5" t="n">
        <v>2</v>
      </c>
      <c r="H922" s="13" t="n">
        <v>0</v>
      </c>
      <c r="I922" s="12" t="n">
        <v>0</v>
      </c>
    </row>
    <row r="923">
      <c r="A923" t="inlineStr">
        <is>
          <t>02311827</t>
        </is>
      </c>
      <c r="B923" t="inlineStr">
        <is>
          <t>ВІДДІЛ ФІНАНСІВ ЛУЦЬКОЇ РАЙОННОЇ ДЕРЖАВНОЇ АДМІНІСТРАЦІЇ ВОЛИНСЬКОЇ ОБЛАСТІ</t>
        </is>
      </c>
      <c r="C923" t="inlineStr">
        <is>
          <t>Волинська область</t>
        </is>
      </c>
      <c r="D923" s="5" t="n">
        <v>1</v>
      </c>
      <c r="E923" s="13" t="n">
        <v>2990</v>
      </c>
      <c r="F923" s="13" t="n">
        <v>2990</v>
      </c>
      <c r="G923" s="5" t="n">
        <v>1</v>
      </c>
      <c r="H923" s="13" t="n">
        <v>0</v>
      </c>
      <c r="I923" s="12" t="n">
        <v>0</v>
      </c>
    </row>
    <row r="924">
      <c r="A924" t="inlineStr">
        <is>
          <t>45732391</t>
        </is>
      </c>
      <c r="B924" t="inlineStr">
        <is>
          <t>Відділ з питань ветеранської політики Нововолинської міської ради</t>
        </is>
      </c>
      <c r="C924" t="inlineStr">
        <is>
          <t>Волинська область</t>
        </is>
      </c>
      <c r="D924" s="5" t="n">
        <v>2</v>
      </c>
      <c r="E924" s="13" t="n">
        <v>2720</v>
      </c>
      <c r="F924" s="13" t="n">
        <v>2720</v>
      </c>
      <c r="G924" s="5" t="n">
        <v>1</v>
      </c>
      <c r="H924" s="13" t="n">
        <v>0</v>
      </c>
      <c r="I924" s="12" t="n">
        <v>0</v>
      </c>
    </row>
    <row r="925">
      <c r="A925" t="inlineStr">
        <is>
          <t>39843109</t>
        </is>
      </c>
      <c r="B925" t="inlineStr">
        <is>
          <t>ДЕПАРТАМЕНТ ЖИТЛОВО-КОМУНАЛЬНОГО ГОСПОДАРСТВА ТА КАПІТАЛЬНОГО БУДІВНИЦТВА ВОЛИНСЬКОЇ ОБЛАСНОЇ ДЕРЖАВНОЇ АДМІНІСТРАЦІЇ</t>
        </is>
      </c>
      <c r="C925" t="inlineStr">
        <is>
          <t>Волинська область</t>
        </is>
      </c>
      <c r="D925" s="5" t="n">
        <v>1</v>
      </c>
      <c r="E925" s="13" t="n">
        <v>2517.82</v>
      </c>
      <c r="F925" s="13" t="n">
        <v>2517.82</v>
      </c>
      <c r="G925" s="5" t="n">
        <v>1</v>
      </c>
      <c r="H925" s="13" t="n">
        <v>0</v>
      </c>
      <c r="I925" s="12" t="n">
        <v>0</v>
      </c>
    </row>
    <row r="926">
      <c r="A926" t="inlineStr">
        <is>
          <t>38580610</t>
        </is>
      </c>
      <c r="B926" t="inlineStr">
        <is>
          <t>КП "Маневицький центр первинної медико-санітарної допомоги"</t>
        </is>
      </c>
      <c r="C926" t="inlineStr">
        <is>
          <t>Волинська область</t>
        </is>
      </c>
      <c r="D926" s="5" t="n">
        <v>1</v>
      </c>
      <c r="E926" s="13" t="n">
        <v>2510</v>
      </c>
      <c r="F926" s="13" t="n">
        <v>2510</v>
      </c>
      <c r="G926" s="5" t="n">
        <v>1</v>
      </c>
      <c r="H926" s="13" t="n">
        <v>0</v>
      </c>
      <c r="I926" s="12" t="n">
        <v>0</v>
      </c>
    </row>
    <row r="927">
      <c r="A927" t="inlineStr">
        <is>
          <t>37626821</t>
        </is>
      </c>
      <c r="B927" t="inlineStr">
        <is>
          <t>Старовижівський відділ Державної казначейської служби України Волинської області</t>
        </is>
      </c>
      <c r="C927" t="inlineStr">
        <is>
          <t>Волинська область</t>
        </is>
      </c>
      <c r="D927" s="5" t="n">
        <v>1</v>
      </c>
      <c r="E927" s="13" t="n">
        <v>2301</v>
      </c>
      <c r="F927" s="13" t="n">
        <v>2301</v>
      </c>
      <c r="G927" s="5" t="n">
        <v>1</v>
      </c>
      <c r="H927" s="13" t="n">
        <v>0</v>
      </c>
      <c r="I927" s="12" t="n">
        <v>0</v>
      </c>
    </row>
    <row r="928">
      <c r="A928" t="inlineStr">
        <is>
          <t>01983068</t>
        </is>
      </c>
      <c r="B928" t="inlineStr">
        <is>
          <t>КНП “Старовижівська багатопрофільна лікарня” Старовижівської селищної ради</t>
        </is>
      </c>
      <c r="C928" t="inlineStr">
        <is>
          <t>Волинська область</t>
        </is>
      </c>
      <c r="D928" s="5" t="n">
        <v>1</v>
      </c>
      <c r="E928" s="13" t="n">
        <v>2272</v>
      </c>
      <c r="F928" s="13" t="n">
        <v>2272</v>
      </c>
      <c r="G928" s="5" t="n">
        <v>1</v>
      </c>
      <c r="H928" s="13" t="n">
        <v>0</v>
      </c>
      <c r="I928" s="12" t="n">
        <v>0</v>
      </c>
    </row>
    <row r="929">
      <c r="A929" t="inlineStr">
        <is>
          <t>42435703</t>
        </is>
      </c>
      <c r="B929" t="inlineStr">
        <is>
          <t>КП "БОРАТИН"</t>
        </is>
      </c>
      <c r="C929" t="inlineStr">
        <is>
          <t>Волинська область</t>
        </is>
      </c>
      <c r="D929" s="5" t="n">
        <v>1</v>
      </c>
      <c r="E929" s="13" t="n">
        <v>2000</v>
      </c>
      <c r="F929" s="13" t="n">
        <v>2000</v>
      </c>
      <c r="G929" s="5" t="n">
        <v>1</v>
      </c>
      <c r="H929" s="13" t="n">
        <v>0</v>
      </c>
      <c r="I929" s="12" t="n">
        <v>0</v>
      </c>
    </row>
    <row r="930">
      <c r="A930" t="inlineStr">
        <is>
          <t>23018445</t>
        </is>
      </c>
      <c r="B930" t="inlineStr">
        <is>
          <t>КЗ Сильнівська гімназія Головненської селищної ради Ковельського району Волинської області</t>
        </is>
      </c>
      <c r="C930" t="inlineStr">
        <is>
          <t>Волинська область</t>
        </is>
      </c>
      <c r="D930" s="5" t="n">
        <v>1</v>
      </c>
      <c r="E930" s="13" t="n">
        <v>1900</v>
      </c>
      <c r="F930" s="13" t="n">
        <v>1900</v>
      </c>
      <c r="G930" s="5" t="n">
        <v>1</v>
      </c>
      <c r="H930" s="13" t="n">
        <v>0</v>
      </c>
      <c r="I930" s="12" t="n">
        <v>0</v>
      </c>
    </row>
    <row r="931">
      <c r="A931" t="inlineStr">
        <is>
          <t>23251874</t>
        </is>
      </c>
      <c r="B931" t="inlineStr">
        <is>
          <t>Володимирська районна рада Волинської області</t>
        </is>
      </c>
      <c r="C931" t="inlineStr">
        <is>
          <t>Волинська область</t>
        </is>
      </c>
      <c r="D931" s="5" t="n">
        <v>1</v>
      </c>
      <c r="E931" s="13" t="n">
        <v>1665</v>
      </c>
      <c r="F931" s="13" t="n">
        <v>1665</v>
      </c>
      <c r="G931" s="5" t="n">
        <v>1</v>
      </c>
      <c r="H931" s="13" t="n">
        <v>0</v>
      </c>
      <c r="I931" s="12" t="n">
        <v>0</v>
      </c>
    </row>
    <row r="932">
      <c r="A932" t="inlineStr">
        <is>
          <t>43999243</t>
        </is>
      </c>
      <c r="B932" t="inlineStr">
        <is>
          <t>ФІНАНСОВИЙ ВІДДІЛ ІВАНИЧІВСЬКОЇ СЕЛИЩНОЇ РАДИ</t>
        </is>
      </c>
      <c r="C932" t="inlineStr">
        <is>
          <t>Волинська область</t>
        </is>
      </c>
      <c r="D932" s="5" t="n">
        <v>2</v>
      </c>
      <c r="E932" s="13" t="n">
        <v>1530</v>
      </c>
      <c r="F932" s="13" t="n">
        <v>1530</v>
      </c>
      <c r="G932" s="5" t="n">
        <v>2</v>
      </c>
      <c r="H932" s="13" t="n">
        <v>0</v>
      </c>
      <c r="I932" s="12" t="n">
        <v>0</v>
      </c>
    </row>
    <row r="933">
      <c r="A933" t="inlineStr">
        <is>
          <t>43092770</t>
        </is>
      </c>
      <c r="B933" t="inlineStr">
        <is>
          <t>УПРАВЛІННЯ ДЕРЖАВНОЇ СЛУЖБИ ЯКОСТІ ОСВІТИ У ВОЛИНСЬКІЙ ОБЛАСТІ</t>
        </is>
      </c>
      <c r="C933" t="inlineStr">
        <is>
          <t>Волинська область</t>
        </is>
      </c>
      <c r="D933" s="5" t="n">
        <v>1</v>
      </c>
      <c r="E933" s="13" t="n">
        <v>1495</v>
      </c>
      <c r="F933" s="13" t="n">
        <v>1495</v>
      </c>
      <c r="G933" s="5" t="n">
        <v>1</v>
      </c>
      <c r="H933" s="13" t="n">
        <v>0</v>
      </c>
      <c r="I933" s="12" t="n">
        <v>0</v>
      </c>
    </row>
    <row r="934">
      <c r="A934" t="inlineStr">
        <is>
          <t>04692041</t>
        </is>
      </c>
      <c r="B934" t="inlineStr">
        <is>
          <t>Відокремлений структурний підрозділ "Ковельський промислово-економічний фаховий коледж Луцького національного технічного університету"</t>
        </is>
      </c>
      <c r="C934" t="inlineStr">
        <is>
          <t>Волинська область</t>
        </is>
      </c>
      <c r="D934" s="5" t="n">
        <v>1</v>
      </c>
      <c r="E934" s="13" t="n">
        <v>1410</v>
      </c>
      <c r="F934" s="13" t="n">
        <v>1410</v>
      </c>
      <c r="G934" s="5" t="n">
        <v>1</v>
      </c>
      <c r="H934" s="13" t="n">
        <v>0</v>
      </c>
      <c r="I934" s="12" t="n">
        <v>0</v>
      </c>
    </row>
    <row r="935">
      <c r="A935" t="inlineStr">
        <is>
          <t>42265630</t>
        </is>
      </c>
      <c r="B935" t="inlineStr">
        <is>
          <t>КНП " Затурцівська амбулаторія загальної практики-сімейної медицини"</t>
        </is>
      </c>
      <c r="C935" t="inlineStr">
        <is>
          <t>Волинська область</t>
        </is>
      </c>
      <c r="D935" s="5" t="n">
        <v>1</v>
      </c>
      <c r="E935" s="13" t="n">
        <v>1399</v>
      </c>
      <c r="F935" s="13" t="n">
        <v>1399</v>
      </c>
      <c r="G935" s="5" t="n">
        <v>1</v>
      </c>
      <c r="H935" s="13" t="n">
        <v>0</v>
      </c>
      <c r="I935" s="12" t="n">
        <v>0</v>
      </c>
    </row>
    <row r="936">
      <c r="A936" t="inlineStr">
        <is>
          <t>00692475</t>
        </is>
      </c>
      <c r="B936" t="inlineStr">
        <is>
          <t>Камінь-Каширська районна державна лікарня ветеринарної медицини</t>
        </is>
      </c>
      <c r="C936" t="inlineStr">
        <is>
          <t>Волинська область</t>
        </is>
      </c>
      <c r="D936" s="5" t="n">
        <v>1</v>
      </c>
      <c r="E936" s="13" t="n">
        <v>1225</v>
      </c>
      <c r="F936" s="13" t="n">
        <v>1225</v>
      </c>
      <c r="G936" s="5" t="n">
        <v>1</v>
      </c>
      <c r="H936" s="13" t="n">
        <v>0</v>
      </c>
      <c r="I936" s="12" t="n">
        <v>0</v>
      </c>
    </row>
    <row r="937">
      <c r="A937" t="inlineStr">
        <is>
          <t>41813136</t>
        </is>
      </c>
      <c r="B937" t="inlineStr">
        <is>
          <t>Центр культури і дозвілля Дубівської сільської ради</t>
        </is>
      </c>
      <c r="C937" t="inlineStr">
        <is>
          <t>Волинська область</t>
        </is>
      </c>
      <c r="D937" s="5" t="n">
        <v>1</v>
      </c>
      <c r="E937" s="13" t="n">
        <v>798</v>
      </c>
      <c r="F937" s="13" t="n">
        <v>798</v>
      </c>
      <c r="G937" s="5" t="n">
        <v>1</v>
      </c>
      <c r="H937" s="13" t="n">
        <v>0</v>
      </c>
      <c r="I937" s="12" t="n">
        <v>0</v>
      </c>
    </row>
    <row r="938">
      <c r="A938" t="inlineStr">
        <is>
          <t>37751907</t>
        </is>
      </c>
      <c r="B938" t="inlineStr">
        <is>
          <t>Любешівський відділ Державної казначейської служби України Волинської області</t>
        </is>
      </c>
      <c r="C938" t="inlineStr">
        <is>
          <t>Волинська область</t>
        </is>
      </c>
      <c r="D938" s="5" t="n">
        <v>1</v>
      </c>
      <c r="E938" s="13" t="n">
        <v>780</v>
      </c>
      <c r="F938" s="13" t="n">
        <v>780</v>
      </c>
      <c r="G938" s="5" t="n">
        <v>1</v>
      </c>
      <c r="H938" s="13" t="n">
        <v>0</v>
      </c>
      <c r="I938" s="12" t="n">
        <v>0</v>
      </c>
    </row>
    <row r="939">
      <c r="A939" t="inlineStr">
        <is>
          <t>20123199</t>
        </is>
      </c>
      <c r="B939" t="inlineStr">
        <is>
          <t>ВОЛИНСЬКА ОБЛАСНА ДИТЯЧО-ЮНАЦЬКА СПОРТИВНА ШКОЛА</t>
        </is>
      </c>
      <c r="C939" t="inlineStr">
        <is>
          <t>Волинська область</t>
        </is>
      </c>
      <c r="D939" s="5" t="n">
        <v>1</v>
      </c>
      <c r="E939" s="13" t="n">
        <v>333.87</v>
      </c>
      <c r="F939" s="13" t="n">
        <v>333.87</v>
      </c>
      <c r="G939" s="5" t="n">
        <v>1</v>
      </c>
      <c r="H939" s="13" t="n">
        <v>0</v>
      </c>
      <c r="I939" s="12" t="n">
        <v>0</v>
      </c>
    </row>
    <row r="940">
      <c r="A940" t="inlineStr">
        <is>
          <t>45644393</t>
        </is>
      </c>
      <c r="B940" t="inlineStr">
        <is>
          <t>Центр надання адміністративних послуг Дубечненської сільської ради</t>
        </is>
      </c>
      <c r="C940" t="inlineStr">
        <is>
          <t>Волинська область</t>
        </is>
      </c>
      <c r="D940" s="5" t="n">
        <v>1</v>
      </c>
      <c r="E940" s="13" t="n">
        <v>275</v>
      </c>
      <c r="F940" s="13" t="n">
        <v>275</v>
      </c>
      <c r="G940" s="5" t="n">
        <v>1</v>
      </c>
      <c r="H940" s="13" t="n">
        <v>0</v>
      </c>
      <c r="I940" s="12" t="n">
        <v>0</v>
      </c>
    </row>
    <row r="941">
      <c r="A941" t="inlineStr">
        <is>
          <t>03562520</t>
        </is>
      </c>
      <c r="B941" t="inlineStr">
        <is>
          <t>ЛУЦЬКИЙ ГЕРІАТРИЧНИЙ ПАНСІОНАТ</t>
        </is>
      </c>
      <c r="C941" t="inlineStr">
        <is>
          <t>Волинська область</t>
        </is>
      </c>
      <c r="D941" s="5" t="n">
        <v>1</v>
      </c>
      <c r="E941" s="13" t="n">
        <v>192</v>
      </c>
      <c r="F941" s="13" t="n">
        <v>192</v>
      </c>
      <c r="G941" s="5" t="n">
        <v>1</v>
      </c>
      <c r="H941" s="13" t="n">
        <v>0</v>
      </c>
      <c r="I941" s="12" t="n">
        <v>0</v>
      </c>
    </row>
    <row r="942">
      <c r="A942" t="inlineStr">
        <is>
          <t>45279226</t>
        </is>
      </c>
      <c r="B942" t="inlineStr">
        <is>
          <t>Волинська філія ТОВ "Газорозподільні мережі України”</t>
        </is>
      </c>
      <c r="C942" t="inlineStr">
        <is>
          <t>Волинська область</t>
        </is>
      </c>
      <c r="D942" s="5" t="n">
        <v>2</v>
      </c>
      <c r="E942" s="13" t="n">
        <v>86717.99000000001</v>
      </c>
      <c r="F942" s="13" t="n">
        <v>0</v>
      </c>
      <c r="G942" s="5" t="n">
        <v>0</v>
      </c>
      <c r="H942" s="13" t="n">
        <v>0</v>
      </c>
      <c r="I942" s="12" t="n">
        <v>0</v>
      </c>
    </row>
    <row r="943">
      <c r="A943" t="inlineStr">
        <is>
          <t>02539985</t>
        </is>
      </c>
      <c r="B943" t="inlineStr">
        <is>
          <t>Державний професійно-технічний навчальний заклад "Камінь-Каширське вище професійне училище"</t>
        </is>
      </c>
      <c r="C943" t="inlineStr">
        <is>
          <t>Волинська область</t>
        </is>
      </c>
      <c r="D943" s="5" t="n">
        <v>7</v>
      </c>
      <c r="E943" s="13" t="n">
        <v>755000</v>
      </c>
      <c r="F943" s="13" t="n">
        <v>0</v>
      </c>
      <c r="G943" s="5" t="n">
        <v>0</v>
      </c>
      <c r="H943" s="13" t="n">
        <v>0</v>
      </c>
      <c r="I943" s="12" t="n">
        <v>0</v>
      </c>
    </row>
    <row r="944">
      <c r="A944" t="inlineStr">
        <is>
          <t>26639053</t>
        </is>
      </c>
      <c r="B944" t="inlineStr">
        <is>
          <t>Військова частина А4825</t>
        </is>
      </c>
      <c r="C944" t="inlineStr">
        <is>
          <t>Волинська область</t>
        </is>
      </c>
      <c r="D944" s="5" t="n">
        <v>1</v>
      </c>
      <c r="E944" s="13" t="n">
        <v>122800</v>
      </c>
      <c r="F944" s="13" t="n">
        <v>0</v>
      </c>
      <c r="G944" s="5" t="n">
        <v>0</v>
      </c>
      <c r="H944" s="13" t="n">
        <v>0</v>
      </c>
      <c r="I944" s="12" t="n">
        <v>0</v>
      </c>
    </row>
    <row r="945">
      <c r="A945" t="inlineStr">
        <is>
          <t>21739821</t>
        </is>
      </c>
      <c r="B945" t="inlineStr">
        <is>
          <t>Нововолинський ліцей № 5 Нововолинської міської ради Волинської області</t>
        </is>
      </c>
      <c r="C945" t="inlineStr">
        <is>
          <t>Волинська область</t>
        </is>
      </c>
      <c r="D945" s="5" t="n">
        <v>3</v>
      </c>
      <c r="E945" s="13" t="n">
        <v>275604</v>
      </c>
      <c r="F945" s="13" t="n">
        <v>0</v>
      </c>
      <c r="G945" s="5" t="n">
        <v>0</v>
      </c>
      <c r="H945" s="13" t="n">
        <v>0</v>
      </c>
      <c r="I945" s="12" t="n">
        <v>0</v>
      </c>
    </row>
    <row r="947">
      <c r="A947" s="2" t="inlineStr">
        <is>
          <t>Галузі ДК021</t>
        </is>
      </c>
    </row>
    <row r="948">
      <c r="A948" s="11" t="inlineStr">
        <is>
          <t>Галузь ДК021</t>
        </is>
      </c>
      <c r="B948" s="11" t="inlineStr">
        <is>
          <t>Назва</t>
        </is>
      </c>
      <c r="C948" s="11" t="inlineStr">
        <is>
          <t>Угод</t>
        </is>
      </c>
      <c r="D948" s="11" t="inlineStr">
        <is>
          <t>Закупівель</t>
        </is>
      </c>
      <c r="E948" s="11" t="inlineStr">
        <is>
          <t>Сума угод, грн</t>
        </is>
      </c>
      <c r="F948" s="11" t="inlineStr">
        <is>
          <t>Частка ринку</t>
        </is>
      </c>
      <c r="G948" s="11" t="inlineStr">
        <is>
          <t>Постачальників</t>
        </is>
      </c>
      <c r="H948" s="11" t="inlineStr">
        <is>
          <t>Замовників</t>
        </is>
      </c>
      <c r="I948" s="11" t="inlineStr">
        <is>
          <t>Наша сума, грн</t>
        </is>
      </c>
      <c r="J948" s="11" t="inlineStr">
        <is>
          <t>Наша частка</t>
        </is>
      </c>
    </row>
    <row r="949">
      <c r="A949" t="inlineStr">
        <is>
          <t>30210000-4</t>
        </is>
      </c>
      <c r="B949" t="inlineStr">
        <is>
          <t>Машини для обробки даних (апаратна частина)</t>
        </is>
      </c>
      <c r="C949" s="5" t="n">
        <v>513</v>
      </c>
      <c r="D949" s="5" t="n">
        <v>511</v>
      </c>
      <c r="E949" s="13" t="n">
        <v>76901586.20999999</v>
      </c>
      <c r="F949" s="12" t="n">
        <v>0.6479</v>
      </c>
      <c r="G949" s="5" t="n">
        <v>184</v>
      </c>
      <c r="H949" s="5" t="n">
        <v>235</v>
      </c>
      <c r="I949" s="13" t="n">
        <v>2942332.8</v>
      </c>
      <c r="J949" s="12" t="n">
        <v>0.0383</v>
      </c>
    </row>
    <row r="950">
      <c r="A950" t="inlineStr">
        <is>
          <t>30230000-0</t>
        </is>
      </c>
      <c r="B950" t="inlineStr">
        <is>
          <t>Комп’ютерне обладнання</t>
        </is>
      </c>
      <c r="C950" s="5" t="n">
        <v>1213</v>
      </c>
      <c r="D950" s="5" t="n">
        <v>1207</v>
      </c>
      <c r="E950" s="13" t="n">
        <v>41086753.18</v>
      </c>
      <c r="F950" s="12" t="n">
        <v>0.3462</v>
      </c>
      <c r="G950" s="5" t="n">
        <v>263</v>
      </c>
      <c r="H950" s="5" t="n">
        <v>306</v>
      </c>
      <c r="I950" s="13" t="n">
        <v>1427613</v>
      </c>
      <c r="J950" s="12" t="n">
        <v>0.0347</v>
      </c>
    </row>
    <row r="951">
      <c r="A951" t="inlineStr">
        <is>
          <t>30200000-1</t>
        </is>
      </c>
      <c r="B951" t="inlineStr">
        <is>
          <t>Комп’ютерне обладнання та приладдя</t>
        </is>
      </c>
      <c r="C951" s="5" t="n">
        <v>27</v>
      </c>
      <c r="D951" s="5" t="n">
        <v>27</v>
      </c>
      <c r="E951" s="13" t="n">
        <v>702976</v>
      </c>
      <c r="F951" s="12" t="n">
        <v>0.0059</v>
      </c>
      <c r="G951" s="5" t="n">
        <v>17</v>
      </c>
      <c r="H951" s="5" t="n">
        <v>17</v>
      </c>
      <c r="I951" s="13" t="n">
        <v>0</v>
      </c>
      <c r="J951" s="12" t="n">
        <v>0</v>
      </c>
    </row>
    <row r="953">
      <c r="A953" s="2" t="inlineStr">
        <is>
          <t>Процедури</t>
        </is>
      </c>
    </row>
    <row r="954">
      <c r="A954" s="11" t="inlineStr">
        <is>
          <t>Процедура</t>
        </is>
      </c>
      <c r="B954" s="11" t="inlineStr">
        <is>
          <t>Угод</t>
        </is>
      </c>
      <c r="C954" s="11" t="inlineStr">
        <is>
          <t>Сума угод, грн</t>
        </is>
      </c>
      <c r="D954" s="11" t="inlineStr">
        <is>
          <t>Частка</t>
        </is>
      </c>
      <c r="E954" s="11" t="inlineStr">
        <is>
          <t>Середня угода, грн</t>
        </is>
      </c>
    </row>
    <row r="955">
      <c r="A955" t="inlineStr">
        <is>
          <t>Відкриті торги (нові)</t>
        </is>
      </c>
      <c r="B955" s="5" t="n">
        <v>109</v>
      </c>
      <c r="C955" s="13" t="n">
        <v>46604429.34</v>
      </c>
      <c r="D955" s="12" t="n">
        <v>0.3927</v>
      </c>
      <c r="E955" s="13" t="n">
        <v>427563.57</v>
      </c>
    </row>
    <row r="956">
      <c r="A956" t="inlineStr">
        <is>
          <t>Запит пропозицій</t>
        </is>
      </c>
      <c r="B956" s="5" t="n">
        <v>362</v>
      </c>
      <c r="C956" s="13" t="n">
        <v>38519850.67</v>
      </c>
      <c r="D956" s="12" t="n">
        <v>0.3245</v>
      </c>
      <c r="E956" s="13" t="n">
        <v>106408.43</v>
      </c>
    </row>
    <row r="957">
      <c r="A957" t="inlineStr">
        <is>
          <t>Звіт про договір</t>
        </is>
      </c>
      <c r="B957" s="5" t="n">
        <v>1253</v>
      </c>
      <c r="C957" s="13" t="n">
        <v>29273823.39</v>
      </c>
      <c r="D957" s="12" t="n">
        <v>0.2466</v>
      </c>
      <c r="E957" s="13" t="n">
        <v>23362.99</v>
      </c>
    </row>
    <row r="958">
      <c r="A958" t="inlineStr">
        <is>
          <t>Допорогова</t>
        </is>
      </c>
      <c r="B958" s="5" t="n">
        <v>29</v>
      </c>
      <c r="C958" s="13" t="n">
        <v>4293211.99</v>
      </c>
      <c r="D958" s="12" t="n">
        <v>0.0362</v>
      </c>
      <c r="E958" s="13" t="n">
        <v>148041.79</v>
      </c>
    </row>
    <row r="960">
      <c r="A960" s="2" t="inlineStr">
        <is>
          <t>Регіони</t>
        </is>
      </c>
    </row>
    <row r="961">
      <c r="A961" s="11" t="inlineStr">
        <is>
          <t>Регіон</t>
        </is>
      </c>
      <c r="B961" s="11" t="inlineStr">
        <is>
          <t>Угод</t>
        </is>
      </c>
      <c r="C961" s="11" t="inlineStr">
        <is>
          <t>Сума угод, грн</t>
        </is>
      </c>
      <c r="D961" s="11" t="inlineStr">
        <is>
          <t>Частка</t>
        </is>
      </c>
      <c r="E961" s="11" t="inlineStr">
        <is>
          <t>Середня угода, грн</t>
        </is>
      </c>
    </row>
    <row r="962">
      <c r="A962" t="inlineStr">
        <is>
          <t>Волинська область</t>
        </is>
      </c>
      <c r="B962" s="5" t="n">
        <v>1753</v>
      </c>
      <c r="C962" s="13" t="n">
        <v>118691315.39</v>
      </c>
      <c r="D962" s="12" t="n">
        <v>1</v>
      </c>
      <c r="E962" s="13" t="n">
        <v>67707.53999999999</v>
      </c>
    </row>
    <row r="964">
      <c r="A964" s="2" t="inlineStr">
        <is>
          <t>Динаміка по місяцях</t>
        </is>
      </c>
    </row>
    <row r="965">
      <c r="A965" s="11" t="inlineStr">
        <is>
          <t>Місяць</t>
        </is>
      </c>
      <c r="B965" s="11" t="inlineStr">
        <is>
          <t>Повний місяць</t>
        </is>
      </c>
      <c r="C965" s="11" t="inlineStr">
        <is>
          <t>Очікувана вартість, грн</t>
        </is>
      </c>
      <c r="D965" s="11" t="inlineStr">
        <is>
          <t>Сума угод, грн</t>
        </is>
      </c>
      <c r="E965" s="11" t="inlineStr">
        <is>
          <t>Сума за датою підпису, грн</t>
        </is>
      </c>
      <c r="F965" s="11" t="inlineStr">
        <is>
          <t>Закупівель</t>
        </is>
      </c>
      <c r="G965" s="11" t="inlineStr">
        <is>
          <t>Наша сума, грн</t>
        </is>
      </c>
      <c r="H965" s="11" t="inlineStr">
        <is>
          <t>Наша частка</t>
        </is>
      </c>
    </row>
    <row r="966">
      <c r="A966" t="inlineStr">
        <is>
          <t>2025-09</t>
        </is>
      </c>
      <c r="B966" t="inlineStr"/>
      <c r="C966" s="13" t="n">
        <v>15523185.76</v>
      </c>
      <c r="D966" s="13" t="n">
        <v>11563064.43</v>
      </c>
      <c r="E966" s="13" t="n">
        <v>7725716.53</v>
      </c>
      <c r="F966" s="5" t="n">
        <v>177</v>
      </c>
      <c r="G966" s="13" t="n">
        <v>443192.4</v>
      </c>
      <c r="H966" s="12" t="n">
        <v>0.0383</v>
      </c>
    </row>
    <row r="967">
      <c r="A967" t="inlineStr">
        <is>
          <t>2025-10</t>
        </is>
      </c>
      <c r="B967" t="inlineStr">
        <is>
          <t>так</t>
        </is>
      </c>
      <c r="C967" s="13" t="n">
        <v>30620699.8</v>
      </c>
      <c r="D967" s="13" t="n">
        <v>20692419.51</v>
      </c>
      <c r="E967" s="13" t="n">
        <v>8424422.51</v>
      </c>
      <c r="F967" s="5" t="n">
        <v>220</v>
      </c>
      <c r="G967" s="13" t="n">
        <v>383670</v>
      </c>
      <c r="H967" s="12" t="n">
        <v>0.0185</v>
      </c>
    </row>
    <row r="968">
      <c r="A968" t="inlineStr">
        <is>
          <t>2025-11</t>
        </is>
      </c>
      <c r="B968" t="inlineStr">
        <is>
          <t>так</t>
        </is>
      </c>
      <c r="C968" s="13" t="n">
        <v>24428989.57</v>
      </c>
      <c r="D968" s="13" t="n">
        <v>17443458.37</v>
      </c>
      <c r="E968" s="13" t="n">
        <v>27825877.39</v>
      </c>
      <c r="F968" s="5" t="n">
        <v>209</v>
      </c>
      <c r="G968" s="13" t="n">
        <v>1419891</v>
      </c>
      <c r="H968" s="12" t="n">
        <v>0.0814</v>
      </c>
    </row>
    <row r="969">
      <c r="A969" t="inlineStr">
        <is>
          <t>2025-12</t>
        </is>
      </c>
      <c r="B969" t="inlineStr">
        <is>
          <t>так</t>
        </is>
      </c>
      <c r="C969" s="13" t="n">
        <v>15188370.92</v>
      </c>
      <c r="D969" s="13" t="n">
        <v>11925310.44</v>
      </c>
      <c r="E969" s="13" t="n">
        <v>17616131.32</v>
      </c>
      <c r="F969" s="5" t="n">
        <v>306</v>
      </c>
      <c r="G969" s="13" t="n">
        <v>0</v>
      </c>
      <c r="H969" s="12" t="n">
        <v>0</v>
      </c>
    </row>
    <row r="970">
      <c r="A970" t="inlineStr">
        <is>
          <t>2026-01</t>
        </is>
      </c>
      <c r="B970" t="inlineStr">
        <is>
          <t>так</t>
        </is>
      </c>
      <c r="C970" s="13" t="n">
        <v>2634426.4</v>
      </c>
      <c r="D970" s="13" t="n">
        <v>2391256.88</v>
      </c>
      <c r="E970" s="13" t="n">
        <v>1291737.4</v>
      </c>
      <c r="F970" s="5" t="n">
        <v>61</v>
      </c>
      <c r="G970" s="13" t="n">
        <v>53292</v>
      </c>
      <c r="H970" s="12" t="n">
        <v>0.0223</v>
      </c>
    </row>
    <row r="971">
      <c r="A971" t="inlineStr">
        <is>
          <t>2026-02</t>
        </is>
      </c>
      <c r="B971" t="inlineStr">
        <is>
          <t>так</t>
        </is>
      </c>
      <c r="C971" s="13" t="n">
        <v>4736855.39</v>
      </c>
      <c r="D971" s="13" t="n">
        <v>4063778</v>
      </c>
      <c r="E971" s="13" t="n">
        <v>3380762.24</v>
      </c>
      <c r="F971" s="5" t="n">
        <v>112</v>
      </c>
      <c r="G971" s="13" t="n">
        <v>338100</v>
      </c>
      <c r="H971" s="12" t="n">
        <v>0.0832</v>
      </c>
    </row>
    <row r="972">
      <c r="A972" t="inlineStr">
        <is>
          <t>2026-03</t>
        </is>
      </c>
      <c r="B972" t="inlineStr">
        <is>
          <t>так</t>
        </is>
      </c>
      <c r="C972" s="13" t="n">
        <v>11709227.97</v>
      </c>
      <c r="D972" s="13" t="n">
        <v>7665282.61</v>
      </c>
      <c r="E972" s="13" t="n">
        <v>5157102.51</v>
      </c>
      <c r="F972" s="5" t="n">
        <v>153</v>
      </c>
      <c r="G972" s="13" t="n">
        <v>188250</v>
      </c>
      <c r="H972" s="12" t="n">
        <v>0.0246</v>
      </c>
    </row>
    <row r="973">
      <c r="A973" t="inlineStr">
        <is>
          <t>2026-04</t>
        </is>
      </c>
      <c r="B973" t="inlineStr">
        <is>
          <t>так</t>
        </is>
      </c>
      <c r="C973" s="13" t="n">
        <v>10520468.4</v>
      </c>
      <c r="D973" s="13" t="n">
        <v>6553133.04</v>
      </c>
      <c r="E973" s="13" t="n">
        <v>9082394.48</v>
      </c>
      <c r="F973" s="5" t="n">
        <v>154</v>
      </c>
      <c r="G973" s="13" t="n">
        <v>0</v>
      </c>
      <c r="H973" s="12" t="n">
        <v>0</v>
      </c>
    </row>
    <row r="974">
      <c r="A974" t="inlineStr">
        <is>
          <t>2026-05</t>
        </is>
      </c>
      <c r="B974" t="inlineStr">
        <is>
          <t>так</t>
        </is>
      </c>
      <c r="C974" s="13" t="n">
        <v>9533724.99</v>
      </c>
      <c r="D974" s="13" t="n">
        <v>6929667.07</v>
      </c>
      <c r="E974" s="13" t="n">
        <v>5551486.13</v>
      </c>
      <c r="F974" s="5" t="n">
        <v>150</v>
      </c>
      <c r="G974" s="13" t="n">
        <v>529920</v>
      </c>
      <c r="H974" s="12" t="n">
        <v>0.0765</v>
      </c>
    </row>
    <row r="975">
      <c r="A975" t="inlineStr">
        <is>
          <t>2026-06</t>
        </is>
      </c>
      <c r="B975" t="inlineStr">
        <is>
          <t>так</t>
        </is>
      </c>
      <c r="C975" s="13" t="n">
        <v>16645965.18</v>
      </c>
      <c r="D975" s="13" t="n">
        <v>12332629.09</v>
      </c>
      <c r="E975" s="13" t="n">
        <v>11432631.31</v>
      </c>
      <c r="F975" s="5" t="n">
        <v>170</v>
      </c>
      <c r="G975" s="13" t="n">
        <v>869630.4</v>
      </c>
      <c r="H975" s="12" t="n">
        <v>0.07049999999999999</v>
      </c>
    </row>
    <row r="976">
      <c r="A976" t="inlineStr">
        <is>
          <t>2026-07</t>
        </is>
      </c>
      <c r="B976" t="inlineStr">
        <is>
          <t>так</t>
        </is>
      </c>
      <c r="C976" s="13" t="n">
        <v>10696589.41</v>
      </c>
      <c r="D976" s="13" t="n">
        <v>8810389.59</v>
      </c>
      <c r="E976" s="13" t="n">
        <v>8968564.42</v>
      </c>
      <c r="F976" s="5" t="n">
        <v>121</v>
      </c>
      <c r="G976" s="13" t="n">
        <v>144000</v>
      </c>
      <c r="H976" s="12" t="n">
        <v>0.0163</v>
      </c>
    </row>
    <row r="977">
      <c r="A977" t="inlineStr">
        <is>
          <t>2026-08</t>
        </is>
      </c>
      <c r="B977" t="inlineStr">
        <is>
          <t>так</t>
        </is>
      </c>
      <c r="C977" s="13" t="n">
        <v>11896675.45</v>
      </c>
      <c r="D977" s="13" t="n">
        <v>8271126.36</v>
      </c>
      <c r="E977" s="13" t="n">
        <v>11008712.4</v>
      </c>
      <c r="F977" s="5" t="n">
        <v>154</v>
      </c>
      <c r="G977" s="13" t="n">
        <v>0</v>
      </c>
      <c r="H977" s="12" t="n">
        <v>0</v>
      </c>
    </row>
    <row r="978">
      <c r="A978" t="inlineStr">
        <is>
          <t>2026-09</t>
        </is>
      </c>
      <c r="B978" t="inlineStr"/>
      <c r="C978" s="13" t="n">
        <v>6416298.35</v>
      </c>
      <c r="D978" s="13" t="n">
        <v>49800</v>
      </c>
      <c r="E978" s="13" t="n">
        <v>1225776.75</v>
      </c>
      <c r="F978" s="5" t="n">
        <v>5</v>
      </c>
      <c r="G978" s="13" t="n">
        <v>0</v>
      </c>
      <c r="H978" s="12" t="n">
        <v>0</v>
      </c>
    </row>
  </sheetData>
  <pageMargins left="0.75" right="0.75" top="1" bottom="1" header="0.5" footer="0.5"/>
  <drawing xmlns:r="http://schemas.openxmlformats.org/officeDocument/2006/relationships" r:id="rId1"/>
  <tableParts count="7">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 xmlns:r="http://schemas.openxmlformats.org/officeDocument/2006/relationships" r:id="rId6"/>
    <tablePart xmlns:r="http://schemas.openxmlformats.org/officeDocument/2006/relationships" r:id="rId7"/>
    <tablePart xmlns:r="http://schemas.openxmlformats.org/officeDocument/2006/relationships" r:id="rId8"/>
  </tableParts>
</worksheet>
</file>

<file path=xl/worksheets/sheet6.xml><?xml version="1.0" encoding="utf-8"?>
<worksheet xmlns="http://schemas.openxmlformats.org/spreadsheetml/2006/main">
  <sheetPr>
    <outlinePr summaryBelow="1" summaryRight="1"/>
    <pageSetUpPr/>
  </sheetPr>
  <dimension ref="A1:L281"/>
  <sheetViews>
    <sheetView showGridLines="0" workbookViewId="0">
      <selection activeCell="A1" sqref="A1"/>
    </sheetView>
  </sheetViews>
  <sheetFormatPr baseColWidth="8" defaultRowHeight="15"/>
  <cols>
    <col width="29" customWidth="1" min="1" max="1"/>
    <col width="40" customWidth="1" min="2" max="2"/>
    <col width="18" customWidth="1" min="3" max="3"/>
    <col width="25" customWidth="1" min="4" max="4"/>
    <col width="22" customWidth="1" min="5" max="5"/>
    <col width="22" customWidth="1" min="6" max="6"/>
    <col width="21" customWidth="1" min="7" max="7"/>
    <col width="22" customWidth="1" min="8" max="8"/>
    <col width="22" customWidth="1" min="9" max="9"/>
    <col width="26" customWidth="1" min="10" max="10"/>
    <col width="10" customWidth="1" min="11" max="11"/>
    <col width="20" customWidth="1" min="12" max="12"/>
  </cols>
  <sheetData>
    <row r="1">
      <c r="A1" s="1" t="inlineStr">
        <is>
          <t>Прогнозування</t>
        </is>
      </c>
    </row>
    <row r="3">
      <c r="A3" s="7" t="inlineStr">
        <is>
          <t>Прогноз на 3 місяці</t>
        </is>
      </c>
    </row>
    <row r="4">
      <c r="A4" s="6" t="inlineStr">
        <is>
          <t>Кожен показник прогнозується окремо: програма перебирає десяток моделей, міряє їх на однакових згортках ковзним початком і бере ту, що виграла — з поправкою на ощадність. Числа наведені з межами 80%: справжнє значення має потрапити в них у чотирьох випадках із п'яти.</t>
        </is>
      </c>
    </row>
    <row r="6">
      <c r="A6" s="8" t="inlineStr">
        <is>
          <t>Показники</t>
        </is>
      </c>
    </row>
    <row r="7">
      <c r="A7" s="9" t="inlineStr">
        <is>
          <t>Горизонт</t>
        </is>
      </c>
      <c r="B7" s="10" t="inlineStr">
        <is>
          <t>3 місяці</t>
        </is>
      </c>
    </row>
    <row r="8">
      <c r="A8" s="9" t="inlineStr">
        <is>
          <t>Сума угод: 2026-09</t>
        </is>
      </c>
      <c r="B8" s="10" t="inlineStr">
        <is>
          <t>9,4 млн грн</t>
        </is>
      </c>
    </row>
    <row r="9">
      <c r="A9" s="9" t="inlineStr">
        <is>
          <t>Очікувана вартість: 2026-09</t>
        </is>
      </c>
      <c r="B9" s="10" t="inlineStr">
        <is>
          <t>11,8 млн грн</t>
        </is>
      </c>
    </row>
    <row r="10">
      <c r="A10" s="9" t="inlineStr">
        <is>
          <t>Закупівель: 2026-09</t>
        </is>
      </c>
      <c r="B10" s="10" t="inlineStr">
        <is>
          <t>154</t>
        </is>
      </c>
    </row>
    <row r="11">
      <c r="A11" s="9" t="inlineStr">
        <is>
          <t>Сума наших ТОВ: 2026-09</t>
        </is>
      </c>
      <c r="B11" s="10" t="inlineStr">
        <is>
          <t>263,2 тис. грн</t>
        </is>
      </c>
    </row>
    <row r="12">
      <c r="A12" s="9" t="inlineStr">
        <is>
          <t>Разом за 3 місяці</t>
        </is>
      </c>
      <c r="B12" s="10" t="inlineStr">
        <is>
          <t>28,1 млн грн</t>
        </is>
      </c>
    </row>
    <row r="13">
      <c r="A13" s="9" t="inlineStr">
        <is>
          <t>Тренд у прогнозі</t>
        </is>
      </c>
      <c r="B13" s="10" t="inlineStr">
        <is>
          <t>+0,0%/міс</t>
        </is>
      </c>
    </row>
    <row r="14">
      <c r="A14" s="9" t="inlineStr">
        <is>
          <t>Проти останнього місяця</t>
        </is>
      </c>
      <c r="B14" s="10" t="inlineStr">
        <is>
          <t>-5,7%</t>
        </is>
      </c>
    </row>
    <row r="15">
      <c r="A15" s="9" t="inlineStr">
        <is>
          <t>Модель</t>
        </is>
      </c>
      <c r="B15" s="10" t="inlineStr">
        <is>
          <t>Стала (медіана)</t>
        </is>
      </c>
    </row>
    <row r="16">
      <c r="A16" s="9" t="inlineStr">
        <is>
          <t>Якість (MASE)</t>
        </is>
      </c>
      <c r="B16" s="10" t="inlineStr">
        <is>
          <t>0,47</t>
        </is>
      </c>
    </row>
    <row r="17">
      <c r="A17" s="9" t="inlineStr">
        <is>
          <t>Перевірка</t>
        </is>
      </c>
      <c r="B17" s="10" t="inlineStr">
        <is>
          <t>перевірено (9)</t>
        </is>
      </c>
    </row>
    <row r="19">
      <c r="A19" s="8" t="inlineStr">
        <is>
          <t>Висновки</t>
        </is>
      </c>
    </row>
    <row r="20">
      <c r="A20" t="inlineStr">
        <is>
          <t>•  Сума угод у 2026-09: 9 377 056 грн, межі 80% — від 1 841 187 до 16 912 924 грн. Модель — «Стала (медіана)» (рівень 9 377 056).</t>
        </is>
      </c>
    </row>
    <row r="21">
      <c r="A21" t="inlineStr">
        <is>
          <t>•  Інтервал ширший за саме число (±80,4% від нього). Це не хиба моделі, а стан даних: на такому короткому ряду місячний обсяг ринку впевнено не передбачається. Спиратися варто на порядок величини й напрям, а не на конкретну суму.</t>
        </is>
      </c>
    </row>
    <row r="22">
      <c r="A22" t="inlineStr">
        <is>
          <t>•  Із прогнозів обсягу й кількості випливає середня угода 60 890 грн — це відношення двох прогнозів, тож його похибка більша за кожен із них.</t>
        </is>
      </c>
    </row>
    <row r="23">
      <c r="A23" t="inlineStr">
        <is>
          <t>•  Прогноз продовжує те, що вже було, і не знає про майбутнє поза даними: зміну Особливостей, бюджетний рік, нову хвилю фінансування чи вихід великого гравця він не передбачить. Сезонність тут не оцінюється взагалі: для неї потрібно 24 місяців, а у вибірці 13. Грудневий сплеск чи січневе затишшя програма побачити не може — зберіть довший період, і сезонні моделі увімкнуться самі.</t>
        </is>
      </c>
    </row>
    <row r="25">
      <c r="A25" s="8" t="inlineStr">
        <is>
          <t>Графіки</t>
        </is>
      </c>
    </row>
    <row r="27">
      <c r="A27" s="2" t="inlineStr">
        <is>
          <t>Сума угод: факт і прогноз</t>
        </is>
      </c>
    </row>
    <row r="28">
      <c r="A28" s="6" t="inlineStr">
        <is>
          <t>Модель «Стала (медіана)», рівень 9 377 056; MASE 0,47. Де два перші ряди розходяться — там місяць ще неповний. Прогноз починається не з 8 271 126, а з 9 943 722: 2026-08 видно лише на 83%, і модель має продовжувати місяць, а не його видиму частину.</t>
        </is>
      </c>
    </row>
    <row r="29">
      <c r="A29" s="3" t="inlineStr">
        <is>
          <t>Період</t>
        </is>
      </c>
      <c r="B29" s="3" t="inlineStr">
        <is>
          <t>Оцінка повного місяця, грн</t>
        </is>
      </c>
      <c r="C29" s="3" t="inlineStr">
        <is>
          <t>Факт, грн</t>
        </is>
      </c>
      <c r="D29" s="3" t="inlineStr">
        <is>
          <t>Прогноз, грн</t>
        </is>
      </c>
      <c r="E29" s="3" t="inlineStr">
        <is>
          <t>Нижня межа 80%, грн</t>
        </is>
      </c>
      <c r="F29" s="3" t="inlineStr">
        <is>
          <t>Верхня межа 80%, грн</t>
        </is>
      </c>
    </row>
    <row r="30">
      <c r="A30" t="inlineStr">
        <is>
          <t>2025-09</t>
        </is>
      </c>
      <c r="B30" s="5" t="n">
        <v>12077100.58</v>
      </c>
      <c r="C30" s="5" t="n">
        <v>11563064.43</v>
      </c>
      <c r="D30" s="5" t="n"/>
      <c r="E30" s="5" t="n"/>
      <c r="F30" s="5" t="n"/>
    </row>
    <row r="31">
      <c r="A31" t="inlineStr">
        <is>
          <t>2025-10</t>
        </is>
      </c>
      <c r="B31" s="5" t="n">
        <v>20692419.51</v>
      </c>
      <c r="C31" s="5" t="n">
        <v>20692419.51</v>
      </c>
      <c r="D31" s="5" t="n"/>
      <c r="E31" s="5" t="n"/>
      <c r="F31" s="5" t="n"/>
    </row>
    <row r="32">
      <c r="A32" t="inlineStr">
        <is>
          <t>2025-11</t>
        </is>
      </c>
      <c r="B32" s="5" t="n">
        <v>17443458.37</v>
      </c>
      <c r="C32" s="5" t="n">
        <v>17443458.37</v>
      </c>
      <c r="D32" s="5" t="n"/>
      <c r="E32" s="5" t="n"/>
      <c r="F32" s="5" t="n"/>
    </row>
    <row r="33">
      <c r="A33" t="inlineStr">
        <is>
          <t>2025-12</t>
        </is>
      </c>
      <c r="B33" s="5" t="n">
        <v>11925310.44</v>
      </c>
      <c r="C33" s="5" t="n">
        <v>11925310.44</v>
      </c>
      <c r="D33" s="5" t="n"/>
      <c r="E33" s="5" t="n"/>
      <c r="F33" s="5" t="n"/>
    </row>
    <row r="34">
      <c r="A34" t="inlineStr">
        <is>
          <t>2026-01</t>
        </is>
      </c>
      <c r="B34" s="5" t="n">
        <v>2391256.88</v>
      </c>
      <c r="C34" s="5" t="n">
        <v>2391256.88</v>
      </c>
      <c r="D34" s="5" t="n"/>
      <c r="E34" s="5" t="n"/>
      <c r="F34" s="5" t="n"/>
    </row>
    <row r="35">
      <c r="A35" t="inlineStr">
        <is>
          <t>2026-02</t>
        </is>
      </c>
      <c r="B35" s="5" t="n">
        <v>4063778</v>
      </c>
      <c r="C35" s="5" t="n">
        <v>4063778</v>
      </c>
      <c r="D35" s="5" t="n"/>
      <c r="E35" s="5" t="n"/>
      <c r="F35" s="5" t="n"/>
    </row>
    <row r="36">
      <c r="A36" t="inlineStr">
        <is>
          <t>2026-03</t>
        </is>
      </c>
      <c r="B36" s="5" t="n">
        <v>7665282.61</v>
      </c>
      <c r="C36" s="5" t="n">
        <v>7665282.61</v>
      </c>
      <c r="D36" s="5" t="n"/>
      <c r="E36" s="5" t="n"/>
      <c r="F36" s="5" t="n"/>
    </row>
    <row r="37">
      <c r="A37" t="inlineStr">
        <is>
          <t>2026-04</t>
        </is>
      </c>
      <c r="B37" s="5" t="n">
        <v>6553133.04</v>
      </c>
      <c r="C37" s="5" t="n">
        <v>6553133.04</v>
      </c>
      <c r="D37" s="5" t="n"/>
      <c r="E37" s="5" t="n"/>
      <c r="F37" s="5" t="n"/>
    </row>
    <row r="38">
      <c r="A38" t="inlineStr">
        <is>
          <t>2026-05</t>
        </is>
      </c>
      <c r="B38" s="5" t="n">
        <v>6929667.07</v>
      </c>
      <c r="C38" s="5" t="n">
        <v>6929667.07</v>
      </c>
      <c r="D38" s="5" t="n"/>
      <c r="E38" s="5" t="n"/>
      <c r="F38" s="5" t="n"/>
    </row>
    <row r="39">
      <c r="A39" t="inlineStr">
        <is>
          <t>2026-06</t>
        </is>
      </c>
      <c r="B39" s="5" t="n">
        <v>12332629.09</v>
      </c>
      <c r="C39" s="5" t="n">
        <v>12332629.09</v>
      </c>
      <c r="D39" s="5" t="n"/>
      <c r="E39" s="5" t="n"/>
      <c r="F39" s="5" t="n"/>
    </row>
    <row r="40">
      <c r="A40" t="inlineStr">
        <is>
          <t>2026-07</t>
        </is>
      </c>
      <c r="B40" s="5" t="n">
        <v>8810389.59</v>
      </c>
      <c r="C40" s="5" t="n">
        <v>8810389.59</v>
      </c>
      <c r="D40" s="5" t="n"/>
      <c r="E40" s="5" t="n"/>
      <c r="F40" s="5" t="n"/>
    </row>
    <row r="41">
      <c r="A41" t="inlineStr">
        <is>
          <t>2026-08</t>
        </is>
      </c>
      <c r="B41" s="5" t="n">
        <v>9943721.859999999</v>
      </c>
      <c r="C41" s="5" t="n">
        <v>8271126.36</v>
      </c>
      <c r="D41" s="5" t="n">
        <v>9943721.859999999</v>
      </c>
      <c r="E41" s="5" t="n">
        <v>9943721.859999999</v>
      </c>
      <c r="F41" s="5" t="n">
        <v>9943721.859999999</v>
      </c>
    </row>
    <row r="42">
      <c r="A42" t="inlineStr">
        <is>
          <t>2026-09</t>
        </is>
      </c>
      <c r="B42" s="5" t="n">
        <v>3957223.6</v>
      </c>
      <c r="C42" s="5" t="n">
        <v>49800</v>
      </c>
      <c r="D42" s="5" t="n">
        <v>9377055.720000001</v>
      </c>
      <c r="E42" s="5" t="n">
        <v>1841187.21</v>
      </c>
      <c r="F42" s="5" t="n">
        <v>16912924.24</v>
      </c>
    </row>
    <row r="43">
      <c r="A43" t="inlineStr">
        <is>
          <t>2026-10</t>
        </is>
      </c>
      <c r="B43" s="5" t="n"/>
      <c r="C43" s="5" t="n"/>
      <c r="D43" s="5" t="n">
        <v>9377055.720000001</v>
      </c>
      <c r="E43" s="5" t="n">
        <v>1841187.21</v>
      </c>
      <c r="F43" s="5" t="n">
        <v>16912924.24</v>
      </c>
    </row>
    <row r="44">
      <c r="A44" t="inlineStr">
        <is>
          <t>2026-11</t>
        </is>
      </c>
      <c r="B44" s="5" t="n"/>
      <c r="C44" s="5" t="n"/>
      <c r="D44" s="5" t="n">
        <v>9377055.720000001</v>
      </c>
      <c r="E44" s="5" t="n">
        <v>1841187.21</v>
      </c>
      <c r="F44" s="5" t="n">
        <v>16912924.24</v>
      </c>
    </row>
    <row r="47">
      <c r="A47" s="2" t="inlineStr">
        <is>
          <t>Очікувана вартість: факт і прогноз</t>
        </is>
      </c>
    </row>
    <row r="48">
      <c r="A48" s="6" t="inlineStr">
        <is>
          <t>Модель «Стала (медіана)», рівень 11 802 952; MASE 0,37. Де два перші ряди розходяться — там місяць ще неповний.</t>
        </is>
      </c>
    </row>
    <row r="49">
      <c r="A49" s="3" t="inlineStr">
        <is>
          <t>Період</t>
        </is>
      </c>
      <c r="B49" s="3" t="inlineStr">
        <is>
          <t>Оцінка повного місяця, грн</t>
        </is>
      </c>
      <c r="C49" s="3" t="inlineStr">
        <is>
          <t>Факт, грн</t>
        </is>
      </c>
      <c r="D49" s="3" t="inlineStr">
        <is>
          <t>Прогноз, грн</t>
        </is>
      </c>
      <c r="E49" s="3" t="inlineStr">
        <is>
          <t>Нижня межа 80%, грн</t>
        </is>
      </c>
      <c r="F49" s="3" t="inlineStr">
        <is>
          <t>Верхня межа 80%, грн</t>
        </is>
      </c>
    </row>
    <row r="50">
      <c r="A50" t="inlineStr">
        <is>
          <t>2025-09</t>
        </is>
      </c>
      <c r="B50" s="5" t="n">
        <v>16213269.14</v>
      </c>
      <c r="C50" s="5" t="n">
        <v>15523185.76</v>
      </c>
      <c r="D50" s="5" t="n"/>
      <c r="E50" s="5" t="n"/>
      <c r="F50" s="5" t="n"/>
    </row>
    <row r="51">
      <c r="A51" t="inlineStr">
        <is>
          <t>2025-10</t>
        </is>
      </c>
      <c r="B51" s="5" t="n">
        <v>30620699.8</v>
      </c>
      <c r="C51" s="5" t="n">
        <v>30620699.8</v>
      </c>
      <c r="D51" s="5" t="n"/>
      <c r="E51" s="5" t="n"/>
      <c r="F51" s="5" t="n"/>
    </row>
    <row r="52">
      <c r="A52" t="inlineStr">
        <is>
          <t>2025-11</t>
        </is>
      </c>
      <c r="B52" s="5" t="n">
        <v>24428989.57</v>
      </c>
      <c r="C52" s="5" t="n">
        <v>24428989.57</v>
      </c>
      <c r="D52" s="5" t="n"/>
      <c r="E52" s="5" t="n"/>
      <c r="F52" s="5" t="n"/>
    </row>
    <row r="53">
      <c r="A53" t="inlineStr">
        <is>
          <t>2025-12</t>
        </is>
      </c>
      <c r="B53" s="5" t="n">
        <v>15188370.92</v>
      </c>
      <c r="C53" s="5" t="n">
        <v>15188370.92</v>
      </c>
      <c r="D53" s="5" t="n"/>
      <c r="E53" s="5" t="n"/>
      <c r="F53" s="5" t="n"/>
    </row>
    <row r="54">
      <c r="A54" t="inlineStr">
        <is>
          <t>2026-01</t>
        </is>
      </c>
      <c r="B54" s="5" t="n">
        <v>2634426.4</v>
      </c>
      <c r="C54" s="5" t="n">
        <v>2634426.4</v>
      </c>
      <c r="D54" s="5" t="n"/>
      <c r="E54" s="5" t="n"/>
      <c r="F54" s="5" t="n"/>
    </row>
    <row r="55">
      <c r="A55" t="inlineStr">
        <is>
          <t>2026-02</t>
        </is>
      </c>
      <c r="B55" s="5" t="n">
        <v>4736855.39</v>
      </c>
      <c r="C55" s="5" t="n">
        <v>4736855.39</v>
      </c>
      <c r="D55" s="5" t="n"/>
      <c r="E55" s="5" t="n"/>
      <c r="F55" s="5" t="n"/>
    </row>
    <row r="56">
      <c r="A56" t="inlineStr">
        <is>
          <t>2026-03</t>
        </is>
      </c>
      <c r="B56" s="5" t="n">
        <v>11709227.97</v>
      </c>
      <c r="C56" s="5" t="n">
        <v>11709227.97</v>
      </c>
      <c r="D56" s="5" t="n"/>
      <c r="E56" s="5" t="n"/>
      <c r="F56" s="5" t="n"/>
    </row>
    <row r="57">
      <c r="A57" t="inlineStr">
        <is>
          <t>2026-04</t>
        </is>
      </c>
      <c r="B57" s="5" t="n">
        <v>10520468.4</v>
      </c>
      <c r="C57" s="5" t="n">
        <v>10520468.4</v>
      </c>
      <c r="D57" s="5" t="n"/>
      <c r="E57" s="5" t="n"/>
      <c r="F57" s="5" t="n"/>
    </row>
    <row r="58">
      <c r="A58" t="inlineStr">
        <is>
          <t>2026-05</t>
        </is>
      </c>
      <c r="B58" s="5" t="n">
        <v>9533724.99</v>
      </c>
      <c r="C58" s="5" t="n">
        <v>9533724.99</v>
      </c>
      <c r="D58" s="5" t="n"/>
      <c r="E58" s="5" t="n"/>
      <c r="F58" s="5" t="n"/>
    </row>
    <row r="59">
      <c r="A59" t="inlineStr">
        <is>
          <t>2026-06</t>
        </is>
      </c>
      <c r="B59" s="5" t="n">
        <v>16645965.18</v>
      </c>
      <c r="C59" s="5" t="n">
        <v>16645965.18</v>
      </c>
      <c r="D59" s="5" t="n"/>
      <c r="E59" s="5" t="n"/>
      <c r="F59" s="5" t="n"/>
    </row>
    <row r="60">
      <c r="A60" t="inlineStr">
        <is>
          <t>2026-07</t>
        </is>
      </c>
      <c r="B60" s="5" t="n">
        <v>10696589.41</v>
      </c>
      <c r="C60" s="5" t="n">
        <v>10696589.41</v>
      </c>
      <c r="D60" s="5" t="n"/>
      <c r="E60" s="5" t="n"/>
      <c r="F60" s="5" t="n"/>
    </row>
    <row r="61">
      <c r="A61" t="inlineStr">
        <is>
          <t>2026-08</t>
        </is>
      </c>
      <c r="B61" s="5" t="n">
        <v>11896675.45</v>
      </c>
      <c r="C61" s="5" t="n">
        <v>11896675.45</v>
      </c>
      <c r="D61" s="5" t="n">
        <v>11896675.45</v>
      </c>
      <c r="E61" s="5" t="n">
        <v>11896675.45</v>
      </c>
      <c r="F61" s="5" t="n">
        <v>11896675.45</v>
      </c>
    </row>
    <row r="62">
      <c r="A62" t="inlineStr">
        <is>
          <t>2026-09</t>
        </is>
      </c>
      <c r="B62" s="5" t="n">
        <v>127071544.63</v>
      </c>
      <c r="C62" s="5" t="n">
        <v>6416298.35</v>
      </c>
      <c r="D62" s="5" t="n">
        <v>11802951.71</v>
      </c>
      <c r="E62" s="5" t="n">
        <v>0</v>
      </c>
      <c r="F62" s="5" t="n">
        <v>23750947.69</v>
      </c>
    </row>
    <row r="63">
      <c r="A63" t="inlineStr">
        <is>
          <t>2026-10</t>
        </is>
      </c>
      <c r="B63" s="5" t="n"/>
      <c r="C63" s="5" t="n"/>
      <c r="D63" s="5" t="n">
        <v>11802951.71</v>
      </c>
      <c r="E63" s="5" t="n">
        <v>0</v>
      </c>
      <c r="F63" s="5" t="n">
        <v>24184657.42</v>
      </c>
    </row>
    <row r="64">
      <c r="A64" t="inlineStr">
        <is>
          <t>2026-11</t>
        </is>
      </c>
      <c r="B64" s="5" t="n"/>
      <c r="C64" s="5" t="n"/>
      <c r="D64" s="5" t="n">
        <v>11802951.71</v>
      </c>
      <c r="E64" s="5" t="n">
        <v>0</v>
      </c>
      <c r="F64" s="5" t="n">
        <v>24742016.06</v>
      </c>
    </row>
    <row r="67">
      <c r="A67" s="2" t="inlineStr">
        <is>
          <t>Закупівель: факт і прогноз</t>
        </is>
      </c>
    </row>
    <row r="68">
      <c r="A68" s="6" t="inlineStr">
        <is>
          <t>Модель «Стала (медіана)», рівень 154; MASE 0,35. Де два перші ряди розходяться — там місяць ще неповний.</t>
        </is>
      </c>
    </row>
    <row r="69">
      <c r="A69" s="3" t="inlineStr">
        <is>
          <t>Період</t>
        </is>
      </c>
      <c r="B69" s="3" t="inlineStr">
        <is>
          <t>Оцінка повного місяця, шт</t>
        </is>
      </c>
      <c r="C69" s="3" t="inlineStr">
        <is>
          <t>Факт, шт</t>
        </is>
      </c>
      <c r="D69" s="3" t="inlineStr">
        <is>
          <t>Прогноз, шт</t>
        </is>
      </c>
      <c r="E69" s="3" t="inlineStr">
        <is>
          <t>Нижня межа 80%, шт</t>
        </is>
      </c>
      <c r="F69" s="3" t="inlineStr">
        <is>
          <t>Верхня межа 80%, шт</t>
        </is>
      </c>
    </row>
    <row r="70">
      <c r="A70" t="inlineStr">
        <is>
          <t>2025-09</t>
        </is>
      </c>
      <c r="B70" s="5" t="n">
        <v>184.87</v>
      </c>
      <c r="C70" s="5" t="n">
        <v>177</v>
      </c>
      <c r="D70" s="5" t="n"/>
      <c r="E70" s="5" t="n"/>
      <c r="F70" s="5" t="n"/>
    </row>
    <row r="71">
      <c r="A71" t="inlineStr">
        <is>
          <t>2025-10</t>
        </is>
      </c>
      <c r="B71" s="5" t="n">
        <v>220</v>
      </c>
      <c r="C71" s="5" t="n">
        <v>220</v>
      </c>
      <c r="D71" s="5" t="n"/>
      <c r="E71" s="5" t="n"/>
      <c r="F71" s="5" t="n"/>
    </row>
    <row r="72">
      <c r="A72" t="inlineStr">
        <is>
          <t>2025-11</t>
        </is>
      </c>
      <c r="B72" s="5" t="n">
        <v>209</v>
      </c>
      <c r="C72" s="5" t="n">
        <v>209</v>
      </c>
      <c r="D72" s="5" t="n"/>
      <c r="E72" s="5" t="n"/>
      <c r="F72" s="5" t="n"/>
    </row>
    <row r="73">
      <c r="A73" t="inlineStr">
        <is>
          <t>2025-12</t>
        </is>
      </c>
      <c r="B73" s="5" t="n">
        <v>306</v>
      </c>
      <c r="C73" s="5" t="n">
        <v>306</v>
      </c>
      <c r="D73" s="5" t="n"/>
      <c r="E73" s="5" t="n"/>
      <c r="F73" s="5" t="n"/>
    </row>
    <row r="74">
      <c r="A74" t="inlineStr">
        <is>
          <t>2026-01</t>
        </is>
      </c>
      <c r="B74" s="5" t="n">
        <v>61</v>
      </c>
      <c r="C74" s="5" t="n">
        <v>61</v>
      </c>
      <c r="D74" s="5" t="n"/>
      <c r="E74" s="5" t="n"/>
      <c r="F74" s="5" t="n"/>
    </row>
    <row r="75">
      <c r="A75" t="inlineStr">
        <is>
          <t>2026-02</t>
        </is>
      </c>
      <c r="B75" s="5" t="n">
        <v>112</v>
      </c>
      <c r="C75" s="5" t="n">
        <v>112</v>
      </c>
      <c r="D75" s="5" t="n"/>
      <c r="E75" s="5" t="n"/>
      <c r="F75" s="5" t="n"/>
    </row>
    <row r="76">
      <c r="A76" t="inlineStr">
        <is>
          <t>2026-03</t>
        </is>
      </c>
      <c r="B76" s="5" t="n">
        <v>153</v>
      </c>
      <c r="C76" s="5" t="n">
        <v>153</v>
      </c>
      <c r="D76" s="5" t="n"/>
      <c r="E76" s="5" t="n"/>
      <c r="F76" s="5" t="n"/>
    </row>
    <row r="77">
      <c r="A77" t="inlineStr">
        <is>
          <t>2026-04</t>
        </is>
      </c>
      <c r="B77" s="5" t="n">
        <v>154</v>
      </c>
      <c r="C77" s="5" t="n">
        <v>154</v>
      </c>
      <c r="D77" s="5" t="n"/>
      <c r="E77" s="5" t="n"/>
      <c r="F77" s="5" t="n"/>
    </row>
    <row r="78">
      <c r="A78" t="inlineStr">
        <is>
          <t>2026-05</t>
        </is>
      </c>
      <c r="B78" s="5" t="n">
        <v>150</v>
      </c>
      <c r="C78" s="5" t="n">
        <v>150</v>
      </c>
      <c r="D78" s="5" t="n"/>
      <c r="E78" s="5" t="n"/>
      <c r="F78" s="5" t="n"/>
    </row>
    <row r="79">
      <c r="A79" t="inlineStr">
        <is>
          <t>2026-06</t>
        </is>
      </c>
      <c r="B79" s="5" t="n">
        <v>170</v>
      </c>
      <c r="C79" s="5" t="n">
        <v>170</v>
      </c>
      <c r="D79" s="5" t="n"/>
      <c r="E79" s="5" t="n"/>
      <c r="F79" s="5" t="n"/>
    </row>
    <row r="80">
      <c r="A80" t="inlineStr">
        <is>
          <t>2026-07</t>
        </is>
      </c>
      <c r="B80" s="5" t="n">
        <v>121</v>
      </c>
      <c r="C80" s="5" t="n">
        <v>121</v>
      </c>
      <c r="D80" s="5" t="n"/>
      <c r="E80" s="5" t="n"/>
      <c r="F80" s="5" t="n"/>
    </row>
    <row r="81">
      <c r="A81" t="inlineStr">
        <is>
          <t>2026-08</t>
        </is>
      </c>
      <c r="B81" s="5" t="n">
        <v>154</v>
      </c>
      <c r="C81" s="5" t="n">
        <v>154</v>
      </c>
      <c r="D81" s="5" t="n">
        <v>154</v>
      </c>
      <c r="E81" s="5" t="n">
        <v>154</v>
      </c>
      <c r="F81" s="5" t="n">
        <v>154</v>
      </c>
    </row>
    <row r="82">
      <c r="A82" t="inlineStr">
        <is>
          <t>2026-09</t>
        </is>
      </c>
      <c r="B82" s="5" t="n">
        <v>99.02</v>
      </c>
      <c r="C82" s="5" t="n">
        <v>5</v>
      </c>
      <c r="D82" s="5" t="n">
        <v>154</v>
      </c>
      <c r="E82" s="5" t="n">
        <v>64.66</v>
      </c>
      <c r="F82" s="5" t="n">
        <v>243.34</v>
      </c>
    </row>
    <row r="83">
      <c r="A83" t="inlineStr">
        <is>
          <t>2026-10</t>
        </is>
      </c>
      <c r="B83" s="5" t="n"/>
      <c r="C83" s="5" t="n"/>
      <c r="D83" s="5" t="n">
        <v>154</v>
      </c>
      <c r="E83" s="5" t="n">
        <v>64.34</v>
      </c>
      <c r="F83" s="5" t="n">
        <v>243.66</v>
      </c>
    </row>
    <row r="84">
      <c r="A84" t="inlineStr">
        <is>
          <t>2026-11</t>
        </is>
      </c>
      <c r="B84" s="5" t="n"/>
      <c r="C84" s="5" t="n"/>
      <c r="D84" s="5" t="n">
        <v>154</v>
      </c>
      <c r="E84" s="5" t="n">
        <v>63.94</v>
      </c>
      <c r="F84" s="5" t="n">
        <v>244.06</v>
      </c>
    </row>
    <row r="87">
      <c r="A87" s="2" t="inlineStr">
        <is>
          <t>Сума наших ТОВ: факт і прогноз</t>
        </is>
      </c>
    </row>
    <row r="88">
      <c r="A88" s="6" t="inlineStr">
        <is>
          <t>Модель «Стала (медіана)», рівень 263 175; MASE 0,73. Де два перші ряди розходяться — там місяць ще неповний.</t>
        </is>
      </c>
    </row>
    <row r="89">
      <c r="A89" s="3" t="inlineStr">
        <is>
          <t>Період</t>
        </is>
      </c>
      <c r="B89" s="3" t="inlineStr">
        <is>
          <t>Оцінка повного місяця, грн</t>
        </is>
      </c>
      <c r="C89" s="3" t="inlineStr">
        <is>
          <t>Факт, грн</t>
        </is>
      </c>
      <c r="D89" s="3" t="inlineStr">
        <is>
          <t>Прогноз, грн</t>
        </is>
      </c>
      <c r="E89" s="3" t="inlineStr">
        <is>
          <t>Нижня межа 80%, грн</t>
        </is>
      </c>
      <c r="F89" s="3" t="inlineStr">
        <is>
          <t>Верхня межа 80%, грн</t>
        </is>
      </c>
    </row>
    <row r="90">
      <c r="A90" t="inlineStr">
        <is>
          <t>2025-09</t>
        </is>
      </c>
      <c r="B90" s="5" t="n">
        <v>462894.52</v>
      </c>
      <c r="C90" s="5" t="n">
        <v>443192.4</v>
      </c>
      <c r="D90" s="5" t="n"/>
      <c r="E90" s="5" t="n"/>
      <c r="F90" s="5" t="n"/>
    </row>
    <row r="91">
      <c r="A91" t="inlineStr">
        <is>
          <t>2025-10</t>
        </is>
      </c>
      <c r="B91" s="5" t="n">
        <v>383670</v>
      </c>
      <c r="C91" s="5" t="n">
        <v>383670</v>
      </c>
      <c r="D91" s="5" t="n"/>
      <c r="E91" s="5" t="n"/>
      <c r="F91" s="5" t="n"/>
    </row>
    <row r="92">
      <c r="A92" t="inlineStr">
        <is>
          <t>2025-11</t>
        </is>
      </c>
      <c r="B92" s="5" t="n">
        <v>1419891</v>
      </c>
      <c r="C92" s="5" t="n">
        <v>1419891</v>
      </c>
      <c r="D92" s="5" t="n"/>
      <c r="E92" s="5" t="n"/>
      <c r="F92" s="5" t="n"/>
    </row>
    <row r="93">
      <c r="A93" t="inlineStr">
        <is>
          <t>2025-12</t>
        </is>
      </c>
      <c r="B93" s="5" t="n">
        <v>0</v>
      </c>
      <c r="C93" s="5" t="n">
        <v>0</v>
      </c>
      <c r="D93" s="5" t="n"/>
      <c r="E93" s="5" t="n"/>
      <c r="F93" s="5" t="n"/>
    </row>
    <row r="94">
      <c r="A94" t="inlineStr">
        <is>
          <t>2026-01</t>
        </is>
      </c>
      <c r="B94" s="5" t="n">
        <v>53292</v>
      </c>
      <c r="C94" s="5" t="n">
        <v>53292</v>
      </c>
      <c r="D94" s="5" t="n"/>
      <c r="E94" s="5" t="n"/>
      <c r="F94" s="5" t="n"/>
    </row>
    <row r="95">
      <c r="A95" t="inlineStr">
        <is>
          <t>2026-02</t>
        </is>
      </c>
      <c r="B95" s="5" t="n">
        <v>338100</v>
      </c>
      <c r="C95" s="5" t="n">
        <v>338100</v>
      </c>
      <c r="D95" s="5" t="n"/>
      <c r="E95" s="5" t="n"/>
      <c r="F95" s="5" t="n"/>
    </row>
    <row r="96">
      <c r="A96" t="inlineStr">
        <is>
          <t>2026-03</t>
        </is>
      </c>
      <c r="B96" s="5" t="n">
        <v>188250</v>
      </c>
      <c r="C96" s="5" t="n">
        <v>188250</v>
      </c>
      <c r="D96" s="5" t="n"/>
      <c r="E96" s="5" t="n"/>
      <c r="F96" s="5" t="n"/>
    </row>
    <row r="97">
      <c r="A97" t="inlineStr">
        <is>
          <t>2026-04</t>
        </is>
      </c>
      <c r="B97" s="5" t="n">
        <v>0</v>
      </c>
      <c r="C97" s="5" t="n">
        <v>0</v>
      </c>
      <c r="D97" s="5" t="n"/>
      <c r="E97" s="5" t="n"/>
      <c r="F97" s="5" t="n"/>
    </row>
    <row r="98">
      <c r="A98" t="inlineStr">
        <is>
          <t>2026-05</t>
        </is>
      </c>
      <c r="B98" s="5" t="n">
        <v>529920</v>
      </c>
      <c r="C98" s="5" t="n">
        <v>529920</v>
      </c>
      <c r="D98" s="5" t="n"/>
      <c r="E98" s="5" t="n"/>
      <c r="F98" s="5" t="n"/>
    </row>
    <row r="99">
      <c r="A99" t="inlineStr">
        <is>
          <t>2026-06</t>
        </is>
      </c>
      <c r="B99" s="5" t="n">
        <v>869630.4</v>
      </c>
      <c r="C99" s="5" t="n">
        <v>869630.4</v>
      </c>
      <c r="D99" s="5" t="n"/>
      <c r="E99" s="5" t="n"/>
      <c r="F99" s="5" t="n"/>
    </row>
    <row r="100">
      <c r="A100" t="inlineStr">
        <is>
          <t>2026-07</t>
        </is>
      </c>
      <c r="B100" s="5" t="n">
        <v>144000</v>
      </c>
      <c r="C100" s="5" t="n">
        <v>144000</v>
      </c>
      <c r="D100" s="5" t="n"/>
      <c r="E100" s="5" t="n"/>
      <c r="F100" s="5" t="n"/>
    </row>
    <row r="101">
      <c r="A101" t="inlineStr">
        <is>
          <t>2026-08</t>
        </is>
      </c>
      <c r="B101" s="5" t="n">
        <v>0</v>
      </c>
      <c r="C101" s="5" t="n">
        <v>0</v>
      </c>
      <c r="D101" s="5" t="n">
        <v>0</v>
      </c>
      <c r="E101" s="5" t="n">
        <v>0</v>
      </c>
      <c r="F101" s="5" t="n">
        <v>0</v>
      </c>
    </row>
    <row r="102">
      <c r="A102" t="inlineStr">
        <is>
          <t>2026-09</t>
        </is>
      </c>
      <c r="B102" s="5" t="n">
        <v>0</v>
      </c>
      <c r="C102" s="5" t="n">
        <v>0</v>
      </c>
      <c r="D102" s="5" t="n">
        <v>263175</v>
      </c>
      <c r="E102" s="5" t="n">
        <v>0</v>
      </c>
      <c r="F102" s="5" t="n">
        <v>892411.72</v>
      </c>
    </row>
    <row r="103">
      <c r="A103" t="inlineStr">
        <is>
          <t>2026-10</t>
        </is>
      </c>
      <c r="B103" s="5" t="n"/>
      <c r="C103" s="5" t="n"/>
      <c r="D103" s="5" t="n">
        <v>263175</v>
      </c>
      <c r="E103" s="5" t="n">
        <v>0</v>
      </c>
      <c r="F103" s="5" t="n">
        <v>893741.16</v>
      </c>
    </row>
    <row r="104">
      <c r="A104" t="inlineStr">
        <is>
          <t>2026-11</t>
        </is>
      </c>
      <c r="B104" s="5" t="n"/>
      <c r="C104" s="5" t="n"/>
      <c r="D104" s="5" t="n">
        <v>263175</v>
      </c>
      <c r="E104" s="5" t="n">
        <v>0</v>
      </c>
      <c r="F104" s="5" t="n">
        <v>895412.77</v>
      </c>
    </row>
    <row r="107">
      <c r="A107" s="8" t="inlineStr">
        <is>
          <t>Таблиці</t>
        </is>
      </c>
    </row>
    <row r="109">
      <c r="A109" s="2" t="inlineStr">
        <is>
          <t>Прогноз по місяцях</t>
        </is>
      </c>
    </row>
    <row r="110">
      <c r="A110" s="11" t="inlineStr">
        <is>
          <t>Показник</t>
        </is>
      </c>
      <c r="B110" s="11" t="inlineStr">
        <is>
          <t>Місяць</t>
        </is>
      </c>
      <c r="C110" s="11" t="inlineStr">
        <is>
          <t>Прогноз</t>
        </is>
      </c>
      <c r="D110" s="11" t="inlineStr">
        <is>
          <t>Нижня межа 80%</t>
        </is>
      </c>
      <c r="E110" s="11" t="inlineStr">
        <is>
          <t>Верхня межа 80%</t>
        </is>
      </c>
      <c r="F110" s="11" t="inlineStr">
        <is>
          <t>Модель</t>
        </is>
      </c>
      <c r="G110" s="11" t="inlineStr">
        <is>
          <t>MASE</t>
        </is>
      </c>
      <c r="H110" s="11" t="inlineStr">
        <is>
          <t>Звірок</t>
        </is>
      </c>
      <c r="I110" s="11" t="inlineStr">
        <is>
          <t>Перевірка</t>
        </is>
      </c>
    </row>
    <row r="111">
      <c r="A111" t="inlineStr">
        <is>
          <t>Сума угод</t>
        </is>
      </c>
      <c r="B111" t="inlineStr">
        <is>
          <t>2026-09</t>
        </is>
      </c>
      <c r="C111" s="13" t="n">
        <v>9377055.720000001</v>
      </c>
      <c r="D111" s="13" t="n">
        <v>1841187.21</v>
      </c>
      <c r="E111" s="13" t="n">
        <v>16912924.24</v>
      </c>
      <c r="F111" t="inlineStr">
        <is>
          <t>Стала (медіана)</t>
        </is>
      </c>
      <c r="G111" s="13" t="n">
        <v>0.468</v>
      </c>
      <c r="H111" s="5" t="n">
        <v>9</v>
      </c>
      <c r="I111" t="inlineStr">
        <is>
          <t>перевірено</t>
        </is>
      </c>
    </row>
    <row r="112">
      <c r="A112" t="inlineStr">
        <is>
          <t>Сума угод</t>
        </is>
      </c>
      <c r="B112" t="inlineStr">
        <is>
          <t>2026-10</t>
        </is>
      </c>
      <c r="C112" s="13" t="n">
        <v>9377055.720000001</v>
      </c>
      <c r="D112" s="13" t="n">
        <v>1841187.21</v>
      </c>
      <c r="E112" s="13" t="n">
        <v>16912924.24</v>
      </c>
      <c r="F112" t="inlineStr">
        <is>
          <t>Стала (медіана)</t>
        </is>
      </c>
      <c r="G112" s="13" t="n">
        <v>0.468</v>
      </c>
      <c r="H112" s="5" t="n">
        <v>9</v>
      </c>
      <c r="I112" t="inlineStr">
        <is>
          <t>перевірено</t>
        </is>
      </c>
    </row>
    <row r="113">
      <c r="A113" t="inlineStr">
        <is>
          <t>Сума угод</t>
        </is>
      </c>
      <c r="B113" t="inlineStr">
        <is>
          <t>2026-11</t>
        </is>
      </c>
      <c r="C113" s="13" t="n">
        <v>9377055.720000001</v>
      </c>
      <c r="D113" s="13" t="n">
        <v>1841187.21</v>
      </c>
      <c r="E113" s="13" t="n">
        <v>16912924.24</v>
      </c>
      <c r="F113" t="inlineStr">
        <is>
          <t>Стала (медіана)</t>
        </is>
      </c>
      <c r="G113" s="13" t="n">
        <v>0.468</v>
      </c>
      <c r="H113" s="5" t="n">
        <v>9</v>
      </c>
      <c r="I113" t="inlineStr">
        <is>
          <t>перевірено</t>
        </is>
      </c>
    </row>
    <row r="114">
      <c r="A114" t="inlineStr">
        <is>
          <t>Очікувана вартість</t>
        </is>
      </c>
      <c r="B114" t="inlineStr">
        <is>
          <t>2026-09</t>
        </is>
      </c>
      <c r="C114" s="13" t="n">
        <v>11802951.71</v>
      </c>
      <c r="D114" s="13" t="n">
        <v>0</v>
      </c>
      <c r="E114" s="13" t="n">
        <v>23750947.69</v>
      </c>
      <c r="F114" t="inlineStr">
        <is>
          <t>Стала (медіана)</t>
        </is>
      </c>
      <c r="G114" s="13" t="n">
        <v>0.369</v>
      </c>
      <c r="H114" s="5" t="n">
        <v>9</v>
      </c>
      <c r="I114" t="inlineStr">
        <is>
          <t>перевірено</t>
        </is>
      </c>
    </row>
    <row r="115">
      <c r="A115" t="inlineStr">
        <is>
          <t>Очікувана вартість</t>
        </is>
      </c>
      <c r="B115" t="inlineStr">
        <is>
          <t>2026-10</t>
        </is>
      </c>
      <c r="C115" s="13" t="n">
        <v>11802951.71</v>
      </c>
      <c r="D115" s="13" t="n">
        <v>0</v>
      </c>
      <c r="E115" s="13" t="n">
        <v>24184657.42</v>
      </c>
      <c r="F115" t="inlineStr">
        <is>
          <t>Стала (медіана)</t>
        </is>
      </c>
      <c r="G115" s="13" t="n">
        <v>0.369</v>
      </c>
      <c r="H115" s="5" t="n">
        <v>9</v>
      </c>
      <c r="I115" t="inlineStr">
        <is>
          <t>перевірено</t>
        </is>
      </c>
    </row>
    <row r="116">
      <c r="A116" t="inlineStr">
        <is>
          <t>Очікувана вартість</t>
        </is>
      </c>
      <c r="B116" t="inlineStr">
        <is>
          <t>2026-11</t>
        </is>
      </c>
      <c r="C116" s="13" t="n">
        <v>11802951.71</v>
      </c>
      <c r="D116" s="13" t="n">
        <v>0</v>
      </c>
      <c r="E116" s="13" t="n">
        <v>24742016.06</v>
      </c>
      <c r="F116" t="inlineStr">
        <is>
          <t>Стала (медіана)</t>
        </is>
      </c>
      <c r="G116" s="13" t="n">
        <v>0.369</v>
      </c>
      <c r="H116" s="5" t="n">
        <v>9</v>
      </c>
      <c r="I116" t="inlineStr">
        <is>
          <t>перевірено</t>
        </is>
      </c>
    </row>
    <row r="117">
      <c r="A117" t="inlineStr">
        <is>
          <t>Закупівель</t>
        </is>
      </c>
      <c r="B117" t="inlineStr">
        <is>
          <t>2026-09</t>
        </is>
      </c>
      <c r="C117" s="13" t="n">
        <v>154</v>
      </c>
      <c r="D117" s="13" t="n">
        <v>64.66</v>
      </c>
      <c r="E117" s="13" t="n">
        <v>243.34</v>
      </c>
      <c r="F117" t="inlineStr">
        <is>
          <t>Стала (медіана)</t>
        </is>
      </c>
      <c r="G117" s="13" t="n">
        <v>0.346</v>
      </c>
      <c r="H117" s="5" t="n">
        <v>9</v>
      </c>
      <c r="I117" t="inlineStr">
        <is>
          <t>перевірено</t>
        </is>
      </c>
    </row>
    <row r="118">
      <c r="A118" t="inlineStr">
        <is>
          <t>Закупівель</t>
        </is>
      </c>
      <c r="B118" t="inlineStr">
        <is>
          <t>2026-10</t>
        </is>
      </c>
      <c r="C118" s="13" t="n">
        <v>154</v>
      </c>
      <c r="D118" s="13" t="n">
        <v>64.34</v>
      </c>
      <c r="E118" s="13" t="n">
        <v>243.66</v>
      </c>
      <c r="F118" t="inlineStr">
        <is>
          <t>Стала (медіана)</t>
        </is>
      </c>
      <c r="G118" s="13" t="n">
        <v>0.346</v>
      </c>
      <c r="H118" s="5" t="n">
        <v>9</v>
      </c>
      <c r="I118" t="inlineStr">
        <is>
          <t>перевірено</t>
        </is>
      </c>
    </row>
    <row r="119">
      <c r="A119" t="inlineStr">
        <is>
          <t>Закупівель</t>
        </is>
      </c>
      <c r="B119" t="inlineStr">
        <is>
          <t>2026-11</t>
        </is>
      </c>
      <c r="C119" s="13" t="n">
        <v>154</v>
      </c>
      <c r="D119" s="13" t="n">
        <v>63.94</v>
      </c>
      <c r="E119" s="13" t="n">
        <v>244.06</v>
      </c>
      <c r="F119" t="inlineStr">
        <is>
          <t>Стала (медіана)</t>
        </is>
      </c>
      <c r="G119" s="13" t="n">
        <v>0.346</v>
      </c>
      <c r="H119" s="5" t="n">
        <v>9</v>
      </c>
      <c r="I119" t="inlineStr">
        <is>
          <t>перевірено</t>
        </is>
      </c>
    </row>
    <row r="120">
      <c r="A120" t="inlineStr">
        <is>
          <t>Сума наших ТОВ</t>
        </is>
      </c>
      <c r="B120" t="inlineStr">
        <is>
          <t>2026-09</t>
        </is>
      </c>
      <c r="C120" s="13" t="n">
        <v>263175</v>
      </c>
      <c r="D120" s="13" t="n">
        <v>0</v>
      </c>
      <c r="E120" s="13" t="n">
        <v>892411.72</v>
      </c>
      <c r="F120" t="inlineStr">
        <is>
          <t>Стала (медіана)</t>
        </is>
      </c>
      <c r="G120" s="13" t="n">
        <v>0.734</v>
      </c>
      <c r="H120" s="5" t="n">
        <v>9</v>
      </c>
      <c r="I120" t="inlineStr">
        <is>
          <t>перевірено</t>
        </is>
      </c>
    </row>
    <row r="121">
      <c r="A121" t="inlineStr">
        <is>
          <t>Сума наших ТОВ</t>
        </is>
      </c>
      <c r="B121" t="inlineStr">
        <is>
          <t>2026-10</t>
        </is>
      </c>
      <c r="C121" s="13" t="n">
        <v>263175</v>
      </c>
      <c r="D121" s="13" t="n">
        <v>0</v>
      </c>
      <c r="E121" s="13" t="n">
        <v>893741.16</v>
      </c>
      <c r="F121" t="inlineStr">
        <is>
          <t>Стала (медіана)</t>
        </is>
      </c>
      <c r="G121" s="13" t="n">
        <v>0.734</v>
      </c>
      <c r="H121" s="5" t="n">
        <v>9</v>
      </c>
      <c r="I121" t="inlineStr">
        <is>
          <t>перевірено</t>
        </is>
      </c>
    </row>
    <row r="122">
      <c r="A122" t="inlineStr">
        <is>
          <t>Сума наших ТОВ</t>
        </is>
      </c>
      <c r="B122" t="inlineStr">
        <is>
          <t>2026-11</t>
        </is>
      </c>
      <c r="C122" s="13" t="n">
        <v>263175</v>
      </c>
      <c r="D122" s="13" t="n">
        <v>0</v>
      </c>
      <c r="E122" s="13" t="n">
        <v>895412.77</v>
      </c>
      <c r="F122" t="inlineStr">
        <is>
          <t>Стала (медіана)</t>
        </is>
      </c>
      <c r="G122" s="13" t="n">
        <v>0.734</v>
      </c>
      <c r="H122" s="5" t="n">
        <v>9</v>
      </c>
      <c r="I122" t="inlineStr">
        <is>
          <t>перевірено</t>
        </is>
      </c>
    </row>
    <row r="124">
      <c r="A124" s="7" t="inlineStr">
        <is>
          <t>Звідки взялися числа</t>
        </is>
      </c>
    </row>
    <row r="125">
      <c r="A125" s="6" t="inlineStr">
        <is>
          <t>Прогноз рахується не з того, що видно, а з того, що буде видно, коли дані допишуться. Тут показано обидві поправки й перевірку моделей — щоб число з попереднього блоку можна було перевірити, а не просто прийняти.</t>
        </is>
      </c>
    </row>
    <row r="127">
      <c r="A127" s="8" t="inlineStr">
        <is>
          <t>Висновки</t>
        </is>
      </c>
    </row>
    <row r="128">
      <c r="A128" t="inlineStr">
        <is>
          <t>•  Неповних місяців 3. Найменше даних у 2026-09: видно 1,3% — 49 800 грн замість 3 957 224 грн, які там будуть. Без цієї поправки модель побачила б у кінці ряду спад, якого немає.</t>
        </is>
      </c>
    </row>
    <row r="129">
      <c r="A129" t="inlineStr">
        <is>
          <t>•  У підгонку не взято: 2026-09 — там лишилося менше 40% даних, а домножувати спостережене більш ніж удвічі означає вигадувати, а не коригувати.</t>
        </is>
      </c>
    </row>
    <row r="130">
      <c r="A130" t="inlineStr">
        <is>
          <t>•  Крива розвитку побудована на 1 865 закупівлях, які вже дозріли (від оприлюднення минуло щонайменше 25 днів). У день оприлюднення видно 24,9% грошей закупівлі, через тиждень — 49,5%, через два — 93,9%, через три — 99,2%.</t>
        </is>
      </c>
    </row>
    <row r="131">
      <c r="A131" t="inlineStr">
        <is>
          <t>•  Поправку перевірено на цій самій вибірці. Для кожного вже дозрілого місяця програма вдала, що збір урвався його останнім днем, побудувала криву лише з того, що було видно тоді, і звірила скориговане число з тим, що в місяці опинилося насправді. На 11 таких місяцях середня похибка без поправки — 21% (і завжди в мінус: місяць недорахований), з поправкою — 7%, і це помітно краще. Таблиця нижче показує кожен місяць окремо.</t>
        </is>
      </c>
    </row>
    <row r="133">
      <c r="A133" s="8" t="inlineStr">
        <is>
          <t>Графіки</t>
        </is>
      </c>
    </row>
    <row r="135">
      <c r="A135" s="2" t="inlineStr">
        <is>
          <t>Крива розвитку договорів</t>
        </is>
      </c>
    </row>
    <row r="136">
      <c r="A136" s="6" t="inlineStr">
        <is>
          <t>Скільки відсотків остаточної суми закупівлі видно через стільки днів після її оприлюднення. Саме на цю криву діляться останні місяці ряду.</t>
        </is>
      </c>
    </row>
    <row r="137">
      <c r="A137" s="3" t="inlineStr">
        <is>
          <t>Період</t>
        </is>
      </c>
      <c r="B137" s="3" t="inlineStr">
        <is>
          <t>Видно суми, %</t>
        </is>
      </c>
    </row>
    <row r="138">
      <c r="A138" t="inlineStr">
        <is>
          <t>0</t>
        </is>
      </c>
      <c r="B138" s="14" t="n">
        <v>24.9</v>
      </c>
    </row>
    <row r="139">
      <c r="A139" t="inlineStr">
        <is>
          <t>3</t>
        </is>
      </c>
      <c r="B139" s="14" t="n">
        <v>29.5</v>
      </c>
    </row>
    <row r="140">
      <c r="A140" t="inlineStr">
        <is>
          <t>7</t>
        </is>
      </c>
      <c r="B140" s="14" t="n">
        <v>49.5</v>
      </c>
    </row>
    <row r="141">
      <c r="A141" t="inlineStr">
        <is>
          <t>10</t>
        </is>
      </c>
      <c r="B141" s="14" t="n">
        <v>68.5</v>
      </c>
    </row>
    <row r="142">
      <c r="A142" t="inlineStr">
        <is>
          <t>14</t>
        </is>
      </c>
      <c r="B142" s="14" t="n">
        <v>93.90000000000001</v>
      </c>
    </row>
    <row r="143">
      <c r="A143" t="inlineStr">
        <is>
          <t>21</t>
        </is>
      </c>
      <c r="B143" s="14" t="n">
        <v>99.2</v>
      </c>
    </row>
    <row r="155">
      <c r="A155" s="8" t="inlineStr">
        <is>
          <t>Таблиці</t>
        </is>
      </c>
    </row>
    <row r="157">
      <c r="A157" s="2" t="inlineStr">
        <is>
          <t>Крива розвитку договорів</t>
        </is>
      </c>
    </row>
    <row r="158">
      <c r="A158" s="11" t="inlineStr">
        <is>
          <t>Днів від оприлюднення</t>
        </is>
      </c>
      <c r="B158" s="11" t="inlineStr">
        <is>
          <t>Видно суми</t>
        </is>
      </c>
    </row>
    <row r="159">
      <c r="A159" s="5" t="n">
        <v>0</v>
      </c>
      <c r="B159" s="13" t="n">
        <v>0.2492</v>
      </c>
    </row>
    <row r="160">
      <c r="A160" s="5" t="n">
        <v>3</v>
      </c>
      <c r="B160" s="13" t="n">
        <v>0.295</v>
      </c>
    </row>
    <row r="161">
      <c r="A161" s="5" t="n">
        <v>7</v>
      </c>
      <c r="B161" s="13" t="n">
        <v>0.4949</v>
      </c>
    </row>
    <row r="162">
      <c r="A162" s="5" t="n">
        <v>10</v>
      </c>
      <c r="B162" s="13" t="n">
        <v>0.6851</v>
      </c>
    </row>
    <row r="163">
      <c r="A163" s="5" t="n">
        <v>14</v>
      </c>
      <c r="B163" s="13" t="n">
        <v>0.9391</v>
      </c>
    </row>
    <row r="164">
      <c r="A164" s="5" t="n">
        <v>21</v>
      </c>
      <c r="B164" s="13" t="n">
        <v>0.9915</v>
      </c>
    </row>
    <row r="166">
      <c r="A166" s="2" t="inlineStr">
        <is>
          <t>Повнота місяців</t>
        </is>
      </c>
    </row>
    <row r="167">
      <c r="A167" s="11" t="inlineStr">
        <is>
          <t>Місяць</t>
        </is>
      </c>
      <c r="B167" s="11" t="inlineStr">
        <is>
          <t>Показник</t>
        </is>
      </c>
      <c r="C167" s="11" t="inlineStr">
        <is>
          <t>Спостережено</t>
        </is>
      </c>
      <c r="D167" s="11" t="inlineStr">
        <is>
          <t>Частка місяця у вибірці</t>
        </is>
      </c>
      <c r="E167" s="11" t="inlineStr">
        <is>
          <t>Розвиток договорів</t>
        </is>
      </c>
      <c r="F167" s="11" t="inlineStr">
        <is>
          <t>Повнота</t>
        </is>
      </c>
      <c r="G167" s="11" t="inlineStr">
        <is>
          <t>З поправкою</t>
        </is>
      </c>
      <c r="H167" s="11" t="inlineStr">
        <is>
          <t>У підгонці</t>
        </is>
      </c>
    </row>
    <row r="168">
      <c r="A168" t="inlineStr">
        <is>
          <t>2025-09</t>
        </is>
      </c>
      <c r="B168" t="inlineStr">
        <is>
          <t>Сума угод</t>
        </is>
      </c>
      <c r="C168" s="13" t="n">
        <v>11563064.43</v>
      </c>
      <c r="D168" s="12" t="n">
        <v>0.9574</v>
      </c>
      <c r="E168" s="13" t="n">
        <v>1</v>
      </c>
      <c r="F168" s="13" t="n">
        <v>0.9574</v>
      </c>
      <c r="G168" s="13" t="n">
        <v>12077100.58</v>
      </c>
      <c r="H168" t="inlineStr">
        <is>
          <t>так</t>
        </is>
      </c>
    </row>
    <row r="169">
      <c r="A169" t="inlineStr">
        <is>
          <t>2026-08</t>
        </is>
      </c>
      <c r="B169" t="inlineStr">
        <is>
          <t>Сума угод</t>
        </is>
      </c>
      <c r="C169" s="13" t="n">
        <v>8271126.36</v>
      </c>
      <c r="D169" s="12" t="n">
        <v>1</v>
      </c>
      <c r="E169" s="13" t="n">
        <v>0.8318</v>
      </c>
      <c r="F169" s="13" t="n">
        <v>0.8318</v>
      </c>
      <c r="G169" s="13" t="n">
        <v>9943721.859999999</v>
      </c>
      <c r="H169" t="inlineStr">
        <is>
          <t>так</t>
        </is>
      </c>
    </row>
    <row r="170">
      <c r="A170" t="inlineStr">
        <is>
          <t>2026-09</t>
        </is>
      </c>
      <c r="B170" t="inlineStr">
        <is>
          <t>Сума угод</t>
        </is>
      </c>
      <c r="C170" s="13" t="n">
        <v>49800</v>
      </c>
      <c r="D170" s="12" t="n">
        <v>0.0505</v>
      </c>
      <c r="E170" s="13" t="n">
        <v>0.2492</v>
      </c>
      <c r="F170" s="13" t="n">
        <v>0.0126</v>
      </c>
      <c r="G170" s="13" t="n">
        <v>3957223.6</v>
      </c>
      <c r="H170" t="inlineStr">
        <is>
          <t>ні</t>
        </is>
      </c>
    </row>
    <row r="171">
      <c r="A171" t="inlineStr">
        <is>
          <t>2025-09</t>
        </is>
      </c>
      <c r="B171" t="inlineStr">
        <is>
          <t>Очікувана вартість</t>
        </is>
      </c>
      <c r="C171" s="13" t="n">
        <v>15523185.76</v>
      </c>
      <c r="D171" s="12" t="n">
        <v>0.9574</v>
      </c>
      <c r="E171" s="13" t="n">
        <v>1</v>
      </c>
      <c r="F171" s="13" t="n">
        <v>0.9574</v>
      </c>
      <c r="G171" s="13" t="n">
        <v>16213269.14</v>
      </c>
      <c r="H171" t="inlineStr">
        <is>
          <t>так</t>
        </is>
      </c>
    </row>
    <row r="172">
      <c r="A172" t="inlineStr">
        <is>
          <t>2026-09</t>
        </is>
      </c>
      <c r="B172" t="inlineStr">
        <is>
          <t>Очікувана вартість</t>
        </is>
      </c>
      <c r="C172" s="13" t="n">
        <v>6416298.35</v>
      </c>
      <c r="D172" s="12" t="n">
        <v>0.0505</v>
      </c>
      <c r="E172" s="13" t="n">
        <v>1</v>
      </c>
      <c r="F172" s="13" t="n">
        <v>0.0505</v>
      </c>
      <c r="G172" s="13" t="n">
        <v>127071544.63</v>
      </c>
      <c r="H172" t="inlineStr">
        <is>
          <t>ні</t>
        </is>
      </c>
    </row>
    <row r="173">
      <c r="A173" t="inlineStr">
        <is>
          <t>2025-09</t>
        </is>
      </c>
      <c r="B173" t="inlineStr">
        <is>
          <t>Закупівель</t>
        </is>
      </c>
      <c r="C173" s="13" t="n">
        <v>177</v>
      </c>
      <c r="D173" s="12" t="n">
        <v>0.9574</v>
      </c>
      <c r="E173" s="13" t="n">
        <v>1</v>
      </c>
      <c r="F173" s="13" t="n">
        <v>0.9574</v>
      </c>
      <c r="G173" s="13" t="n">
        <v>184.87</v>
      </c>
      <c r="H173" t="inlineStr">
        <is>
          <t>так</t>
        </is>
      </c>
    </row>
    <row r="174">
      <c r="A174" t="inlineStr">
        <is>
          <t>2026-09</t>
        </is>
      </c>
      <c r="B174" t="inlineStr">
        <is>
          <t>Закупівель</t>
        </is>
      </c>
      <c r="C174" s="13" t="n">
        <v>5</v>
      </c>
      <c r="D174" s="12" t="n">
        <v>0.0505</v>
      </c>
      <c r="E174" s="13" t="n">
        <v>1</v>
      </c>
      <c r="F174" s="13" t="n">
        <v>0.0505</v>
      </c>
      <c r="G174" s="13" t="n">
        <v>99.02</v>
      </c>
      <c r="H174" t="inlineStr">
        <is>
          <t>ні</t>
        </is>
      </c>
    </row>
    <row r="175">
      <c r="A175" t="inlineStr">
        <is>
          <t>2025-09</t>
        </is>
      </c>
      <c r="B175" t="inlineStr">
        <is>
          <t>Сума наших ТОВ</t>
        </is>
      </c>
      <c r="C175" s="13" t="n">
        <v>443192.4</v>
      </c>
      <c r="D175" s="12" t="n">
        <v>0.9574</v>
      </c>
      <c r="E175" s="13" t="n">
        <v>1</v>
      </c>
      <c r="F175" s="13" t="n">
        <v>0.9574</v>
      </c>
      <c r="G175" s="13" t="n">
        <v>462894.52</v>
      </c>
      <c r="H175" t="inlineStr">
        <is>
          <t>так</t>
        </is>
      </c>
    </row>
    <row r="176">
      <c r="A176" t="inlineStr">
        <is>
          <t>2026-08</t>
        </is>
      </c>
      <c r="B176" t="inlineStr">
        <is>
          <t>Сума наших ТОВ</t>
        </is>
      </c>
      <c r="C176" s="13" t="n">
        <v>0</v>
      </c>
      <c r="D176" s="12" t="n">
        <v>1</v>
      </c>
      <c r="E176" s="13" t="n">
        <v>0.8318</v>
      </c>
      <c r="F176" s="13" t="n">
        <v>0.8318</v>
      </c>
      <c r="G176" s="13" t="n">
        <v>0</v>
      </c>
      <c r="H176" t="inlineStr">
        <is>
          <t>так</t>
        </is>
      </c>
    </row>
    <row r="177">
      <c r="A177" t="inlineStr">
        <is>
          <t>2026-09</t>
        </is>
      </c>
      <c r="B177" t="inlineStr">
        <is>
          <t>Сума наших ТОВ</t>
        </is>
      </c>
      <c r="C177" s="13" t="n">
        <v>0</v>
      </c>
      <c r="D177" s="12" t="n">
        <v>0.0505</v>
      </c>
      <c r="E177" s="13" t="n">
        <v>0.2492</v>
      </c>
      <c r="F177" s="13" t="n">
        <v>0.0126</v>
      </c>
      <c r="G177" s="13" t="n">
        <v>0</v>
      </c>
      <c r="H177" t="inlineStr">
        <is>
          <t>ні</t>
        </is>
      </c>
    </row>
    <row r="179">
      <c r="A179" s="2" t="inlineStr">
        <is>
          <t>Перевірка поправки</t>
        </is>
      </c>
    </row>
    <row r="180">
      <c r="A180" s="11" t="inlineStr">
        <is>
          <t>Місяць</t>
        </is>
      </c>
      <c r="B180" s="11" t="inlineStr">
        <is>
          <t>Видно було на кінець місяця</t>
        </is>
      </c>
      <c r="C180" s="11" t="inlineStr">
        <is>
          <t>Скориговано тоді</t>
        </is>
      </c>
      <c r="D180" s="11" t="inlineStr">
        <is>
          <t>Насправді виявилося</t>
        </is>
      </c>
      <c r="E180" s="11" t="inlineStr">
        <is>
          <t>Похибка без поправки</t>
        </is>
      </c>
      <c r="F180" s="11" t="inlineStr">
        <is>
          <t>Похибка з поправкою</t>
        </is>
      </c>
    </row>
    <row r="181">
      <c r="A181" t="inlineStr">
        <is>
          <t>2025-09</t>
        </is>
      </c>
      <c r="B181" s="13" t="n">
        <v>9709201.529999999</v>
      </c>
      <c r="C181" s="13" t="n">
        <v>12335760.27</v>
      </c>
      <c r="D181" s="13" t="n">
        <v>11563064.43</v>
      </c>
      <c r="E181" s="13" t="n">
        <v>-0.1603</v>
      </c>
      <c r="F181" s="13" t="n">
        <v>0.0668</v>
      </c>
    </row>
    <row r="182">
      <c r="A182" t="inlineStr">
        <is>
          <t>2025-10</t>
        </is>
      </c>
      <c r="B182" s="13" t="n">
        <v>17195854.27</v>
      </c>
      <c r="C182" s="13" t="n">
        <v>21820067</v>
      </c>
      <c r="D182" s="13" t="n">
        <v>20692419.51</v>
      </c>
      <c r="E182" s="13" t="n">
        <v>-0.169</v>
      </c>
      <c r="F182" s="13" t="n">
        <v>0.0545</v>
      </c>
    </row>
    <row r="183">
      <c r="A183" t="inlineStr">
        <is>
          <t>2025-11</t>
        </is>
      </c>
      <c r="B183" s="13" t="n">
        <v>14211582.57</v>
      </c>
      <c r="C183" s="13" t="n">
        <v>17246918.19</v>
      </c>
      <c r="D183" s="13" t="n">
        <v>17443458.37</v>
      </c>
      <c r="E183" s="13" t="n">
        <v>-0.1853</v>
      </c>
      <c r="F183" s="13" t="n">
        <v>-0.0113</v>
      </c>
    </row>
    <row r="184">
      <c r="A184" t="inlineStr">
        <is>
          <t>2025-12</t>
        </is>
      </c>
      <c r="B184" s="13" t="n">
        <v>11899705.44</v>
      </c>
      <c r="C184" s="13" t="n">
        <v>13196928.78</v>
      </c>
      <c r="D184" s="13" t="n">
        <v>11925310.44</v>
      </c>
      <c r="E184" s="13" t="n">
        <v>-0.0021</v>
      </c>
      <c r="F184" s="13" t="n">
        <v>0.1066</v>
      </c>
    </row>
    <row r="185">
      <c r="A185" t="inlineStr">
        <is>
          <t>2026-01</t>
        </is>
      </c>
      <c r="B185" s="13" t="n">
        <v>1259632.4</v>
      </c>
      <c r="C185" s="13" t="n">
        <v>1985505.5</v>
      </c>
      <c r="D185" s="13" t="n">
        <v>2391256.88</v>
      </c>
      <c r="E185" s="13" t="n">
        <v>-0.4732</v>
      </c>
      <c r="F185" s="13" t="n">
        <v>-0.1697</v>
      </c>
    </row>
    <row r="186">
      <c r="A186" t="inlineStr">
        <is>
          <t>2026-02</t>
        </is>
      </c>
      <c r="B186" s="13" t="n">
        <v>3128002</v>
      </c>
      <c r="C186" s="13" t="n">
        <v>4152370.18</v>
      </c>
      <c r="D186" s="13" t="n">
        <v>4063778</v>
      </c>
      <c r="E186" s="13" t="n">
        <v>-0.2303</v>
      </c>
      <c r="F186" s="13" t="n">
        <v>0.0218</v>
      </c>
    </row>
    <row r="187">
      <c r="A187" t="inlineStr">
        <is>
          <t>2026-03</t>
        </is>
      </c>
      <c r="B187" s="13" t="n">
        <v>5197945.57</v>
      </c>
      <c r="C187" s="13" t="n">
        <v>7443680.88</v>
      </c>
      <c r="D187" s="13" t="n">
        <v>7665282.61</v>
      </c>
      <c r="E187" s="13" t="n">
        <v>-0.3219</v>
      </c>
      <c r="F187" s="13" t="n">
        <v>-0.0289</v>
      </c>
    </row>
    <row r="188">
      <c r="A188" t="inlineStr">
        <is>
          <t>2026-04</t>
        </is>
      </c>
      <c r="B188" s="13" t="n">
        <v>5336616.74</v>
      </c>
      <c r="C188" s="13" t="n">
        <v>7099431.6</v>
      </c>
      <c r="D188" s="13" t="n">
        <v>6553133.04</v>
      </c>
      <c r="E188" s="13" t="n">
        <v>-0.1856</v>
      </c>
      <c r="F188" s="13" t="n">
        <v>0.0834</v>
      </c>
    </row>
    <row r="189">
      <c r="A189" t="inlineStr">
        <is>
          <t>2026-05</t>
        </is>
      </c>
      <c r="B189" s="13" t="n">
        <v>5564444.07</v>
      </c>
      <c r="C189" s="13" t="n">
        <v>6837444.69</v>
      </c>
      <c r="D189" s="13" t="n">
        <v>6929667.07</v>
      </c>
      <c r="E189" s="13" t="n">
        <v>-0.197</v>
      </c>
      <c r="F189" s="13" t="n">
        <v>-0.0133</v>
      </c>
    </row>
    <row r="190">
      <c r="A190" t="inlineStr">
        <is>
          <t>2026-06</t>
        </is>
      </c>
      <c r="B190" s="13" t="n">
        <v>10420034.71</v>
      </c>
      <c r="C190" s="13" t="n">
        <v>13179093.93</v>
      </c>
      <c r="D190" s="13" t="n">
        <v>12332629.09</v>
      </c>
      <c r="E190" s="13" t="n">
        <v>-0.1551</v>
      </c>
      <c r="F190" s="13" t="n">
        <v>0.06859999999999999</v>
      </c>
    </row>
    <row r="191">
      <c r="A191" t="inlineStr">
        <is>
          <t>2026-07</t>
        </is>
      </c>
      <c r="B191" s="13" t="n">
        <v>6734506.8</v>
      </c>
      <c r="C191" s="13" t="n">
        <v>9776869.99</v>
      </c>
      <c r="D191" s="13" t="n">
        <v>8810389.59</v>
      </c>
      <c r="E191" s="13" t="n">
        <v>-0.2356</v>
      </c>
      <c r="F191" s="13" t="n">
        <v>0.1097</v>
      </c>
    </row>
    <row r="193">
      <c r="A193" s="2" t="inlineStr">
        <is>
          <t>Перевірка моделей</t>
        </is>
      </c>
    </row>
    <row r="194">
      <c r="A194" s="11" t="inlineStr">
        <is>
          <t>Показник</t>
        </is>
      </c>
      <c r="B194" s="11" t="inlineStr">
        <is>
          <t>Модель</t>
        </is>
      </c>
      <c r="C194" s="11" t="inlineStr">
        <is>
          <t>Рішень у моделі</t>
        </is>
      </c>
      <c r="D194" s="11" t="inlineStr">
        <is>
          <t>MASE</t>
        </is>
      </c>
      <c r="E194" s="11" t="inlineStr">
        <is>
          <t>Звірок з фактом</t>
        </is>
      </c>
      <c r="F194" s="11" t="inlineStr">
        <is>
          <t>Обрана</t>
        </is>
      </c>
    </row>
    <row r="195">
      <c r="A195" t="inlineStr">
        <is>
          <t>Сума угод</t>
        </is>
      </c>
      <c r="B195" t="inlineStr">
        <is>
          <t>Стала (медіана)</t>
        </is>
      </c>
      <c r="C195" s="5" t="n">
        <v>1</v>
      </c>
      <c r="D195" s="13" t="n">
        <v>0.468</v>
      </c>
      <c r="E195" s="5" t="n">
        <v>9</v>
      </c>
      <c r="F195" t="inlineStr">
        <is>
          <t>так</t>
        </is>
      </c>
    </row>
    <row r="196">
      <c r="A196" t="inlineStr">
        <is>
          <t>Сума угод</t>
        </is>
      </c>
      <c r="B196" t="inlineStr">
        <is>
          <t>Комбінація простих</t>
        </is>
      </c>
      <c r="C196" s="5" t="n">
        <v>4</v>
      </c>
      <c r="D196" s="13" t="n">
        <v>0.665</v>
      </c>
      <c r="E196" s="5" t="n">
        <v>9</v>
      </c>
      <c r="F196" t="inlineStr"/>
    </row>
    <row r="197">
      <c r="A197" t="inlineStr">
        <is>
          <t>Сума угод</t>
        </is>
      </c>
      <c r="B197" t="inlineStr">
        <is>
          <t>Експоненційне згладжування</t>
        </is>
      </c>
      <c r="C197" s="5" t="n">
        <v>2</v>
      </c>
      <c r="D197" s="13" t="n">
        <v>0.698</v>
      </c>
      <c r="E197" s="5" t="n">
        <v>9</v>
      </c>
      <c r="F197" t="inlineStr"/>
    </row>
    <row r="198">
      <c r="A198" t="inlineStr">
        <is>
          <t>Сума угод</t>
        </is>
      </c>
      <c r="B198" t="inlineStr">
        <is>
          <t>Наївна (останній місяць)</t>
        </is>
      </c>
      <c r="C198" s="5" t="n">
        <v>0</v>
      </c>
      <c r="D198" s="13" t="n">
        <v>0.72</v>
      </c>
      <c r="E198" s="5" t="n">
        <v>9</v>
      </c>
      <c r="F198" t="inlineStr"/>
    </row>
    <row r="199">
      <c r="A199" t="inlineStr">
        <is>
          <t>Сума угод</t>
        </is>
      </c>
      <c r="B199" t="inlineStr">
        <is>
          <t>Тета (логарифми)</t>
        </is>
      </c>
      <c r="C199" s="5" t="n">
        <v>3</v>
      </c>
      <c r="D199" s="13" t="n">
        <v>0.766</v>
      </c>
      <c r="E199" s="5" t="n">
        <v>9</v>
      </c>
      <c r="F199" t="inlineStr"/>
    </row>
    <row r="200">
      <c r="A200" t="inlineStr">
        <is>
          <t>Сума угод</t>
        </is>
      </c>
      <c r="B200" t="inlineStr">
        <is>
          <t>Гольт із загасанням (логарифми)</t>
        </is>
      </c>
      <c r="C200" s="5" t="n">
        <v>6</v>
      </c>
      <c r="D200" s="13" t="n">
        <v>0.8169999999999999</v>
      </c>
      <c r="E200" s="5" t="n">
        <v>9</v>
      </c>
      <c r="F200" t="inlineStr"/>
    </row>
    <row r="201">
      <c r="A201" t="inlineStr">
        <is>
          <t>Сума угод</t>
        </is>
      </c>
      <c r="B201" t="inlineStr">
        <is>
          <t>Стійка пряма (Тейл — Сен) (логарифми)</t>
        </is>
      </c>
      <c r="C201" s="5" t="n">
        <v>3</v>
      </c>
      <c r="D201" s="13" t="n">
        <v>0.828</v>
      </c>
      <c r="E201" s="5" t="n">
        <v>9</v>
      </c>
      <c r="F201" t="inlineStr"/>
    </row>
    <row r="202">
      <c r="A202" t="inlineStr">
        <is>
          <t>Сума угод</t>
        </is>
      </c>
      <c r="B202" t="inlineStr">
        <is>
          <t>Експоненційне згладжування (логарифми)</t>
        </is>
      </c>
      <c r="C202" s="5" t="n">
        <v>3</v>
      </c>
      <c r="D202" s="13" t="n">
        <v>0.875</v>
      </c>
      <c r="E202" s="5" t="n">
        <v>9</v>
      </c>
      <c r="F202" t="inlineStr"/>
    </row>
    <row r="203">
      <c r="A203" t="inlineStr">
        <is>
          <t>Сума угод</t>
        </is>
      </c>
      <c r="B203" t="inlineStr">
        <is>
          <t>Тета</t>
        </is>
      </c>
      <c r="C203" s="5" t="n">
        <v>2</v>
      </c>
      <c r="D203" s="13" t="n">
        <v>0.954</v>
      </c>
      <c r="E203" s="5" t="n">
        <v>9</v>
      </c>
      <c r="F203" t="inlineStr"/>
    </row>
    <row r="204">
      <c r="A204" t="inlineStr">
        <is>
          <t>Сума угод</t>
        </is>
      </c>
      <c r="B204" t="inlineStr">
        <is>
          <t>Дрейф</t>
        </is>
      </c>
      <c r="C204" s="5" t="n">
        <v>2</v>
      </c>
      <c r="D204" s="13" t="n">
        <v>0.971</v>
      </c>
      <c r="E204" s="5" t="n">
        <v>9</v>
      </c>
      <c r="F204" t="inlineStr"/>
    </row>
    <row r="205">
      <c r="A205" t="inlineStr">
        <is>
          <t>Сума угод</t>
        </is>
      </c>
      <c r="B205" t="inlineStr">
        <is>
          <t>Гольт із загасанням</t>
        </is>
      </c>
      <c r="C205" s="5" t="n">
        <v>5</v>
      </c>
      <c r="D205" s="13" t="n">
        <v>1.363</v>
      </c>
      <c r="E205" s="5" t="n">
        <v>9</v>
      </c>
      <c r="F205" t="inlineStr"/>
    </row>
    <row r="206">
      <c r="A206" t="inlineStr">
        <is>
          <t>Сума угод</t>
        </is>
      </c>
      <c r="B206" t="inlineStr">
        <is>
          <t>Стійка пряма (Тейл — Сен)</t>
        </is>
      </c>
      <c r="C206" s="5" t="n">
        <v>2</v>
      </c>
      <c r="D206" s="13" t="n">
        <v>1.772</v>
      </c>
      <c r="E206" s="5" t="n">
        <v>9</v>
      </c>
      <c r="F206" t="inlineStr"/>
    </row>
    <row r="207">
      <c r="A207" t="inlineStr">
        <is>
          <t>Очікувана вартість</t>
        </is>
      </c>
      <c r="B207" t="inlineStr">
        <is>
          <t>Стійка пряма (Тейл — Сен) (логарифми)</t>
        </is>
      </c>
      <c r="C207" s="5" t="n">
        <v>3</v>
      </c>
      <c r="D207" s="13" t="n">
        <v>0.331</v>
      </c>
      <c r="E207" s="5" t="n">
        <v>9</v>
      </c>
      <c r="F207" t="inlineStr"/>
    </row>
    <row r="208">
      <c r="A208" t="inlineStr">
        <is>
          <t>Очікувана вартість</t>
        </is>
      </c>
      <c r="B208" t="inlineStr">
        <is>
          <t>Стала (медіана)</t>
        </is>
      </c>
      <c r="C208" s="5" t="n">
        <v>1</v>
      </c>
      <c r="D208" s="13" t="n">
        <v>0.369</v>
      </c>
      <c r="E208" s="5" t="n">
        <v>9</v>
      </c>
      <c r="F208" t="inlineStr">
        <is>
          <t>так</t>
        </is>
      </c>
    </row>
    <row r="209">
      <c r="A209" t="inlineStr">
        <is>
          <t>Очікувана вартість</t>
        </is>
      </c>
      <c r="B209" t="inlineStr">
        <is>
          <t>Гольт із загасанням (логарифми)</t>
        </is>
      </c>
      <c r="C209" s="5" t="n">
        <v>6</v>
      </c>
      <c r="D209" s="13" t="n">
        <v>0.419</v>
      </c>
      <c r="E209" s="5" t="n">
        <v>9</v>
      </c>
      <c r="F209" t="inlineStr"/>
    </row>
    <row r="210">
      <c r="A210" t="inlineStr">
        <is>
          <t>Очікувана вартість</t>
        </is>
      </c>
      <c r="B210" t="inlineStr">
        <is>
          <t>Комбінація простих</t>
        </is>
      </c>
      <c r="C210" s="5" t="n">
        <v>4</v>
      </c>
      <c r="D210" s="13" t="n">
        <v>0.457</v>
      </c>
      <c r="E210" s="5" t="n">
        <v>9</v>
      </c>
      <c r="F210" t="inlineStr"/>
    </row>
    <row r="211">
      <c r="A211" t="inlineStr">
        <is>
          <t>Очікувана вартість</t>
        </is>
      </c>
      <c r="B211" t="inlineStr">
        <is>
          <t>Експоненційне згладжування</t>
        </is>
      </c>
      <c r="C211" s="5" t="n">
        <v>2</v>
      </c>
      <c r="D211" s="13" t="n">
        <v>0.516</v>
      </c>
      <c r="E211" s="5" t="n">
        <v>9</v>
      </c>
      <c r="F211" t="inlineStr"/>
    </row>
    <row r="212">
      <c r="A212" t="inlineStr">
        <is>
          <t>Очікувана вартість</t>
        </is>
      </c>
      <c r="B212" t="inlineStr">
        <is>
          <t>Наївна (останній місяць)</t>
        </is>
      </c>
      <c r="C212" s="5" t="n">
        <v>0</v>
      </c>
      <c r="D212" s="13" t="n">
        <v>0.537</v>
      </c>
      <c r="E212" s="5" t="n">
        <v>9</v>
      </c>
      <c r="F212" t="inlineStr"/>
    </row>
    <row r="213">
      <c r="A213" t="inlineStr">
        <is>
          <t>Очікувана вартість</t>
        </is>
      </c>
      <c r="B213" t="inlineStr">
        <is>
          <t>Дрейф</t>
        </is>
      </c>
      <c r="C213" s="5" t="n">
        <v>2</v>
      </c>
      <c r="D213" s="13" t="n">
        <v>0.698</v>
      </c>
      <c r="E213" s="5" t="n">
        <v>9</v>
      </c>
      <c r="F213" t="inlineStr"/>
    </row>
    <row r="214">
      <c r="A214" t="inlineStr">
        <is>
          <t>Очікувана вартість</t>
        </is>
      </c>
      <c r="B214" t="inlineStr">
        <is>
          <t>Тета</t>
        </is>
      </c>
      <c r="C214" s="5" t="n">
        <v>2</v>
      </c>
      <c r="D214" s="13" t="n">
        <v>0.701</v>
      </c>
      <c r="E214" s="5" t="n">
        <v>9</v>
      </c>
      <c r="F214" t="inlineStr"/>
    </row>
    <row r="215">
      <c r="A215" t="inlineStr">
        <is>
          <t>Очікувана вартість</t>
        </is>
      </c>
      <c r="B215" t="inlineStr">
        <is>
          <t>Гольт із загасанням</t>
        </is>
      </c>
      <c r="C215" s="5" t="n">
        <v>5</v>
      </c>
      <c r="D215" s="13" t="n">
        <v>0.948</v>
      </c>
      <c r="E215" s="5" t="n">
        <v>9</v>
      </c>
      <c r="F215" t="inlineStr"/>
    </row>
    <row r="216">
      <c r="A216" t="inlineStr">
        <is>
          <t>Очікувана вартість</t>
        </is>
      </c>
      <c r="B216" t="inlineStr">
        <is>
          <t>Тета (логарифми)</t>
        </is>
      </c>
      <c r="C216" s="5" t="n">
        <v>3</v>
      </c>
      <c r="D216" s="13" t="n">
        <v>1.051</v>
      </c>
      <c r="E216" s="5" t="n">
        <v>9</v>
      </c>
      <c r="F216" t="inlineStr"/>
    </row>
    <row r="217">
      <c r="A217" t="inlineStr">
        <is>
          <t>Очікувана вартість</t>
        </is>
      </c>
      <c r="B217" t="inlineStr">
        <is>
          <t>Стійка пряма (Тейл — Сен)</t>
        </is>
      </c>
      <c r="C217" s="5" t="n">
        <v>2</v>
      </c>
      <c r="D217" s="13" t="n">
        <v>1.14</v>
      </c>
      <c r="E217" s="5" t="n">
        <v>9</v>
      </c>
      <c r="F217" t="inlineStr"/>
    </row>
    <row r="218">
      <c r="A218" t="inlineStr">
        <is>
          <t>Очікувана вартість</t>
        </is>
      </c>
      <c r="B218" t="inlineStr">
        <is>
          <t>Експоненційне згладжування (логарифми)</t>
        </is>
      </c>
      <c r="C218" s="5" t="n">
        <v>3</v>
      </c>
      <c r="D218" s="13" t="n">
        <v>1.228</v>
      </c>
      <c r="E218" s="5" t="n">
        <v>9</v>
      </c>
      <c r="F218" t="inlineStr"/>
    </row>
    <row r="219">
      <c r="A219" t="inlineStr">
        <is>
          <t>Закупівель</t>
        </is>
      </c>
      <c r="B219" t="inlineStr">
        <is>
          <t>Гольт із загасанням (логарифми)</t>
        </is>
      </c>
      <c r="C219" s="5" t="n">
        <v>6</v>
      </c>
      <c r="D219" s="13" t="n">
        <v>0.312</v>
      </c>
      <c r="E219" s="5" t="n">
        <v>9</v>
      </c>
      <c r="F219" t="inlineStr"/>
    </row>
    <row r="220">
      <c r="A220" t="inlineStr">
        <is>
          <t>Закупівель</t>
        </is>
      </c>
      <c r="B220" t="inlineStr">
        <is>
          <t>Тета (логарифми)</t>
        </is>
      </c>
      <c r="C220" s="5" t="n">
        <v>3</v>
      </c>
      <c r="D220" s="13" t="n">
        <v>0.323</v>
      </c>
      <c r="E220" s="5" t="n">
        <v>9</v>
      </c>
      <c r="F220" t="inlineStr"/>
    </row>
    <row r="221">
      <c r="A221" t="inlineStr">
        <is>
          <t>Закупівель</t>
        </is>
      </c>
      <c r="B221" t="inlineStr">
        <is>
          <t>Комбінація простих</t>
        </is>
      </c>
      <c r="C221" s="5" t="n">
        <v>4</v>
      </c>
      <c r="D221" s="13" t="n">
        <v>0.335</v>
      </c>
      <c r="E221" s="5" t="n">
        <v>9</v>
      </c>
      <c r="F221" t="inlineStr"/>
    </row>
    <row r="222">
      <c r="A222" t="inlineStr">
        <is>
          <t>Закупівель</t>
        </is>
      </c>
      <c r="B222" t="inlineStr">
        <is>
          <t>Стійка пряма (Тейл — Сен) (логарифми)</t>
        </is>
      </c>
      <c r="C222" s="5" t="n">
        <v>3</v>
      </c>
      <c r="D222" s="13" t="n">
        <v>0.345</v>
      </c>
      <c r="E222" s="5" t="n">
        <v>9</v>
      </c>
      <c r="F222" t="inlineStr"/>
    </row>
    <row r="223">
      <c r="A223" t="inlineStr">
        <is>
          <t>Закупівель</t>
        </is>
      </c>
      <c r="B223" t="inlineStr">
        <is>
          <t>Стала (медіана)</t>
        </is>
      </c>
      <c r="C223" s="5" t="n">
        <v>1</v>
      </c>
      <c r="D223" s="13" t="n">
        <v>0.346</v>
      </c>
      <c r="E223" s="5" t="n">
        <v>9</v>
      </c>
      <c r="F223" t="inlineStr">
        <is>
          <t>так</t>
        </is>
      </c>
    </row>
    <row r="224">
      <c r="A224" t="inlineStr">
        <is>
          <t>Закупівель</t>
        </is>
      </c>
      <c r="B224" t="inlineStr">
        <is>
          <t>Стійка пряма (Тейл — Сен)</t>
        </is>
      </c>
      <c r="C224" s="5" t="n">
        <v>2</v>
      </c>
      <c r="D224" s="13" t="n">
        <v>0.41</v>
      </c>
      <c r="E224" s="5" t="n">
        <v>9</v>
      </c>
      <c r="F224" t="inlineStr"/>
    </row>
    <row r="225">
      <c r="A225" t="inlineStr">
        <is>
          <t>Закупівель</t>
        </is>
      </c>
      <c r="B225" t="inlineStr">
        <is>
          <t>Наївна (останній місяць)</t>
        </is>
      </c>
      <c r="C225" s="5" t="n">
        <v>0</v>
      </c>
      <c r="D225" s="13" t="n">
        <v>0.425</v>
      </c>
      <c r="E225" s="5" t="n">
        <v>9</v>
      </c>
      <c r="F225" t="inlineStr"/>
    </row>
    <row r="226">
      <c r="A226" t="inlineStr">
        <is>
          <t>Закупівель</t>
        </is>
      </c>
      <c r="B226" t="inlineStr">
        <is>
          <t>Дрейф</t>
        </is>
      </c>
      <c r="C226" s="5" t="n">
        <v>2</v>
      </c>
      <c r="D226" s="13" t="n">
        <v>0.429</v>
      </c>
      <c r="E226" s="5" t="n">
        <v>9</v>
      </c>
      <c r="F226" t="inlineStr"/>
    </row>
    <row r="227">
      <c r="A227" t="inlineStr">
        <is>
          <t>Закупівель</t>
        </is>
      </c>
      <c r="B227" t="inlineStr">
        <is>
          <t>Тета</t>
        </is>
      </c>
      <c r="C227" s="5" t="n">
        <v>2</v>
      </c>
      <c r="D227" s="13" t="n">
        <v>0.441</v>
      </c>
      <c r="E227" s="5" t="n">
        <v>9</v>
      </c>
      <c r="F227" t="inlineStr"/>
    </row>
    <row r="228">
      <c r="A228" t="inlineStr">
        <is>
          <t>Закупівель</t>
        </is>
      </c>
      <c r="B228" t="inlineStr">
        <is>
          <t>Експоненційне згладжування</t>
        </is>
      </c>
      <c r="C228" s="5" t="n">
        <v>2</v>
      </c>
      <c r="D228" s="13" t="n">
        <v>0.455</v>
      </c>
      <c r="E228" s="5" t="n">
        <v>9</v>
      </c>
      <c r="F228" t="inlineStr"/>
    </row>
    <row r="229">
      <c r="A229" t="inlineStr">
        <is>
          <t>Закупівель</t>
        </is>
      </c>
      <c r="B229" t="inlineStr">
        <is>
          <t>Гольт із загасанням</t>
        </is>
      </c>
      <c r="C229" s="5" t="n">
        <v>5</v>
      </c>
      <c r="D229" s="13" t="n">
        <v>0.456</v>
      </c>
      <c r="E229" s="5" t="n">
        <v>9</v>
      </c>
      <c r="F229" t="inlineStr"/>
    </row>
    <row r="230">
      <c r="A230" t="inlineStr">
        <is>
          <t>Закупівель</t>
        </is>
      </c>
      <c r="B230" t="inlineStr">
        <is>
          <t>Експоненційне згладжування (логарифми)</t>
        </is>
      </c>
      <c r="C230" s="5" t="n">
        <v>3</v>
      </c>
      <c r="D230" s="13" t="n">
        <v>0.598</v>
      </c>
      <c r="E230" s="5" t="n">
        <v>9</v>
      </c>
      <c r="F230" t="inlineStr"/>
    </row>
    <row r="231">
      <c r="A231" t="inlineStr">
        <is>
          <t>Сума наших ТОВ</t>
        </is>
      </c>
      <c r="B231" t="inlineStr">
        <is>
          <t>Стала (медіана)</t>
        </is>
      </c>
      <c r="C231" s="5" t="n">
        <v>1</v>
      </c>
      <c r="D231" s="13" t="n">
        <v>0.734</v>
      </c>
      <c r="E231" s="5" t="n">
        <v>9</v>
      </c>
      <c r="F231" t="inlineStr">
        <is>
          <t>так</t>
        </is>
      </c>
    </row>
    <row r="232">
      <c r="A232" t="inlineStr">
        <is>
          <t>Сума наших ТОВ</t>
        </is>
      </c>
      <c r="B232" t="inlineStr">
        <is>
          <t>Експоненційне згладжування</t>
        </is>
      </c>
      <c r="C232" s="5" t="n">
        <v>2</v>
      </c>
      <c r="D232" s="13" t="n">
        <v>0.765</v>
      </c>
      <c r="E232" s="5" t="n">
        <v>9</v>
      </c>
      <c r="F232" t="inlineStr"/>
    </row>
    <row r="233">
      <c r="A233" t="inlineStr">
        <is>
          <t>Сума наших ТОВ</t>
        </is>
      </c>
      <c r="B233" t="inlineStr">
        <is>
          <t>Тета</t>
        </is>
      </c>
      <c r="C233" s="5" t="n">
        <v>2</v>
      </c>
      <c r="D233" s="13" t="n">
        <v>0.8169999999999999</v>
      </c>
      <c r="E233" s="5" t="n">
        <v>9</v>
      </c>
      <c r="F233" t="inlineStr"/>
    </row>
    <row r="234">
      <c r="A234" t="inlineStr">
        <is>
          <t>Сума наших ТОВ</t>
        </is>
      </c>
      <c r="B234" t="inlineStr">
        <is>
          <t>Гольт із загасанням</t>
        </is>
      </c>
      <c r="C234" s="5" t="n">
        <v>5</v>
      </c>
      <c r="D234" s="13" t="n">
        <v>0.88</v>
      </c>
      <c r="E234" s="5" t="n">
        <v>9</v>
      </c>
      <c r="F234" t="inlineStr"/>
    </row>
    <row r="235">
      <c r="A235" t="inlineStr">
        <is>
          <t>Сума наших ТОВ</t>
        </is>
      </c>
      <c r="B235" t="inlineStr">
        <is>
          <t>Стійка пряма (Тейл — Сен)</t>
        </is>
      </c>
      <c r="C235" s="5" t="n">
        <v>2</v>
      </c>
      <c r="D235" s="13" t="n">
        <v>0.895</v>
      </c>
      <c r="E235" s="5" t="n">
        <v>9</v>
      </c>
      <c r="F235" t="inlineStr"/>
    </row>
    <row r="236">
      <c r="A236" t="inlineStr">
        <is>
          <t>Сума наших ТОВ</t>
        </is>
      </c>
      <c r="B236" t="inlineStr">
        <is>
          <t>Комбінація простих</t>
        </is>
      </c>
      <c r="C236" s="5" t="n">
        <v>3</v>
      </c>
      <c r="D236" s="13" t="n">
        <v>0.901</v>
      </c>
      <c r="E236" s="5" t="n">
        <v>9</v>
      </c>
      <c r="F236" t="inlineStr"/>
    </row>
    <row r="237">
      <c r="A237" t="inlineStr">
        <is>
          <t>Сума наших ТОВ</t>
        </is>
      </c>
      <c r="B237" t="inlineStr">
        <is>
          <t>Наївна (останній місяць)</t>
        </is>
      </c>
      <c r="C237" s="5" t="n">
        <v>0</v>
      </c>
      <c r="D237" s="13" t="n">
        <v>1.12</v>
      </c>
      <c r="E237" s="5" t="n">
        <v>9</v>
      </c>
      <c r="F237" t="inlineStr"/>
    </row>
    <row r="238">
      <c r="A238" t="inlineStr">
        <is>
          <t>Сума наших ТОВ</t>
        </is>
      </c>
      <c r="B238" t="inlineStr">
        <is>
          <t>Дрейф</t>
        </is>
      </c>
      <c r="C238" s="5" t="n">
        <v>2</v>
      </c>
      <c r="D238" s="13" t="n">
        <v>1.252</v>
      </c>
      <c r="E238" s="5" t="n">
        <v>9</v>
      </c>
      <c r="F238" t="inlineStr"/>
    </row>
    <row r="240">
      <c r="A240" s="7" t="inlineStr">
        <is>
          <t>Прогноз по гравцях</t>
        </is>
      </c>
    </row>
    <row r="241">
      <c r="A241" s="6" t="inlineStr">
        <is>
          <t>Той самий рушій, але на ряду однієї компанії. Ряд гравця коротший і рідший за ринковий, тож моделі тут лише прості, а колонка «Надійний» порожня частіше, ніж заповнена — це чесна ознака того, що для окремої компанії місячних даних замало.</t>
        </is>
      </c>
    </row>
    <row r="243">
      <c r="A243" s="8" t="inlineStr">
        <is>
          <t>Показники</t>
        </is>
      </c>
    </row>
    <row r="244">
      <c r="A244" s="9" t="inlineStr">
        <is>
          <t>Гравців у прогнозі</t>
        </is>
      </c>
      <c r="B244" s="10" t="inlineStr">
        <is>
          <t>9</t>
        </is>
      </c>
    </row>
    <row r="245">
      <c r="A245" s="9" t="inlineStr">
        <is>
          <t>З них перевірку пройшли</t>
        </is>
      </c>
      <c r="B245" s="10" t="inlineStr">
        <is>
          <t>7</t>
        </is>
      </c>
    </row>
    <row r="246">
      <c r="A246" s="9" t="inlineStr">
        <is>
          <t>Разом за 3 міс.</t>
        </is>
      </c>
      <c r="B246" s="10" t="inlineStr">
        <is>
          <t>11,3 млн грн</t>
        </is>
      </c>
    </row>
    <row r="248">
      <c r="A248" s="8" t="inlineStr">
        <is>
          <t>Висновки</t>
        </is>
      </c>
    </row>
    <row r="249">
      <c r="A249" t="inlineStr">
        <is>
          <t>•  Ковзну перевірку пройшли 7 з 9 гравців. Для решти прогноз показано, але спиратися на нього не можна: модель не перемогла наївного «як минулого місяця». Це очікувано — місячний ряд однієї компанії наполовину складається з нулів.</t>
        </is>
      </c>
    </row>
    <row r="251">
      <c r="A251" s="8" t="inlineStr">
        <is>
          <t>Графіки</t>
        </is>
      </c>
    </row>
    <row r="253">
      <c r="A253" s="2" t="inlineStr">
        <is>
          <t>Прогноз на 2026-09 по гравцях</t>
        </is>
      </c>
    </row>
    <row r="254">
      <c r="A254" s="6" t="inlineStr">
        <is>
          <t>Наші ТОВ виділені кольором. Смуга — точковий прогноз; межі дивіться в таблиці нижче.</t>
        </is>
      </c>
    </row>
    <row r="255">
      <c r="A255" s="3" t="inlineStr">
        <is>
          <t>Категорія</t>
        </is>
      </c>
      <c r="B255" s="3" t="inlineStr">
        <is>
          <t>Прогноз, грн</t>
        </is>
      </c>
    </row>
    <row r="256">
      <c r="A256" t="inlineStr">
        <is>
          <t>ПОРТАЛ АРЕНА</t>
        </is>
      </c>
      <c r="B256" s="5" t="n">
        <v>1914416.73</v>
      </c>
    </row>
    <row r="257">
      <c r="A257" t="inlineStr">
        <is>
          <t>ЮДІТРЕЙД</t>
        </is>
      </c>
      <c r="B257" s="5" t="n">
        <v>1039056.32</v>
      </c>
    </row>
    <row r="258">
      <c r="A258" t="inlineStr">
        <is>
          <t>ПАРСЕРС</t>
        </is>
      </c>
      <c r="B258" s="5" t="n">
        <v>485983.66</v>
      </c>
    </row>
    <row r="259">
      <c r="A259" t="inlineStr">
        <is>
          <t>ТОРГОВИЙ ДІМ "ПАРТНЕР АЙ ТІ</t>
        </is>
      </c>
      <c r="B259" s="5" t="n">
        <v>166125</v>
      </c>
    </row>
    <row r="260">
      <c r="A260" t="inlineStr">
        <is>
          <t>КОРВЕТ</t>
        </is>
      </c>
      <c r="B260" s="5" t="n">
        <v>104694.15</v>
      </c>
    </row>
    <row r="261">
      <c r="A261" t="inlineStr">
        <is>
          <t>ТІНОС-Д</t>
        </is>
      </c>
      <c r="B261" s="5" t="n">
        <v>51048.71</v>
      </c>
    </row>
    <row r="269">
      <c r="A269" s="8" t="inlineStr">
        <is>
          <t>Таблиці</t>
        </is>
      </c>
    </row>
    <row r="271">
      <c r="A271" s="2" t="inlineStr">
        <is>
          <t>Прогноз по гравцях</t>
        </is>
      </c>
    </row>
    <row r="272">
      <c r="A272" s="11" t="inlineStr">
        <is>
          <t>ЄДРПОУ</t>
        </is>
      </c>
      <c r="B272" s="11" t="inlineStr">
        <is>
          <t>Компанія</t>
        </is>
      </c>
      <c r="C272" s="11" t="inlineStr">
        <is>
          <t>Наша</t>
        </is>
      </c>
      <c r="D272" s="11" t="inlineStr">
        <is>
          <t>Місце</t>
        </is>
      </c>
      <c r="E272" s="11" t="inlineStr">
        <is>
          <t>Остання сума, грн</t>
        </is>
      </c>
      <c r="F272" s="11" t="inlineStr">
        <is>
          <t>Прогноз, грн</t>
        </is>
      </c>
      <c r="G272" s="11" t="inlineStr">
        <is>
          <t>Нижня межа 80%, грн</t>
        </is>
      </c>
      <c r="H272" s="11" t="inlineStr">
        <is>
          <t>Верхня межа 80%, грн</t>
        </is>
      </c>
      <c r="I272" s="11" t="inlineStr">
        <is>
          <t>Разом за 3 міс., грн</t>
        </is>
      </c>
      <c r="J272" s="11" t="inlineStr">
        <is>
          <t>Модель</t>
        </is>
      </c>
      <c r="K272" s="11" t="inlineStr">
        <is>
          <t>MASE</t>
        </is>
      </c>
      <c r="L272" s="11" t="inlineStr">
        <is>
          <t>Перевірка</t>
        </is>
      </c>
    </row>
    <row r="273">
      <c r="A273" t="inlineStr">
        <is>
          <t>45119322</t>
        </is>
      </c>
      <c r="B273" t="inlineStr">
        <is>
          <t>ТОВ «ПОРТАЛ АРЕНА»</t>
        </is>
      </c>
      <c r="C273" t="inlineStr"/>
      <c r="D273" s="5" t="n">
        <v>4</v>
      </c>
      <c r="E273" s="13" t="n">
        <v>1914416.73</v>
      </c>
      <c r="F273" s="13" t="n">
        <v>1914416.73</v>
      </c>
      <c r="G273" s="13" t="n">
        <v>840566</v>
      </c>
      <c r="H273" s="13" t="n">
        <v>2988267.46</v>
      </c>
      <c r="I273" s="13" t="n">
        <v>5743250.19</v>
      </c>
      <c r="J273" t="inlineStr">
        <is>
          <t>Наївна (останній місяць)</t>
        </is>
      </c>
      <c r="K273" s="13" t="n">
        <v>1.85</v>
      </c>
      <c r="L273" t="inlineStr">
        <is>
          <t>не краща за наївну</t>
        </is>
      </c>
    </row>
    <row r="274">
      <c r="A274" t="inlineStr">
        <is>
          <t>42036301</t>
        </is>
      </c>
      <c r="B274" t="inlineStr">
        <is>
          <t>ТОВ «ЮДІТРЕЙД»</t>
        </is>
      </c>
      <c r="C274" t="inlineStr"/>
      <c r="D274" s="5" t="n">
        <v>7</v>
      </c>
      <c r="E274" s="13" t="n">
        <v>1039056.32</v>
      </c>
      <c r="F274" s="13" t="n">
        <v>1039056.32</v>
      </c>
      <c r="G274" s="13" t="n">
        <v>223639.41</v>
      </c>
      <c r="H274" s="13" t="n">
        <v>1854473.23</v>
      </c>
      <c r="I274" s="13" t="n">
        <v>3117168.96</v>
      </c>
      <c r="J274" t="inlineStr">
        <is>
          <t>Наївна (останній місяць)</t>
        </is>
      </c>
      <c r="K274" s="13" t="n">
        <v>1.468</v>
      </c>
      <c r="L274" t="inlineStr">
        <is>
          <t>не краща за наївну</t>
        </is>
      </c>
    </row>
    <row r="275">
      <c r="A275" t="inlineStr">
        <is>
          <t>35893554</t>
        </is>
      </c>
      <c r="B275" t="inlineStr">
        <is>
          <t>ТОВ "ПАРСЕРС"</t>
        </is>
      </c>
      <c r="C275" t="inlineStr"/>
      <c r="D275" s="5" t="n">
        <v>11</v>
      </c>
      <c r="E275" s="13" t="n">
        <v>485983.66</v>
      </c>
      <c r="F275" s="13" t="n">
        <v>485983.66</v>
      </c>
      <c r="G275" s="13" t="n">
        <v>0</v>
      </c>
      <c r="H275" s="13" t="n">
        <v>1377984.93</v>
      </c>
      <c r="I275" s="13" t="n">
        <v>1457950.98</v>
      </c>
      <c r="J275" t="inlineStr">
        <is>
          <t>Наївна (останній місяць)</t>
        </is>
      </c>
      <c r="K275" s="13" t="n">
        <v>0.585</v>
      </c>
      <c r="L275" t="inlineStr">
        <is>
          <t>перевірено</t>
        </is>
      </c>
    </row>
    <row r="276">
      <c r="A276" t="inlineStr">
        <is>
          <t>41263186</t>
        </is>
      </c>
      <c r="B276" t="inlineStr">
        <is>
          <t>ТОВ "ТОРГОВИЙ ДІМ "ПАРТНЕР АЙ ТІ"</t>
        </is>
      </c>
      <c r="C276" t="inlineStr">
        <is>
          <t>так</t>
        </is>
      </c>
      <c r="D276" s="5" t="n">
        <v>3</v>
      </c>
      <c r="E276" s="13" t="n">
        <v>0</v>
      </c>
      <c r="F276" s="13" t="n">
        <v>166125</v>
      </c>
      <c r="G276" s="13" t="n">
        <v>0</v>
      </c>
      <c r="H276" s="13" t="n">
        <v>790347.17</v>
      </c>
      <c r="I276" s="13" t="n">
        <v>498375</v>
      </c>
      <c r="J276" t="inlineStr">
        <is>
          <t>Стала (медіана)</t>
        </is>
      </c>
      <c r="K276" s="13" t="n">
        <v>0.633</v>
      </c>
      <c r="L276" t="inlineStr">
        <is>
          <t>перевірено</t>
        </is>
      </c>
    </row>
    <row r="277">
      <c r="A277" t="inlineStr">
        <is>
          <t>21337459</t>
        </is>
      </c>
      <c r="B277" t="inlineStr">
        <is>
          <t>ТОВ "КОРВЕТ"</t>
        </is>
      </c>
      <c r="C277" t="inlineStr"/>
      <c r="D277" s="5" t="n">
        <v>13</v>
      </c>
      <c r="E277" s="13" t="n">
        <v>104694.15</v>
      </c>
      <c r="F277" s="13" t="n">
        <v>104694.15</v>
      </c>
      <c r="G277" s="13" t="n">
        <v>0</v>
      </c>
      <c r="H277" s="13" t="n">
        <v>629687.23</v>
      </c>
      <c r="I277" s="13" t="n">
        <v>314082.45</v>
      </c>
      <c r="J277" t="inlineStr">
        <is>
          <t>Наївна (останній місяць)</t>
        </is>
      </c>
      <c r="K277" s="13" t="n">
        <v>0.278</v>
      </c>
      <c r="L277" t="inlineStr">
        <is>
          <t>перевірено</t>
        </is>
      </c>
    </row>
    <row r="278">
      <c r="A278" t="inlineStr">
        <is>
          <t>42289645</t>
        </is>
      </c>
      <c r="B278" t="inlineStr">
        <is>
          <t>ТОВ "ТІНОС-Д"</t>
        </is>
      </c>
      <c r="C278" t="inlineStr"/>
      <c r="D278" s="5" t="n">
        <v>8</v>
      </c>
      <c r="E278" s="13" t="n">
        <v>51048.71</v>
      </c>
      <c r="F278" s="13" t="n">
        <v>51048.71</v>
      </c>
      <c r="G278" s="13" t="n">
        <v>0</v>
      </c>
      <c r="H278" s="13" t="n">
        <v>545474.75</v>
      </c>
      <c r="I278" s="13" t="n">
        <v>153146.13</v>
      </c>
      <c r="J278" t="inlineStr">
        <is>
          <t>Наївна (останній місяць)</t>
        </is>
      </c>
      <c r="K278" s="13" t="n">
        <v>0.511</v>
      </c>
      <c r="L278" t="inlineStr">
        <is>
          <t>перевірено</t>
        </is>
      </c>
    </row>
    <row r="279">
      <c r="A279" t="inlineStr">
        <is>
          <t>45701274</t>
        </is>
      </c>
      <c r="B279" t="inlineStr">
        <is>
          <t>ТОВ «ПБГ19»</t>
        </is>
      </c>
      <c r="C279" t="inlineStr"/>
      <c r="D279" s="5" t="n">
        <v>5</v>
      </c>
      <c r="E279" s="13" t="n">
        <v>0</v>
      </c>
      <c r="F279" s="13" t="n">
        <v>0</v>
      </c>
      <c r="G279" s="13" t="n">
        <v>0</v>
      </c>
      <c r="H279" s="13" t="n">
        <v>1036921.64</v>
      </c>
      <c r="I279" s="13" t="n">
        <v>0</v>
      </c>
      <c r="J279" t="inlineStr">
        <is>
          <t>Наївна (останній місяць)</t>
        </is>
      </c>
      <c r="K279" s="13" t="n">
        <v>0</v>
      </c>
      <c r="L279" t="inlineStr">
        <is>
          <t>перевірено</t>
        </is>
      </c>
    </row>
    <row r="280">
      <c r="A280" t="inlineStr">
        <is>
          <t>40955533</t>
        </is>
      </c>
      <c r="B280" t="inlineStr">
        <is>
          <t>ТОВ "ДІСТРІ ІНВАЙТ ІТ"</t>
        </is>
      </c>
      <c r="C280" t="inlineStr"/>
      <c r="D280" s="5" t="n">
        <v>10</v>
      </c>
      <c r="E280" s="13" t="n">
        <v>0</v>
      </c>
      <c r="F280" s="13" t="n">
        <v>0</v>
      </c>
      <c r="G280" s="13" t="n">
        <v>0</v>
      </c>
      <c r="H280" s="13" t="n">
        <v>551141.9300000001</v>
      </c>
      <c r="I280" s="13" t="n">
        <v>0</v>
      </c>
      <c r="J280" t="inlineStr">
        <is>
          <t>Наївна (останній місяць)</t>
        </is>
      </c>
      <c r="K280" s="13" t="n">
        <v>0.263</v>
      </c>
      <c r="L280" t="inlineStr">
        <is>
          <t>перевірено</t>
        </is>
      </c>
    </row>
    <row r="281">
      <c r="A281" t="inlineStr">
        <is>
          <t>40175293</t>
        </is>
      </c>
      <c r="B281" t="inlineStr">
        <is>
          <t>ТОВ "СИСТЕМАТИКА УКРАЇНА"</t>
        </is>
      </c>
      <c r="C281" t="inlineStr"/>
      <c r="D281" s="5" t="n">
        <v>12</v>
      </c>
      <c r="E281" s="13" t="n">
        <v>0</v>
      </c>
      <c r="F281" s="13" t="n">
        <v>0</v>
      </c>
      <c r="G281" s="13" t="n">
        <v>0</v>
      </c>
      <c r="H281" s="13" t="n">
        <v>237941.29</v>
      </c>
      <c r="I281" s="13" t="n">
        <v>0</v>
      </c>
      <c r="J281" t="inlineStr">
        <is>
          <t>Тета</t>
        </is>
      </c>
      <c r="K281" s="13" t="n">
        <v>0.867</v>
      </c>
      <c r="L281" t="inlineStr">
        <is>
          <t>перевірено</t>
        </is>
      </c>
    </row>
  </sheetData>
  <pageMargins left="0.75" right="0.75" top="1" bottom="1" header="0.5" footer="0.5"/>
  <drawing xmlns:r="http://schemas.openxmlformats.org/officeDocument/2006/relationships" r:id="rId1"/>
  <tableParts count="6">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 xmlns:r="http://schemas.openxmlformats.org/officeDocument/2006/relationships" r:id="rId6"/>
    <tablePart xmlns:r="http://schemas.openxmlformats.org/officeDocument/2006/relationships" r:id="rId7"/>
  </tableParts>
</worksheet>
</file>

<file path=xl/worksheets/sheet7.xml><?xml version="1.0" encoding="utf-8"?>
<worksheet xmlns="http://schemas.openxmlformats.org/spreadsheetml/2006/main">
  <sheetPr>
    <outlinePr summaryBelow="1" summaryRight="1"/>
    <pageSetUpPr/>
  </sheetPr>
  <dimension ref="A1:I523"/>
  <sheetViews>
    <sheetView showGridLines="0" workbookViewId="0">
      <selection activeCell="A1" sqref="A1"/>
    </sheetView>
  </sheetViews>
  <sheetFormatPr baseColWidth="8" defaultRowHeight="15"/>
  <cols>
    <col width="60" customWidth="1" min="1" max="1"/>
    <col width="43" customWidth="1" min="2" max="2"/>
    <col width="60" customWidth="1" min="3" max="3"/>
    <col width="25" customWidth="1" min="4" max="4"/>
    <col width="60" customWidth="1" min="5" max="5"/>
    <col width="60" customWidth="1" min="6" max="6"/>
    <col width="38" customWidth="1" min="7" max="7"/>
    <col width="60" customWidth="1" min="8" max="8"/>
    <col width="60" customWidth="1" min="9" max="9"/>
  </cols>
  <sheetData>
    <row r="1">
      <c r="A1" s="1" t="inlineStr">
        <is>
          <t>Відмови</t>
        </is>
      </c>
    </row>
    <row r="3">
      <c r="A3" s="7" t="inlineStr">
        <is>
          <t>Скасовані перемоги</t>
        </is>
      </c>
    </row>
    <row r="4">
      <c r="A4" s="6" t="inlineStr">
        <is>
          <t>Рішення про переможця, які замовник відхилив: компанія вже виграла, але договору не буде. Причину замовник зобов'язаний назвати, і вона лежить у самій картці закупівлі.</t>
        </is>
      </c>
    </row>
    <row r="6">
      <c r="A6" s="8" t="inlineStr">
        <is>
          <t>Показники</t>
        </is>
      </c>
    </row>
    <row r="7">
      <c r="A7" s="9" t="inlineStr">
        <is>
          <t>Скасовано перемог</t>
        </is>
      </c>
      <c r="B7" s="10" t="inlineStr">
        <is>
          <t>209</t>
        </is>
      </c>
    </row>
    <row r="8">
      <c r="A8" s="9" t="inlineStr">
        <is>
          <t>Частка рішень</t>
        </is>
      </c>
      <c r="B8" s="10" t="inlineStr">
        <is>
          <t>10,7%</t>
        </is>
      </c>
    </row>
    <row r="9">
      <c r="A9" s="9" t="inlineStr">
        <is>
          <t>Сума скасованих перемог</t>
        </is>
      </c>
      <c r="B9" s="10" t="inlineStr">
        <is>
          <t>34,4 млн грн</t>
        </is>
      </c>
    </row>
    <row r="10">
      <c r="A10" s="9" t="inlineStr">
        <is>
          <t>Закупівель зачепило</t>
        </is>
      </c>
      <c r="B10" s="10" t="inlineStr">
        <is>
          <t>133</t>
        </is>
      </c>
    </row>
    <row r="11">
      <c r="A11" s="9" t="inlineStr">
        <is>
          <t>Компаній зачепило</t>
        </is>
      </c>
      <c r="B11" s="10" t="inlineStr">
        <is>
          <t>77</t>
        </is>
      </c>
    </row>
    <row r="12">
      <c r="A12" s="9" t="inlineStr">
        <is>
          <t>Замовників</t>
        </is>
      </c>
      <c r="B12" s="10" t="inlineStr">
        <is>
          <t>57</t>
        </is>
      </c>
    </row>
    <row r="13">
      <c r="A13" s="9" t="inlineStr">
        <is>
          <t>Головна причина</t>
        </is>
      </c>
      <c r="B13" s="10" t="inlineStr">
        <is>
          <t>Відмова від договору</t>
        </is>
      </c>
    </row>
    <row r="14">
      <c r="A14" s="9" t="inlineStr">
        <is>
          <t>Наших перемог зірвано</t>
        </is>
      </c>
      <c r="B14" s="10" t="inlineStr">
        <is>
          <t>1 на 216,0 тис. грн</t>
        </is>
      </c>
    </row>
    <row r="16">
      <c r="A16" s="8" t="inlineStr">
        <is>
          <t>Висновки</t>
        </is>
      </c>
    </row>
    <row r="17">
      <c r="A17" t="inlineStr">
        <is>
          <t>•  Із 1 962 рішень про переможця відхилено 209 (10,7%) у 133 закупівлях на 34,4 млн грн.</t>
        </is>
      </c>
    </row>
    <row r="18">
      <c r="A18" t="inlineStr">
        <is>
          <t>•  У 48 закупівлях поспіль відхилили більш ніж одного переможця, тож у сумі такі закупівлі враховані кілька разів. Це сума скасованих рішень, а не грошей, що зникли з ринку: закупівля зазвичай іде до наступного учасника.</t>
        </is>
      </c>
    </row>
    <row r="19">
      <c r="A19" t="inlineStr">
        <is>
          <t>•  Найчастіші причини: Відмова від договору — 122 (58,4%); Не підписав договір у строк — 34 (16,3%); Невідповідність технічним вимогам — 22 (10,5%).</t>
        </is>
      </c>
    </row>
    <row r="20">
      <c r="A20" t="inlineStr">
        <is>
          <t>•  Наших ТОВ це зачепило 1 раз на 216,0 тис. грн: Невідповідність технічним вимогам — 1.</t>
        </is>
      </c>
    </row>
    <row r="21">
      <c r="A21" t="inlineStr">
        <is>
          <t>•  У формулюваннях згадано: сертифікат — 5, авторизаційний лист — 3, гарантія — 2, ліцензія — 1. Це не окрема причина, а те, об який саме документ спіткнулися.</t>
        </is>
      </c>
    </row>
    <row r="22">
      <c r="A22" t="inlineStr">
        <is>
          <t>•  Рахуємо лише відхилення. Скасоване рішення — це та сама подія вдруге: замовник спершу скасовує власне рішення про переможця й аж потім оприлюднює відхилення. Виміряно на вибірці: 51 зі 55 скасованих рішень мають таку пару, тож рахувати їх окремо означало б завищити кількість відмов на три чверті.</t>
        </is>
      </c>
    </row>
    <row r="24">
      <c r="A24" s="8" t="inlineStr">
        <is>
          <t>Графіки</t>
        </is>
      </c>
    </row>
    <row r="26">
      <c r="A26" s="2" t="inlineStr">
        <is>
          <t>Причини відмов</t>
        </is>
      </c>
    </row>
    <row r="27">
      <c r="A27" s="6" t="inlineStr">
        <is>
          <t>Чому саме перемога не стала договором.</t>
        </is>
      </c>
    </row>
    <row r="28">
      <c r="A28" s="3" t="inlineStr">
        <is>
          <t>Категорія</t>
        </is>
      </c>
      <c r="B28" s="3" t="inlineStr">
        <is>
          <t>Випадків, шт</t>
        </is>
      </c>
    </row>
    <row r="29">
      <c r="A29" t="inlineStr">
        <is>
          <t>Відмова від договору</t>
        </is>
      </c>
      <c r="B29" s="5" t="n">
        <v>122</v>
      </c>
    </row>
    <row r="30">
      <c r="A30" t="inlineStr">
        <is>
          <t>Не підписав договір у строк</t>
        </is>
      </c>
      <c r="B30" s="5" t="n">
        <v>34</v>
      </c>
    </row>
    <row r="31">
      <c r="A31" t="inlineStr">
        <is>
          <t>Невідповідність технічним вимогам</t>
        </is>
      </c>
      <c r="B31" s="5" t="n">
        <v>22</v>
      </c>
    </row>
    <row r="32">
      <c r="A32" t="inlineStr">
        <is>
          <t>Невідповідність вимогам документації</t>
        </is>
      </c>
      <c r="B32" s="5" t="n">
        <v>14</v>
      </c>
    </row>
    <row r="33">
      <c r="A33" t="inlineStr">
        <is>
          <t>Не надав документи</t>
        </is>
      </c>
      <c r="B33" s="5" t="n">
        <v>8</v>
      </c>
    </row>
    <row r="34">
      <c r="A34" t="inlineStr">
        <is>
          <t>Не надав забезпечення</t>
        </is>
      </c>
      <c r="B34" s="5" t="n">
        <v>3</v>
      </c>
    </row>
    <row r="35">
      <c r="A35" t="inlineStr">
        <is>
          <t>Недостовірна інформація</t>
        </is>
      </c>
      <c r="B35" s="5" t="n">
        <v>3</v>
      </c>
    </row>
    <row r="36">
      <c r="A36" t="inlineStr">
        <is>
          <t>Не усунув невідповідності</t>
        </is>
      </c>
      <c r="B36" s="5" t="n">
        <v>2</v>
      </c>
    </row>
    <row r="37">
      <c r="A37" t="inlineStr">
        <is>
          <t>Інша причина</t>
        </is>
      </c>
      <c r="B37" s="5" t="n">
        <v>1</v>
      </c>
    </row>
    <row r="46">
      <c r="A46" s="2" t="inlineStr">
        <is>
          <t>Сума зірваних перемог за причинами</t>
        </is>
      </c>
    </row>
    <row r="47">
      <c r="A47" s="6" t="inlineStr">
        <is>
          <t>Та сама причина може траплятися рідко, але коштувати найдорожче.</t>
        </is>
      </c>
    </row>
    <row r="48">
      <c r="A48" s="3" t="inlineStr">
        <is>
          <t>Категорія</t>
        </is>
      </c>
      <c r="B48" s="3" t="inlineStr">
        <is>
          <t>Сума, грн</t>
        </is>
      </c>
    </row>
    <row r="49">
      <c r="A49" t="inlineStr">
        <is>
          <t>Відмова від договору</t>
        </is>
      </c>
      <c r="B49" s="5" t="n">
        <v>15091432.72</v>
      </c>
    </row>
    <row r="50">
      <c r="A50" t="inlineStr">
        <is>
          <t>Невідповідність технічним вимогам</t>
        </is>
      </c>
      <c r="B50" s="5" t="n">
        <v>8489718.140000001</v>
      </c>
    </row>
    <row r="51">
      <c r="A51" t="inlineStr">
        <is>
          <t>Не підписав договір у строк</t>
        </is>
      </c>
      <c r="B51" s="5" t="n">
        <v>4305262.6</v>
      </c>
    </row>
    <row r="52">
      <c r="A52" t="inlineStr">
        <is>
          <t>Невідповідність вимогам документації</t>
        </is>
      </c>
      <c r="B52" s="5" t="n">
        <v>2889985.33</v>
      </c>
    </row>
    <row r="53">
      <c r="A53" t="inlineStr">
        <is>
          <t>Не надав документи</t>
        </is>
      </c>
      <c r="B53" s="5" t="n">
        <v>1421950</v>
      </c>
    </row>
    <row r="54">
      <c r="A54" t="inlineStr">
        <is>
          <t>Не усунув невідповідності</t>
        </is>
      </c>
      <c r="B54" s="5" t="n">
        <v>890000</v>
      </c>
    </row>
    <row r="55">
      <c r="A55" t="inlineStr">
        <is>
          <t>Недостовірна інформація</t>
        </is>
      </c>
      <c r="B55" s="5" t="n">
        <v>742352</v>
      </c>
    </row>
    <row r="56">
      <c r="A56" t="inlineStr">
        <is>
          <t>Не надав забезпечення</t>
        </is>
      </c>
      <c r="B56" s="5" t="n">
        <v>340180</v>
      </c>
    </row>
    <row r="57">
      <c r="A57" t="inlineStr">
        <is>
          <t>Інша причина</t>
        </is>
      </c>
      <c r="B57" s="5" t="n">
        <v>202020</v>
      </c>
    </row>
    <row r="63">
      <c r="A63" s="2" t="inlineStr">
        <is>
          <t>Скасовані перемоги по місяцях</t>
        </is>
      </c>
    </row>
    <row r="64">
      <c r="A64" s="3" t="inlineStr">
        <is>
          <t>Період</t>
        </is>
      </c>
      <c r="B64" s="3" t="inlineStr">
        <is>
          <t>Випадків, шт</t>
        </is>
      </c>
    </row>
    <row r="65">
      <c r="A65" t="inlineStr">
        <is>
          <t>2025-09</t>
        </is>
      </c>
      <c r="B65" s="5" t="n">
        <v>14</v>
      </c>
    </row>
    <row r="66">
      <c r="A66" t="inlineStr">
        <is>
          <t>2025-10</t>
        </is>
      </c>
      <c r="B66" s="5" t="n">
        <v>36</v>
      </c>
    </row>
    <row r="67">
      <c r="A67" t="inlineStr">
        <is>
          <t>2025-11</t>
        </is>
      </c>
      <c r="B67" s="5" t="n">
        <v>44</v>
      </c>
    </row>
    <row r="68">
      <c r="A68" t="inlineStr">
        <is>
          <t>2025-12</t>
        </is>
      </c>
      <c r="B68" s="5" t="n">
        <v>26</v>
      </c>
    </row>
    <row r="69">
      <c r="A69" t="inlineStr">
        <is>
          <t>2026-01</t>
        </is>
      </c>
      <c r="B69" s="5" t="n">
        <v>3</v>
      </c>
    </row>
    <row r="70">
      <c r="A70" t="inlineStr">
        <is>
          <t>2026-02</t>
        </is>
      </c>
      <c r="B70" s="5" t="n">
        <v>12</v>
      </c>
    </row>
    <row r="71">
      <c r="A71" t="inlineStr">
        <is>
          <t>2026-03</t>
        </is>
      </c>
      <c r="B71" s="5" t="n">
        <v>13</v>
      </c>
    </row>
    <row r="72">
      <c r="A72" t="inlineStr">
        <is>
          <t>2026-04</t>
        </is>
      </c>
      <c r="B72" s="5" t="n">
        <v>17</v>
      </c>
    </row>
    <row r="73">
      <c r="A73" t="inlineStr">
        <is>
          <t>2026-05</t>
        </is>
      </c>
      <c r="B73" s="5" t="n">
        <v>12</v>
      </c>
    </row>
    <row r="74">
      <c r="A74" t="inlineStr">
        <is>
          <t>2026-06</t>
        </is>
      </c>
      <c r="B74" s="5" t="n">
        <v>15</v>
      </c>
    </row>
    <row r="75">
      <c r="A75" t="inlineStr">
        <is>
          <t>2026-07</t>
        </is>
      </c>
      <c r="B75" s="5" t="n">
        <v>4</v>
      </c>
    </row>
    <row r="76">
      <c r="A76" t="inlineStr">
        <is>
          <t>2026-08</t>
        </is>
      </c>
      <c r="B76" s="5" t="n">
        <v>13</v>
      </c>
    </row>
    <row r="83">
      <c r="A83" s="8" t="inlineStr">
        <is>
          <t>Таблиці</t>
        </is>
      </c>
    </row>
    <row r="85">
      <c r="A85" s="2" t="inlineStr">
        <is>
          <t>Причини</t>
        </is>
      </c>
    </row>
    <row r="86">
      <c r="A86" s="11" t="inlineStr">
        <is>
          <t>Причина</t>
        </is>
      </c>
      <c r="B86" s="11" t="inlineStr">
        <is>
          <t>Випадків</t>
        </is>
      </c>
      <c r="C86" s="11" t="inlineStr">
        <is>
          <t>Частка</t>
        </is>
      </c>
      <c r="D86" s="11" t="inlineStr">
        <is>
          <t>Сума, грн</t>
        </is>
      </c>
      <c r="E86" s="11" t="inlineStr">
        <is>
          <t>Компаній</t>
        </is>
      </c>
      <c r="F86" s="11" t="inlineStr">
        <is>
          <t>Приклад формулювання</t>
        </is>
      </c>
    </row>
    <row r="87">
      <c r="A87" t="inlineStr">
        <is>
          <t>Відмова від договору</t>
        </is>
      </c>
      <c r="B87" s="5" t="n">
        <v>122</v>
      </c>
      <c r="C87" s="12" t="n">
        <v>0.5837</v>
      </c>
      <c r="D87" s="13" t="n">
        <v>15091432.72</v>
      </c>
      <c r="E87" s="5" t="n">
        <v>48</v>
      </c>
      <c r="F87" t="inlineStr">
        <is>
          <t>Переможець письмово відмовився від укладання договору на умовах, визначених у запиті пропозицій постачальників</t>
        </is>
      </c>
    </row>
    <row r="88">
      <c r="A88" t="inlineStr">
        <is>
          <t>Не підписав договір у строк</t>
        </is>
      </c>
      <c r="B88" s="5" t="n">
        <v>34</v>
      </c>
      <c r="C88" s="12" t="n">
        <v>0.1627</v>
      </c>
      <c r="D88" s="13" t="n">
        <v>4305262.6</v>
      </c>
      <c r="E88" s="5" t="n">
        <v>22</v>
      </c>
      <c r="F88" t="inlineStr">
        <is>
          <t>Переможець не підписав договір у строк, визначений абзацом першим пункту 66 цього Порядку</t>
        </is>
      </c>
    </row>
    <row r="89">
      <c r="A89" t="inlineStr">
        <is>
          <t>Невідповідність технічним вимогам</t>
        </is>
      </c>
      <c r="B89" s="5" t="n">
        <v>22</v>
      </c>
      <c r="C89" s="12" t="n">
        <v>0.1053</v>
      </c>
      <c r="D89" s="13" t="n">
        <v>8489718.140000001</v>
      </c>
      <c r="E89" s="5" t="n">
        <v>17</v>
      </c>
      <c r="F89" t="inlineStr">
        <is>
          <t>не відповідає умовам технічної специфікації та іншим вимогам щодо предмета закупівлі тендерної документації, крім невідповідності в інформації та/або документах, що може бути усунена учасником процедури закупівлі відповідно до пункту 43 Особливостей;</t>
        </is>
      </c>
    </row>
    <row r="90">
      <c r="A90" t="inlineStr">
        <is>
          <t>Невідповідність вимогам документації</t>
        </is>
      </c>
      <c r="B90" s="5" t="n">
        <v>14</v>
      </c>
      <c r="C90" s="12" t="n">
        <v>0.067</v>
      </c>
      <c r="D90" s="13" t="n">
        <v>2889985.33</v>
      </c>
      <c r="E90" s="5" t="n">
        <v>8</v>
      </c>
      <c r="F90" t="inlineStr">
        <is>
          <t>Пропозиція учасника не відповідає умовам, визначеним в оголошенні про проведення спрощеної закупівлі, та вимогам до предмета закупівлі</t>
        </is>
      </c>
    </row>
    <row r="91">
      <c r="A91" t="inlineStr">
        <is>
          <t>Не надав документи</t>
        </is>
      </c>
      <c r="B91" s="5" t="n">
        <v>8</v>
      </c>
      <c r="C91" s="12" t="n">
        <v>0.0383</v>
      </c>
      <c r="D91" s="13" t="n">
        <v>1421950</v>
      </c>
      <c r="E91" s="5" t="n">
        <v>7</v>
      </c>
      <c r="F91" t="inlineStr">
        <is>
          <t xml:space="preserve">Переможець не надав документ про реєстрацію у прийнятній країні та/або інформацію про те, що до переможця відбору, його кінцевих бенефіціарних власників, членів або учасників (акціонерів) не застосовано обмежувальні заходи у вигляді санкцій Європейського Союзу та/або про те, що не знаходяться </t>
        </is>
      </c>
    </row>
    <row r="92">
      <c r="A92" t="inlineStr">
        <is>
          <t>Не надав забезпечення</t>
        </is>
      </c>
      <c r="B92" s="5" t="n">
        <v>3</v>
      </c>
      <c r="C92" s="12" t="n">
        <v>0.0144</v>
      </c>
      <c r="D92" s="13" t="n">
        <v>340180</v>
      </c>
      <c r="E92" s="5" t="n">
        <v>2</v>
      </c>
      <c r="F92" t="inlineStr">
        <is>
          <t>не надав забезпечення тендерної пропозиції, якщо таке забезпечення вимагалося замовником;</t>
        </is>
      </c>
    </row>
    <row r="93">
      <c r="A93" t="inlineStr">
        <is>
          <t>Недостовірна інформація</t>
        </is>
      </c>
      <c r="B93" s="5" t="n">
        <v>3</v>
      </c>
      <c r="C93" s="12" t="n">
        <v>0.0144</v>
      </c>
      <c r="D93" s="13" t="n">
        <v>742352</v>
      </c>
      <c r="E93" s="5" t="n">
        <v>2</v>
      </c>
      <c r="F93" t="inlineStr">
        <is>
          <t>зазначив у тендерній пропозиції недостовірну інформацію, що є суттєвою для визначення результатів відкритих торгів, яку замовником виявлено згідно з абзацом першим пункту 42 Особливостей;</t>
        </is>
      </c>
    </row>
    <row r="94">
      <c r="A94" t="inlineStr">
        <is>
          <t>Не усунув невідповідності</t>
        </is>
      </c>
      <c r="B94" s="5" t="n">
        <v>2</v>
      </c>
      <c r="C94" s="12" t="n">
        <v>0.009599999999999999</v>
      </c>
      <c r="D94" s="13" t="n">
        <v>890000</v>
      </c>
      <c r="E94" s="5" t="n">
        <v>1</v>
      </c>
      <c r="F94" t="inlineStr">
        <is>
          <t>Не виправив виявлені замовником після розкриття тендерних пропозицій невідповідності в інформації та/або документах, що подані ним у складі своєї тендерної пропозиції, та/або змінив предмет закупівлі (його найменування, марку, модель тощо) під час виправлення виявлених замовником невідповідностей, п</t>
        </is>
      </c>
    </row>
    <row r="95">
      <c r="A95" t="inlineStr">
        <is>
          <t>Інша причина</t>
        </is>
      </c>
      <c r="B95" s="5" t="n">
        <v>1</v>
      </c>
      <c r="C95" s="12" t="n">
        <v>0.0048</v>
      </c>
      <c r="D95" s="13" t="n">
        <v>202020</v>
      </c>
      <c r="E95" s="5" t="n">
        <v>1</v>
      </c>
      <c r="F95" t="inlineStr">
        <is>
          <t>Тендерна пропозиція містить товари, товари у складі закупівель послуг, товари та/або матеріальні ресурси у складі закупівель послуг з поточного ремонту/робіт, які не походять з прийнятних країн</t>
        </is>
      </c>
    </row>
    <row r="97">
      <c r="A97" s="2" t="inlineStr">
        <is>
          <t>Компанії</t>
        </is>
      </c>
    </row>
    <row r="98">
      <c r="A98" s="11" t="inlineStr">
        <is>
          <t>ЄДРПОУ</t>
        </is>
      </c>
      <c r="B98" s="11" t="inlineStr">
        <is>
          <t>Компанія</t>
        </is>
      </c>
      <c r="C98" s="11" t="inlineStr">
        <is>
          <t>Скасовано перемог</t>
        </is>
      </c>
      <c r="D98" s="11" t="inlineStr">
        <is>
          <t>Виграно закупівель</t>
        </is>
      </c>
      <c r="E98" s="11" t="inlineStr">
        <is>
          <t>Частка зривів</t>
        </is>
      </c>
      <c r="F98" s="11" t="inlineStr">
        <is>
          <t>Сума, грн</t>
        </is>
      </c>
      <c r="G98" s="11" t="inlineStr">
        <is>
          <t>Головна причина</t>
        </is>
      </c>
      <c r="H98" s="11" t="inlineStr">
        <is>
          <t>Наша</t>
        </is>
      </c>
    </row>
    <row r="99">
      <c r="A99" t="inlineStr">
        <is>
          <t>45596933</t>
        </is>
      </c>
      <c r="B99" t="inlineStr">
        <is>
          <t>ТОВ "КОМПАКОМ"</t>
        </is>
      </c>
      <c r="C99" s="5" t="n">
        <v>21</v>
      </c>
      <c r="D99" s="5" t="n">
        <v>8</v>
      </c>
      <c r="E99" s="12" t="n">
        <v>0.7241</v>
      </c>
      <c r="F99" s="13" t="n">
        <v>1976175</v>
      </c>
      <c r="G99" t="inlineStr">
        <is>
          <t>Відмова від договору</t>
        </is>
      </c>
      <c r="H99" t="inlineStr"/>
    </row>
    <row r="100">
      <c r="A100" t="inlineStr">
        <is>
          <t>42289645</t>
        </is>
      </c>
      <c r="B100" t="inlineStr">
        <is>
          <t>ТОВ "ТІНОС-Д"</t>
        </is>
      </c>
      <c r="C100" s="5" t="n">
        <v>20</v>
      </c>
      <c r="D100" s="5" t="n">
        <v>13</v>
      </c>
      <c r="E100" s="12" t="n">
        <v>0.6061</v>
      </c>
      <c r="F100" s="13" t="n">
        <v>2091454</v>
      </c>
      <c r="G100" t="inlineStr">
        <is>
          <t>Відмова від договору</t>
        </is>
      </c>
      <c r="H100" t="inlineStr"/>
    </row>
    <row r="101">
      <c r="A101" t="inlineStr">
        <is>
          <t>45701274</t>
        </is>
      </c>
      <c r="B101" t="inlineStr">
        <is>
          <t>ТОВ «ПБГ19»</t>
        </is>
      </c>
      <c r="C101" s="5" t="n">
        <v>15</v>
      </c>
      <c r="D101" s="5" t="n">
        <v>5</v>
      </c>
      <c r="E101" s="12" t="n">
        <v>0.75</v>
      </c>
      <c r="F101" s="13" t="n">
        <v>2974568</v>
      </c>
      <c r="G101" t="inlineStr">
        <is>
          <t>Не підписав договір у строк</t>
        </is>
      </c>
      <c r="H101" t="inlineStr"/>
    </row>
    <row r="102">
      <c r="A102" t="inlineStr">
        <is>
          <t>40175293</t>
        </is>
      </c>
      <c r="B102" t="inlineStr">
        <is>
          <t>ТОВ "СИСТЕМАТИКА УКРАЇНА"</t>
        </is>
      </c>
      <c r="C102" s="5" t="n">
        <v>11</v>
      </c>
      <c r="D102" s="5" t="n">
        <v>12</v>
      </c>
      <c r="E102" s="12" t="n">
        <v>0.4783</v>
      </c>
      <c r="F102" s="13" t="n">
        <v>2597382</v>
      </c>
      <c r="G102" t="inlineStr">
        <is>
          <t>Відмова від договору</t>
        </is>
      </c>
      <c r="H102" t="inlineStr"/>
    </row>
    <row r="103">
      <c r="A103" t="inlineStr">
        <is>
          <t>3248805838</t>
        </is>
      </c>
      <c r="B103" t="inlineStr">
        <is>
          <t>ФОП ПРІСИЧ ДМИТРО МИКОЛАЙОВИЧ</t>
        </is>
      </c>
      <c r="C103" s="5" t="n">
        <v>11</v>
      </c>
      <c r="D103" s="5" t="n">
        <v>2</v>
      </c>
      <c r="E103" s="12" t="n">
        <v>0.8462</v>
      </c>
      <c r="F103" s="13" t="n">
        <v>1333058</v>
      </c>
      <c r="G103" t="inlineStr">
        <is>
          <t>Відмова від договору</t>
        </is>
      </c>
      <c r="H103" t="inlineStr"/>
    </row>
    <row r="104">
      <c r="A104" t="inlineStr">
        <is>
          <t>2874302850</t>
        </is>
      </c>
      <c r="B104" t="inlineStr">
        <is>
          <t>ФОП "СРИВКІН СЕРГІЙ БОРИСОВИЧ"</t>
        </is>
      </c>
      <c r="C104" s="5" t="n">
        <v>9</v>
      </c>
      <c r="D104" s="5" t="n">
        <v>0</v>
      </c>
      <c r="E104" s="12" t="n">
        <v>1</v>
      </c>
      <c r="F104" s="13" t="n">
        <v>878550</v>
      </c>
      <c r="G104" t="inlineStr">
        <is>
          <t>Відмова від договору</t>
        </is>
      </c>
      <c r="H104" t="inlineStr"/>
    </row>
    <row r="105">
      <c r="A105" t="inlineStr">
        <is>
          <t>2850105825</t>
        </is>
      </c>
      <c r="B105" t="inlineStr">
        <is>
          <t>ФОП "Гріпіч Тетяна Борисівна"</t>
        </is>
      </c>
      <c r="C105" s="5" t="n">
        <v>6</v>
      </c>
      <c r="D105" s="5" t="n">
        <v>11</v>
      </c>
      <c r="E105" s="12" t="n">
        <v>0.3529</v>
      </c>
      <c r="F105" s="13" t="n">
        <v>392400</v>
      </c>
      <c r="G105" t="inlineStr">
        <is>
          <t>Відмова від договору</t>
        </is>
      </c>
      <c r="H105" t="inlineStr"/>
    </row>
    <row r="106">
      <c r="A106" t="inlineStr">
        <is>
          <t>43120417</t>
        </is>
      </c>
      <c r="B106" t="inlineStr">
        <is>
          <t>ТОВ "ПАВЕРТРЕЙД"</t>
        </is>
      </c>
      <c r="C106" s="5" t="n">
        <v>5</v>
      </c>
      <c r="D106" s="5" t="n">
        <v>16</v>
      </c>
      <c r="E106" s="12" t="n">
        <v>0.2381</v>
      </c>
      <c r="F106" s="13" t="n">
        <v>598140</v>
      </c>
      <c r="G106" t="inlineStr">
        <is>
          <t>Відмова від договору</t>
        </is>
      </c>
      <c r="H106" t="inlineStr"/>
    </row>
    <row r="107">
      <c r="A107" t="inlineStr">
        <is>
          <t>2948314313</t>
        </is>
      </c>
      <c r="B107" t="inlineStr">
        <is>
          <t>ФОП Козловський Сергій Павлович</t>
        </is>
      </c>
      <c r="C107" s="5" t="n">
        <v>5</v>
      </c>
      <c r="D107" s="5" t="n">
        <v>7</v>
      </c>
      <c r="E107" s="12" t="n">
        <v>0.4167</v>
      </c>
      <c r="F107" s="13" t="n">
        <v>578179.54</v>
      </c>
      <c r="G107" t="inlineStr">
        <is>
          <t>Відмова від договору</t>
        </is>
      </c>
      <c r="H107" t="inlineStr"/>
    </row>
    <row r="108">
      <c r="A108" t="inlineStr">
        <is>
          <t>42036301</t>
        </is>
      </c>
      <c r="B108" t="inlineStr">
        <is>
          <t>ТОВ «ЮДІТРЕЙД»</t>
        </is>
      </c>
      <c r="C108" s="5" t="n">
        <v>4</v>
      </c>
      <c r="D108" s="5" t="n">
        <v>10</v>
      </c>
      <c r="E108" s="12" t="n">
        <v>0.2857</v>
      </c>
      <c r="F108" s="13" t="n">
        <v>1403955.9</v>
      </c>
      <c r="G108" t="inlineStr">
        <is>
          <t>Невідповідність технічним вимогам</t>
        </is>
      </c>
      <c r="H108" t="inlineStr"/>
    </row>
    <row r="109">
      <c r="A109" t="inlineStr">
        <is>
          <t>3701802602</t>
        </is>
      </c>
      <c r="B109" t="inlineStr">
        <is>
          <t>ФОП Рибак Евеліна Василівна</t>
        </is>
      </c>
      <c r="C109" s="5" t="n">
        <v>4</v>
      </c>
      <c r="D109" s="5" t="n">
        <v>0</v>
      </c>
      <c r="E109" s="12" t="n">
        <v>1</v>
      </c>
      <c r="F109" s="13" t="n">
        <v>657990</v>
      </c>
      <c r="G109" t="inlineStr">
        <is>
          <t>Відмова від договору</t>
        </is>
      </c>
      <c r="H109" t="inlineStr"/>
    </row>
    <row r="110">
      <c r="A110" t="inlineStr">
        <is>
          <t>45344614</t>
        </is>
      </c>
      <c r="B110" t="inlineStr">
        <is>
          <t>ТОВ "ТК "АСАНАРА"</t>
        </is>
      </c>
      <c r="C110" s="5" t="n">
        <v>4</v>
      </c>
      <c r="D110" s="5" t="n">
        <v>4</v>
      </c>
      <c r="E110" s="12" t="n">
        <v>0.5</v>
      </c>
      <c r="F110" s="13" t="n">
        <v>324041.19</v>
      </c>
      <c r="G110" t="inlineStr">
        <is>
          <t>Не підписав договір у строк</t>
        </is>
      </c>
      <c r="H110" t="inlineStr"/>
    </row>
    <row r="111">
      <c r="A111" t="inlineStr">
        <is>
          <t>45949901</t>
        </is>
      </c>
      <c r="B111" t="inlineStr">
        <is>
          <t>ТОВ "МАКСИМВІСІМ"</t>
        </is>
      </c>
      <c r="C111" s="5" t="n">
        <v>3</v>
      </c>
      <c r="D111" s="5" t="n">
        <v>3</v>
      </c>
      <c r="E111" s="12" t="n">
        <v>0.5</v>
      </c>
      <c r="F111" s="13" t="n">
        <v>1517000</v>
      </c>
      <c r="G111" t="inlineStr">
        <is>
          <t>Невідповідність вимогам документації</t>
        </is>
      </c>
      <c r="H111" t="inlineStr"/>
    </row>
    <row r="112">
      <c r="A112" t="inlineStr">
        <is>
          <t>3394407864</t>
        </is>
      </c>
      <c r="B112" t="inlineStr">
        <is>
          <t>ФОП ІВАНЧЕНКО МАР'ЯНА МИКОЛАЇВНА</t>
        </is>
      </c>
      <c r="C112" s="5" t="n">
        <v>3</v>
      </c>
      <c r="D112" s="5" t="n">
        <v>1</v>
      </c>
      <c r="E112" s="12" t="n">
        <v>0.75</v>
      </c>
      <c r="F112" s="13" t="n">
        <v>1169919</v>
      </c>
      <c r="G112" t="inlineStr">
        <is>
          <t>Відмова від договору</t>
        </is>
      </c>
      <c r="H112" t="inlineStr"/>
    </row>
    <row r="113">
      <c r="A113" t="inlineStr">
        <is>
          <t>3686308900</t>
        </is>
      </c>
      <c r="B113" t="inlineStr">
        <is>
          <t>ФОП Зайцева Вікторія Тарасівна</t>
        </is>
      </c>
      <c r="C113" s="5" t="n">
        <v>3</v>
      </c>
      <c r="D113" s="5" t="n">
        <v>0</v>
      </c>
      <c r="E113" s="12" t="n">
        <v>1</v>
      </c>
      <c r="F113" s="13" t="n">
        <v>1092020</v>
      </c>
      <c r="G113" t="inlineStr">
        <is>
          <t>Не усунув невідповідності</t>
        </is>
      </c>
      <c r="H113" t="inlineStr"/>
    </row>
    <row r="114">
      <c r="A114" t="inlineStr">
        <is>
          <t>30256061</t>
        </is>
      </c>
      <c r="B114" t="inlineStr">
        <is>
          <t>ТОВ "ДІАВЕСТЕНД КОМПЛЕКСНІ РІШЕННЯ"</t>
        </is>
      </c>
      <c r="C114" s="5" t="n">
        <v>3</v>
      </c>
      <c r="D114" s="5" t="n">
        <v>5</v>
      </c>
      <c r="E114" s="12" t="n">
        <v>0.375</v>
      </c>
      <c r="F114" s="13" t="n">
        <v>815210</v>
      </c>
      <c r="G114" t="inlineStr">
        <is>
          <t>Невідповідність технічним вимогам</t>
        </is>
      </c>
      <c r="H114" t="inlineStr"/>
    </row>
    <row r="115">
      <c r="A115" t="inlineStr">
        <is>
          <t>32490244</t>
        </is>
      </c>
      <c r="B115" t="inlineStr">
        <is>
          <t>ТОВ "Епіцентр К"</t>
        </is>
      </c>
      <c r="C115" s="5" t="n">
        <v>3</v>
      </c>
      <c r="D115" s="5" t="n">
        <v>7</v>
      </c>
      <c r="E115" s="12" t="n">
        <v>0.3</v>
      </c>
      <c r="F115" s="13" t="n">
        <v>814812.6</v>
      </c>
      <c r="G115" t="inlineStr">
        <is>
          <t>Відмова від договору</t>
        </is>
      </c>
      <c r="H115" t="inlineStr"/>
    </row>
    <row r="116">
      <c r="A116" t="inlineStr">
        <is>
          <t>39759248</t>
        </is>
      </c>
      <c r="B116" t="inlineStr">
        <is>
          <t>ТОВ "МОБАЙЛ АЙТІ"</t>
        </is>
      </c>
      <c r="C116" s="5" t="n">
        <v>3</v>
      </c>
      <c r="D116" s="5" t="n">
        <v>3</v>
      </c>
      <c r="E116" s="12" t="n">
        <v>0.5</v>
      </c>
      <c r="F116" s="13" t="n">
        <v>509744.1</v>
      </c>
      <c r="G116" t="inlineStr">
        <is>
          <t>Відмова від договору</t>
        </is>
      </c>
      <c r="H116" t="inlineStr"/>
    </row>
    <row r="117">
      <c r="A117" t="inlineStr">
        <is>
          <t>3467108376</t>
        </is>
      </c>
      <c r="B117" t="inlineStr">
        <is>
          <t>ФОП Кофан Дмитро Юрійович</t>
        </is>
      </c>
      <c r="C117" s="5" t="n">
        <v>3</v>
      </c>
      <c r="D117" s="5" t="n">
        <v>2</v>
      </c>
      <c r="E117" s="12" t="n">
        <v>0.6</v>
      </c>
      <c r="F117" s="13" t="n">
        <v>352340</v>
      </c>
      <c r="G117" t="inlineStr">
        <is>
          <t>Відмова від договору</t>
        </is>
      </c>
      <c r="H117" t="inlineStr"/>
    </row>
    <row r="118">
      <c r="A118" t="inlineStr">
        <is>
          <t>44554976</t>
        </is>
      </c>
      <c r="B118" t="inlineStr">
        <is>
          <t>ТОВ "КУБІК ГРУП"</t>
        </is>
      </c>
      <c r="C118" s="5" t="n">
        <v>3</v>
      </c>
      <c r="D118" s="5" t="n">
        <v>4</v>
      </c>
      <c r="E118" s="12" t="n">
        <v>0.4286</v>
      </c>
      <c r="F118" s="13" t="n">
        <v>183489</v>
      </c>
      <c r="G118" t="inlineStr">
        <is>
          <t>Відмова від договору</t>
        </is>
      </c>
      <c r="H118" t="inlineStr"/>
    </row>
    <row r="119">
      <c r="A119" t="inlineStr">
        <is>
          <t>36123789</t>
        </is>
      </c>
      <c r="B119" t="inlineStr">
        <is>
          <t>ТОВ "КСА 7"</t>
        </is>
      </c>
      <c r="C119" s="5" t="n">
        <v>2</v>
      </c>
      <c r="D119" s="5" t="n">
        <v>3</v>
      </c>
      <c r="E119" s="12" t="n">
        <v>0.4</v>
      </c>
      <c r="F119" s="13" t="n">
        <v>2037210</v>
      </c>
      <c r="G119" t="inlineStr">
        <is>
          <t>Невідповідність технічним вимогам</t>
        </is>
      </c>
      <c r="H119" t="inlineStr"/>
    </row>
    <row r="120">
      <c r="A120" t="inlineStr">
        <is>
          <t>1964608205</t>
        </is>
      </c>
      <c r="B120" t="inlineStr">
        <is>
          <t>ФОП "ГРІНЧЕНКО ЗОЯ ОЛЕКСІЇВНА"</t>
        </is>
      </c>
      <c r="C120" s="5" t="n">
        <v>2</v>
      </c>
      <c r="D120" s="5" t="n">
        <v>2</v>
      </c>
      <c r="E120" s="12" t="n">
        <v>0.5</v>
      </c>
      <c r="F120" s="13" t="n">
        <v>450700</v>
      </c>
      <c r="G120" t="inlineStr">
        <is>
          <t>Не надав документи</t>
        </is>
      </c>
      <c r="H120" t="inlineStr"/>
    </row>
    <row r="121">
      <c r="A121" t="inlineStr">
        <is>
          <t>3493710687</t>
        </is>
      </c>
      <c r="B121" t="inlineStr">
        <is>
          <t>ФОП "Цурман Людмила Геннадіївна"</t>
        </is>
      </c>
      <c r="C121" s="5" t="n">
        <v>2</v>
      </c>
      <c r="D121" s="5" t="n">
        <v>0</v>
      </c>
      <c r="E121" s="12" t="n">
        <v>1</v>
      </c>
      <c r="F121" s="13" t="n">
        <v>355984</v>
      </c>
      <c r="G121" t="inlineStr">
        <is>
          <t>Відмова від договору</t>
        </is>
      </c>
      <c r="H121" t="inlineStr"/>
    </row>
    <row r="122">
      <c r="A122" t="inlineStr">
        <is>
          <t>39776389</t>
        </is>
      </c>
      <c r="B122" t="inlineStr">
        <is>
          <t>ТОВ "ІДІДЖІ ГРУП"</t>
        </is>
      </c>
      <c r="C122" s="5" t="n">
        <v>2</v>
      </c>
      <c r="D122" s="5" t="n">
        <v>7</v>
      </c>
      <c r="E122" s="12" t="n">
        <v>0.2222</v>
      </c>
      <c r="F122" s="13" t="n">
        <v>273086.82</v>
      </c>
      <c r="G122" t="inlineStr">
        <is>
          <t>Відмова від договору</t>
        </is>
      </c>
      <c r="H122" t="inlineStr"/>
    </row>
    <row r="123">
      <c r="A123" t="inlineStr">
        <is>
          <t>3383703724</t>
        </is>
      </c>
      <c r="B123" t="inlineStr">
        <is>
          <t>ФОП "Чернявська Анастасія Юріївна"</t>
        </is>
      </c>
      <c r="C123" s="5" t="n">
        <v>2</v>
      </c>
      <c r="D123" s="5" t="n">
        <v>2</v>
      </c>
      <c r="E123" s="12" t="n">
        <v>0.5</v>
      </c>
      <c r="F123" s="13" t="n">
        <v>269741</v>
      </c>
      <c r="G123" t="inlineStr">
        <is>
          <t>Відмова від договору</t>
        </is>
      </c>
      <c r="H123" t="inlineStr"/>
    </row>
    <row r="124">
      <c r="A124" t="inlineStr">
        <is>
          <t>36253988</t>
        </is>
      </c>
      <c r="B124" t="inlineStr">
        <is>
          <t>ТОВ "ПРИВАТЕНЕРГО"</t>
        </is>
      </c>
      <c r="C124" s="5" t="n">
        <v>2</v>
      </c>
      <c r="D124" s="5" t="n">
        <v>2</v>
      </c>
      <c r="E124" s="12" t="n">
        <v>0.5</v>
      </c>
      <c r="F124" s="13" t="n">
        <v>203100</v>
      </c>
      <c r="G124" t="inlineStr">
        <is>
          <t>Відмова від договору</t>
        </is>
      </c>
      <c r="H124" t="inlineStr"/>
    </row>
    <row r="125">
      <c r="A125" t="inlineStr">
        <is>
          <t>40955533</t>
        </is>
      </c>
      <c r="B125" t="inlineStr">
        <is>
          <t>ТОВ "ДІСТРІ ІНВАЙТ ІТ"</t>
        </is>
      </c>
      <c r="C125" s="5" t="n">
        <v>2</v>
      </c>
      <c r="D125" s="5" t="n">
        <v>11</v>
      </c>
      <c r="E125" s="12" t="n">
        <v>0.1538</v>
      </c>
      <c r="F125" s="13" t="n">
        <v>175403.04</v>
      </c>
      <c r="G125" t="inlineStr">
        <is>
          <t>Невідповідність технічним вимогам</t>
        </is>
      </c>
      <c r="H125" t="inlineStr"/>
    </row>
    <row r="126">
      <c r="A126" t="inlineStr">
        <is>
          <t>2971806211</t>
        </is>
      </c>
      <c r="B126" t="inlineStr">
        <is>
          <t>ФОП "КОВАЛЬ ЮРІЙ МИХАЙЛОВИЧ"</t>
        </is>
      </c>
      <c r="C126" s="5" t="n">
        <v>2</v>
      </c>
      <c r="D126" s="5" t="n">
        <v>5</v>
      </c>
      <c r="E126" s="12" t="n">
        <v>0.2857</v>
      </c>
      <c r="F126" s="13" t="n">
        <v>130000</v>
      </c>
      <c r="G126" t="inlineStr">
        <is>
          <t>Не надав документи</t>
        </is>
      </c>
      <c r="H126" t="inlineStr"/>
    </row>
    <row r="127">
      <c r="A127" t="inlineStr">
        <is>
          <t>41351235</t>
        </is>
      </c>
      <c r="B127" t="inlineStr">
        <is>
          <t>ТОВ "КПІ-МАРКЕТ"</t>
        </is>
      </c>
      <c r="C127" s="5" t="n">
        <v>2</v>
      </c>
      <c r="D127" s="5" t="n">
        <v>1</v>
      </c>
      <c r="E127" s="12" t="n">
        <v>0.6667</v>
      </c>
      <c r="F127" s="13" t="n">
        <v>107323.38</v>
      </c>
      <c r="G127" t="inlineStr">
        <is>
          <t>Відмова від договору</t>
        </is>
      </c>
      <c r="H127" t="inlineStr"/>
    </row>
    <row r="128">
      <c r="A128" t="inlineStr">
        <is>
          <t>38199744</t>
        </is>
      </c>
      <c r="B128" t="inlineStr">
        <is>
          <t>ТОВ "СІНТ-ДНІПРОПЕТРОВСЬК"</t>
        </is>
      </c>
      <c r="C128" s="5" t="n">
        <v>2</v>
      </c>
      <c r="D128" s="5" t="n">
        <v>7</v>
      </c>
      <c r="E128" s="12" t="n">
        <v>0.2222</v>
      </c>
      <c r="F128" s="13" t="n">
        <v>88452</v>
      </c>
      <c r="G128" t="inlineStr">
        <is>
          <t>Не підписав договір у строк</t>
        </is>
      </c>
      <c r="H128" t="inlineStr"/>
    </row>
    <row r="129">
      <c r="A129" t="inlineStr">
        <is>
          <t>3136508474</t>
        </is>
      </c>
      <c r="B129" t="inlineStr">
        <is>
          <t>ФОП "ЩЕСНЯК ЄВГЕН АНАТОЛІЙОВИЧ"</t>
        </is>
      </c>
      <c r="C129" s="5" t="n">
        <v>2</v>
      </c>
      <c r="D129" s="5" t="n">
        <v>0</v>
      </c>
      <c r="E129" s="12" t="n">
        <v>1</v>
      </c>
      <c r="F129" s="13" t="n">
        <v>75500</v>
      </c>
      <c r="G129" t="inlineStr">
        <is>
          <t>Відмова від договору</t>
        </is>
      </c>
      <c r="H129" t="inlineStr"/>
    </row>
    <row r="130">
      <c r="A130" t="inlineStr">
        <is>
          <t>2418218905</t>
        </is>
      </c>
      <c r="B130" t="inlineStr">
        <is>
          <t>ФОП "Пасічник Ніна Іванівна"</t>
        </is>
      </c>
      <c r="C130" s="5" t="n">
        <v>2</v>
      </c>
      <c r="D130" s="5" t="n">
        <v>2</v>
      </c>
      <c r="E130" s="12" t="n">
        <v>0.5</v>
      </c>
      <c r="F130" s="13" t="n">
        <v>64900</v>
      </c>
      <c r="G130" t="inlineStr">
        <is>
          <t>Не підписав договір у строк</t>
        </is>
      </c>
      <c r="H130" t="inlineStr"/>
    </row>
    <row r="131">
      <c r="A131" t="inlineStr">
        <is>
          <t>2944022810</t>
        </is>
      </c>
      <c r="B131" t="inlineStr">
        <is>
          <t>ФОП "ЛУКАЧ ЯРОСЛАВ ВАСИЛЬОВИЧ"</t>
        </is>
      </c>
      <c r="C131" s="5" t="n">
        <v>2</v>
      </c>
      <c r="D131" s="5" t="n">
        <v>2</v>
      </c>
      <c r="E131" s="12" t="n">
        <v>0.5</v>
      </c>
      <c r="F131" s="13" t="n">
        <v>25050</v>
      </c>
      <c r="G131" t="inlineStr">
        <is>
          <t>Відмова від договору</t>
        </is>
      </c>
      <c r="H131" t="inlineStr"/>
    </row>
    <row r="132">
      <c r="A132" t="inlineStr">
        <is>
          <t>31867934</t>
        </is>
      </c>
      <c r="B132" t="inlineStr">
        <is>
          <t>ТОВ "Мегапринт Сервіс"</t>
        </is>
      </c>
      <c r="C132" s="5" t="n">
        <v>1</v>
      </c>
      <c r="D132" s="5" t="n">
        <v>0</v>
      </c>
      <c r="E132" s="12" t="n">
        <v>1</v>
      </c>
      <c r="F132" s="13" t="n">
        <v>696000</v>
      </c>
      <c r="G132" t="inlineStr">
        <is>
          <t>Відмова від договору</t>
        </is>
      </c>
      <c r="H132" t="inlineStr"/>
    </row>
    <row r="133">
      <c r="A133" t="inlineStr">
        <is>
          <t>39594603</t>
        </is>
      </c>
      <c r="B133" t="inlineStr">
        <is>
          <t>ТОВ "АНТАНДАР"</t>
        </is>
      </c>
      <c r="C133" s="5" t="n">
        <v>1</v>
      </c>
      <c r="D133" s="5" t="n">
        <v>1</v>
      </c>
      <c r="E133" s="12" t="n">
        <v>0.5</v>
      </c>
      <c r="F133" s="13" t="n">
        <v>570000</v>
      </c>
      <c r="G133" t="inlineStr">
        <is>
          <t>Невідповідність технічним вимогам</t>
        </is>
      </c>
      <c r="H133" t="inlineStr"/>
    </row>
    <row r="134">
      <c r="A134" t="inlineStr">
        <is>
          <t>3083610268</t>
        </is>
      </c>
      <c r="B134" t="inlineStr">
        <is>
          <t>ФОП "Сардаківська Анна Броніславівна"</t>
        </is>
      </c>
      <c r="C134" s="5" t="n">
        <v>1</v>
      </c>
      <c r="D134" s="5" t="n">
        <v>0</v>
      </c>
      <c r="E134" s="12" t="n">
        <v>1</v>
      </c>
      <c r="F134" s="13" t="n">
        <v>540000</v>
      </c>
      <c r="G134" t="inlineStr">
        <is>
          <t>Невідповідність технічним вимогам</t>
        </is>
      </c>
      <c r="H134" t="inlineStr"/>
    </row>
    <row r="135">
      <c r="A135" t="inlineStr">
        <is>
          <t>3424403822</t>
        </is>
      </c>
      <c r="B135" t="inlineStr">
        <is>
          <t>ФОП " Балюк Олеся Анатоліївна"</t>
        </is>
      </c>
      <c r="C135" s="5" t="n">
        <v>1</v>
      </c>
      <c r="D135" s="5" t="n">
        <v>0</v>
      </c>
      <c r="E135" s="12" t="n">
        <v>1</v>
      </c>
      <c r="F135" s="13" t="n">
        <v>447990</v>
      </c>
      <c r="G135" t="inlineStr">
        <is>
          <t>Невідповідність технічним вимогам</t>
        </is>
      </c>
      <c r="H135" t="inlineStr"/>
    </row>
    <row r="136">
      <c r="A136" t="inlineStr">
        <is>
          <t>3106910191</t>
        </is>
      </c>
      <c r="B136" t="inlineStr">
        <is>
          <t>ФОП Варшик Богдан Анатолійович</t>
        </is>
      </c>
      <c r="C136" s="5" t="n">
        <v>1</v>
      </c>
      <c r="D136" s="5" t="n">
        <v>25</v>
      </c>
      <c r="E136" s="12" t="n">
        <v>0.0385</v>
      </c>
      <c r="F136" s="13" t="n">
        <v>447000</v>
      </c>
      <c r="G136" t="inlineStr">
        <is>
          <t>Невідповідність технічним вимогам</t>
        </is>
      </c>
      <c r="H136" t="inlineStr"/>
    </row>
    <row r="137">
      <c r="A137" t="inlineStr">
        <is>
          <t>3554707196</t>
        </is>
      </c>
      <c r="B137" t="inlineStr">
        <is>
          <t>ФОП ЗАВОРІТНИЙ ОЛЕКСАНДР ІВАНОВИЧ</t>
        </is>
      </c>
      <c r="C137" s="5" t="n">
        <v>1</v>
      </c>
      <c r="D137" s="5" t="n">
        <v>0</v>
      </c>
      <c r="E137" s="12" t="n">
        <v>1</v>
      </c>
      <c r="F137" s="13" t="n">
        <v>443895</v>
      </c>
      <c r="G137" t="inlineStr">
        <is>
          <t>Не надав документи</t>
        </is>
      </c>
      <c r="H137" t="inlineStr"/>
    </row>
    <row r="138">
      <c r="A138" t="inlineStr">
        <is>
          <t>3312618308</t>
        </is>
      </c>
      <c r="B138" t="inlineStr">
        <is>
          <t>ФОП "Ахмедова Анна Ігорівна"</t>
        </is>
      </c>
      <c r="C138" s="5" t="n">
        <v>1</v>
      </c>
      <c r="D138" s="5" t="n">
        <v>1</v>
      </c>
      <c r="E138" s="12" t="n">
        <v>0.5</v>
      </c>
      <c r="F138" s="13" t="n">
        <v>413184</v>
      </c>
      <c r="G138" t="inlineStr">
        <is>
          <t>Невідповідність вимогам документації</t>
        </is>
      </c>
      <c r="H138" t="inlineStr"/>
    </row>
    <row r="139">
      <c r="A139" t="inlineStr">
        <is>
          <t>3459008350</t>
        </is>
      </c>
      <c r="B139" t="inlineStr">
        <is>
          <t>ФОП "Борцов Віктор Миколайович"</t>
        </is>
      </c>
      <c r="C139" s="5" t="n">
        <v>1</v>
      </c>
      <c r="D139" s="5" t="n">
        <v>0</v>
      </c>
      <c r="E139" s="12" t="n">
        <v>1</v>
      </c>
      <c r="F139" s="13" t="n">
        <v>396480</v>
      </c>
      <c r="G139" t="inlineStr">
        <is>
          <t>Відмова від договору</t>
        </is>
      </c>
      <c r="H139" t="inlineStr"/>
    </row>
    <row r="140">
      <c r="A140" t="inlineStr">
        <is>
          <t>42069908</t>
        </is>
      </c>
      <c r="B140" t="inlineStr">
        <is>
          <t>ТОВ "ЗАХІД ПРОМ ПОСТАЧ"</t>
        </is>
      </c>
      <c r="C140" s="5" t="n">
        <v>1</v>
      </c>
      <c r="D140" s="5" t="n">
        <v>0</v>
      </c>
      <c r="E140" s="12" t="n">
        <v>1</v>
      </c>
      <c r="F140" s="13" t="n">
        <v>367900</v>
      </c>
      <c r="G140" t="inlineStr">
        <is>
          <t>Не підписав договір у строк</t>
        </is>
      </c>
      <c r="H140" t="inlineStr"/>
    </row>
    <row r="141">
      <c r="A141" t="inlineStr">
        <is>
          <t>3512306746</t>
        </is>
      </c>
      <c r="B141" t="inlineStr">
        <is>
          <t>ФОП "ФРОЙНДОРФЕР АНАСТАСІЯ ОЛЕКСАНДРІВНА"</t>
        </is>
      </c>
      <c r="C141" s="5" t="n">
        <v>1</v>
      </c>
      <c r="D141" s="5" t="n">
        <v>0</v>
      </c>
      <c r="E141" s="12" t="n">
        <v>1</v>
      </c>
      <c r="F141" s="13" t="n">
        <v>294780</v>
      </c>
      <c r="G141" t="inlineStr">
        <is>
          <t>Відмова від договору</t>
        </is>
      </c>
      <c r="H141" t="inlineStr"/>
    </row>
    <row r="142">
      <c r="A142" t="inlineStr">
        <is>
          <t>44939777</t>
        </is>
      </c>
      <c r="B142" t="inlineStr">
        <is>
          <t>ТОВ "АЙТІ Ф’ЮЧЕ"</t>
        </is>
      </c>
      <c r="C142" s="5" t="n">
        <v>1</v>
      </c>
      <c r="D142" s="5" t="n">
        <v>0</v>
      </c>
      <c r="E142" s="12" t="n">
        <v>1</v>
      </c>
      <c r="F142" s="13" t="n">
        <v>254023.44</v>
      </c>
      <c r="G142" t="inlineStr">
        <is>
          <t>Не підписав договір у строк</t>
        </is>
      </c>
      <c r="H142" t="inlineStr"/>
    </row>
    <row r="143">
      <c r="A143" t="inlineStr">
        <is>
          <t>41675618</t>
        </is>
      </c>
      <c r="B143" t="inlineStr">
        <is>
          <t>ТОВ "ІНТЕКС ЦЕНТР"</t>
        </is>
      </c>
      <c r="C143" s="5" t="n">
        <v>1</v>
      </c>
      <c r="D143" s="5" t="n">
        <v>1</v>
      </c>
      <c r="E143" s="12" t="n">
        <v>0.5</v>
      </c>
      <c r="F143" s="13" t="n">
        <v>216720</v>
      </c>
      <c r="G143" t="inlineStr">
        <is>
          <t>Не підписав договір у строк</t>
        </is>
      </c>
      <c r="H143" t="inlineStr"/>
    </row>
    <row r="144">
      <c r="A144" t="inlineStr">
        <is>
          <t>41263186</t>
        </is>
      </c>
      <c r="B144" t="inlineStr">
        <is>
          <t>ТОВ "ТОРГОВИЙ ДІМ "ПАРТНЕР АЙ ТІ"</t>
        </is>
      </c>
      <c r="C144" s="5" t="n">
        <v>1</v>
      </c>
      <c r="D144" s="5" t="n">
        <v>12</v>
      </c>
      <c r="E144" s="12" t="n">
        <v>0.0769</v>
      </c>
      <c r="F144" s="13" t="n">
        <v>216000</v>
      </c>
      <c r="G144" t="inlineStr">
        <is>
          <t>Невідповідність технічним вимогам</t>
        </is>
      </c>
      <c r="H144" t="inlineStr">
        <is>
          <t>так</t>
        </is>
      </c>
    </row>
    <row r="145">
      <c r="A145" t="inlineStr">
        <is>
          <t>38963592</t>
        </is>
      </c>
      <c r="B145" t="inlineStr">
        <is>
          <t>ТОВ "Інженерна компанія "Союз"</t>
        </is>
      </c>
      <c r="C145" s="5" t="n">
        <v>1</v>
      </c>
      <c r="D145" s="5" t="n">
        <v>1</v>
      </c>
      <c r="E145" s="12" t="n">
        <v>0.5</v>
      </c>
      <c r="F145" s="13" t="n">
        <v>190350</v>
      </c>
      <c r="G145" t="inlineStr">
        <is>
          <t>Невідповідність технічним вимогам</t>
        </is>
      </c>
      <c r="H145" t="inlineStr"/>
    </row>
    <row r="146">
      <c r="A146" t="inlineStr">
        <is>
          <t>3798303672</t>
        </is>
      </c>
      <c r="B146" t="inlineStr">
        <is>
          <t>ФОП "Чікільов Анатолій Максимович"</t>
        </is>
      </c>
      <c r="C146" s="5" t="n">
        <v>1</v>
      </c>
      <c r="D146" s="5" t="n">
        <v>0</v>
      </c>
      <c r="E146" s="12" t="n">
        <v>1</v>
      </c>
      <c r="F146" s="13" t="n">
        <v>190305</v>
      </c>
      <c r="G146" t="inlineStr">
        <is>
          <t>Невідповідність технічним вимогам</t>
        </is>
      </c>
      <c r="H146" t="inlineStr"/>
    </row>
    <row r="147">
      <c r="A147" t="inlineStr">
        <is>
          <t>2802607691</t>
        </is>
      </c>
      <c r="B147" t="inlineStr">
        <is>
          <t>ФОП "МИСЬКО АНДРІЙ ІВАНОВИЧ"</t>
        </is>
      </c>
      <c r="C147" s="5" t="n">
        <v>1</v>
      </c>
      <c r="D147" s="5" t="n">
        <v>1</v>
      </c>
      <c r="E147" s="12" t="n">
        <v>0.5</v>
      </c>
      <c r="F147" s="13" t="n">
        <v>178500</v>
      </c>
      <c r="G147" t="inlineStr">
        <is>
          <t>Не надав документи</t>
        </is>
      </c>
      <c r="H147" t="inlineStr"/>
    </row>
    <row r="148">
      <c r="A148" t="inlineStr">
        <is>
          <t>3609702048</t>
        </is>
      </c>
      <c r="B148" t="inlineStr">
        <is>
          <t>ФОП "ТКАЧЕНКО АННА ВОЛОДИМИРІВНА "</t>
        </is>
      </c>
      <c r="C148" s="5" t="n">
        <v>1</v>
      </c>
      <c r="D148" s="5" t="n">
        <v>0</v>
      </c>
      <c r="E148" s="12" t="n">
        <v>1</v>
      </c>
      <c r="F148" s="13" t="n">
        <v>162000</v>
      </c>
      <c r="G148" t="inlineStr">
        <is>
          <t>Відмова від договору</t>
        </is>
      </c>
      <c r="H148" t="inlineStr"/>
    </row>
    <row r="149">
      <c r="A149" t="inlineStr">
        <is>
          <t>45119322</t>
        </is>
      </c>
      <c r="B149" t="inlineStr">
        <is>
          <t>ТОВ «ПОРТАЛ АРЕНА»</t>
        </is>
      </c>
      <c r="C149" s="5" t="n">
        <v>1</v>
      </c>
      <c r="D149" s="5" t="n">
        <v>9</v>
      </c>
      <c r="E149" s="12" t="n">
        <v>0.1</v>
      </c>
      <c r="F149" s="13" t="n">
        <v>122400</v>
      </c>
      <c r="G149" t="inlineStr">
        <is>
          <t>Не підписав договір у строк</t>
        </is>
      </c>
      <c r="H149" t="inlineStr"/>
    </row>
    <row r="150">
      <c r="A150" t="inlineStr">
        <is>
          <t>44754310</t>
        </is>
      </c>
      <c r="B150" t="inlineStr">
        <is>
          <t>ТОВ "ТОП ЮНІТІ"</t>
        </is>
      </c>
      <c r="C150" s="5" t="n">
        <v>1</v>
      </c>
      <c r="D150" s="5" t="n">
        <v>1</v>
      </c>
      <c r="E150" s="12" t="n">
        <v>0.5</v>
      </c>
      <c r="F150" s="13" t="n">
        <v>120000</v>
      </c>
      <c r="G150" t="inlineStr">
        <is>
          <t>Відмова від договору</t>
        </is>
      </c>
      <c r="H150" t="inlineStr"/>
    </row>
    <row r="151">
      <c r="A151" t="inlineStr">
        <is>
          <t>3448803388</t>
        </is>
      </c>
      <c r="B151" t="inlineStr">
        <is>
          <t>ФОП "СТЕПАНОВА ТЕТЯНА ВОЛОДИМИРІВНА "</t>
        </is>
      </c>
      <c r="C151" s="5" t="n">
        <v>1</v>
      </c>
      <c r="D151" s="5" t="n">
        <v>0</v>
      </c>
      <c r="E151" s="12" t="n">
        <v>1</v>
      </c>
      <c r="F151" s="13" t="n">
        <v>118776</v>
      </c>
      <c r="G151" t="inlineStr">
        <is>
          <t>Невідповідність вимогам документації</t>
        </is>
      </c>
      <c r="H151" t="inlineStr"/>
    </row>
    <row r="152">
      <c r="A152" t="inlineStr">
        <is>
          <t>20049451</t>
        </is>
      </c>
      <c r="B152" t="inlineStr">
        <is>
          <t>ТОВ "Уліс Сістемс"</t>
        </is>
      </c>
      <c r="C152" s="5" t="n">
        <v>1</v>
      </c>
      <c r="D152" s="5" t="n">
        <v>0</v>
      </c>
      <c r="E152" s="12" t="n">
        <v>1</v>
      </c>
      <c r="F152" s="13" t="n">
        <v>118707</v>
      </c>
      <c r="G152" t="inlineStr">
        <is>
          <t>Невідповідність вимогам документації</t>
        </is>
      </c>
      <c r="H152" t="inlineStr"/>
    </row>
    <row r="153">
      <c r="A153" t="inlineStr">
        <is>
          <t>3307208132</t>
        </is>
      </c>
      <c r="B153" t="inlineStr">
        <is>
          <t>ФОП Атаманський Богдан Миколайович</t>
        </is>
      </c>
      <c r="C153" s="5" t="n">
        <v>1</v>
      </c>
      <c r="D153" s="5" t="n">
        <v>1</v>
      </c>
      <c r="E153" s="12" t="n">
        <v>0.5</v>
      </c>
      <c r="F153" s="13" t="n">
        <v>109000</v>
      </c>
      <c r="G153" t="inlineStr">
        <is>
          <t>Не підписав договір у строк</t>
        </is>
      </c>
      <c r="H153" t="inlineStr"/>
    </row>
    <row r="154">
      <c r="A154" t="inlineStr">
        <is>
          <t>2592904741</t>
        </is>
      </c>
      <c r="B154" t="inlineStr">
        <is>
          <t>ФОП "КАЛЬЧЕНКО ТЕТЯНА АНАТОЛІЇВНА"</t>
        </is>
      </c>
      <c r="C154" s="5" t="n">
        <v>1</v>
      </c>
      <c r="D154" s="5" t="n">
        <v>0</v>
      </c>
      <c r="E154" s="12" t="n">
        <v>1</v>
      </c>
      <c r="F154" s="13" t="n">
        <v>107994</v>
      </c>
      <c r="G154" t="inlineStr">
        <is>
          <t>Невідповідність технічним вимогам</t>
        </is>
      </c>
      <c r="H154" t="inlineStr"/>
    </row>
    <row r="155">
      <c r="A155" t="inlineStr">
        <is>
          <t>3626907460</t>
        </is>
      </c>
      <c r="B155" t="inlineStr">
        <is>
          <t>ФОП "Приступа Єлизавета Борисівна"</t>
        </is>
      </c>
      <c r="C155" s="5" t="n">
        <v>1</v>
      </c>
      <c r="D155" s="5" t="n">
        <v>2</v>
      </c>
      <c r="E155" s="12" t="n">
        <v>0.3333</v>
      </c>
      <c r="F155" s="13" t="n">
        <v>99800</v>
      </c>
      <c r="G155" t="inlineStr">
        <is>
          <t>Відмова від договору</t>
        </is>
      </c>
      <c r="H155" t="inlineStr"/>
    </row>
    <row r="156">
      <c r="A156" t="inlineStr">
        <is>
          <t>3540302713</t>
        </is>
      </c>
      <c r="B156" t="inlineStr">
        <is>
          <t>ФОП "ХРАПКО ВІТАЛІЙ ВОЛОДИМИРОВИЧ"</t>
        </is>
      </c>
      <c r="C156" s="5" t="n">
        <v>1</v>
      </c>
      <c r="D156" s="5" t="n">
        <v>0</v>
      </c>
      <c r="E156" s="12" t="n">
        <v>1</v>
      </c>
      <c r="F156" s="13" t="n">
        <v>98480</v>
      </c>
      <c r="G156" t="inlineStr">
        <is>
          <t>Відмова від договору</t>
        </is>
      </c>
      <c r="H156" t="inlineStr"/>
    </row>
    <row r="157">
      <c r="A157" t="inlineStr">
        <is>
          <t>43052392</t>
        </is>
      </c>
      <c r="B157" t="inlineStr">
        <is>
          <t>ТОВ "ЕТСО"</t>
        </is>
      </c>
      <c r="C157" s="5" t="n">
        <v>1</v>
      </c>
      <c r="D157" s="5" t="n">
        <v>0</v>
      </c>
      <c r="E157" s="12" t="n">
        <v>1</v>
      </c>
      <c r="F157" s="13" t="n">
        <v>95912.5</v>
      </c>
      <c r="G157" t="inlineStr">
        <is>
          <t>Відмова від договору</t>
        </is>
      </c>
      <c r="H157" t="inlineStr"/>
    </row>
    <row r="158">
      <c r="A158" t="inlineStr">
        <is>
          <t>2978900762</t>
        </is>
      </c>
      <c r="B158" t="inlineStr">
        <is>
          <t>ФОП МІЩЕНКО ОЛЕНА АНАТОЛІЇВНА</t>
        </is>
      </c>
      <c r="C158" s="5" t="n">
        <v>1</v>
      </c>
      <c r="D158" s="5" t="n">
        <v>2</v>
      </c>
      <c r="E158" s="12" t="n">
        <v>0.3333</v>
      </c>
      <c r="F158" s="13" t="n">
        <v>88998</v>
      </c>
      <c r="G158" t="inlineStr">
        <is>
          <t>Відмова від договору</t>
        </is>
      </c>
      <c r="H158" t="inlineStr"/>
    </row>
    <row r="159">
      <c r="A159" t="inlineStr">
        <is>
          <t>2377111025</t>
        </is>
      </c>
      <c r="B159" t="inlineStr">
        <is>
          <t>ФОП "Кізима Олександра Ярославівна"</t>
        </is>
      </c>
      <c r="C159" s="5" t="n">
        <v>1</v>
      </c>
      <c r="D159" s="5" t="n">
        <v>1</v>
      </c>
      <c r="E159" s="12" t="n">
        <v>0.5</v>
      </c>
      <c r="F159" s="13" t="n">
        <v>88110</v>
      </c>
      <c r="G159" t="inlineStr">
        <is>
          <t>Відмова від договору</t>
        </is>
      </c>
      <c r="H159" t="inlineStr"/>
    </row>
    <row r="160">
      <c r="A160" t="inlineStr">
        <is>
          <t>2900121460</t>
        </is>
      </c>
      <c r="B160" t="inlineStr">
        <is>
          <t>ФОП "Андріюк Тетяна Анатоліївна"</t>
        </is>
      </c>
      <c r="C160" s="5" t="n">
        <v>1</v>
      </c>
      <c r="D160" s="5" t="n">
        <v>0</v>
      </c>
      <c r="E160" s="12" t="n">
        <v>1</v>
      </c>
      <c r="F160" s="13" t="n">
        <v>82119</v>
      </c>
      <c r="G160" t="inlineStr">
        <is>
          <t>Відмова від договору</t>
        </is>
      </c>
      <c r="H160" t="inlineStr"/>
    </row>
    <row r="161">
      <c r="A161" t="inlineStr">
        <is>
          <t>40733799</t>
        </is>
      </c>
      <c r="B161" t="inlineStr">
        <is>
          <t>ТОВ "АРТЛАЙН ІНТЕГРАЦІЯ"</t>
        </is>
      </c>
      <c r="C161" s="5" t="n">
        <v>1</v>
      </c>
      <c r="D161" s="5" t="n">
        <v>15</v>
      </c>
      <c r="E161" s="12" t="n">
        <v>0.0625</v>
      </c>
      <c r="F161" s="13" t="n">
        <v>74970</v>
      </c>
      <c r="G161" t="inlineStr">
        <is>
          <t>Відмова від договору</t>
        </is>
      </c>
      <c r="H161" t="inlineStr"/>
    </row>
    <row r="162">
      <c r="A162" t="inlineStr">
        <is>
          <t>2322513639</t>
        </is>
      </c>
      <c r="B162" t="inlineStr">
        <is>
          <t>ФОП Лисенко Михайло Миколайович</t>
        </is>
      </c>
      <c r="C162" s="5" t="n">
        <v>1</v>
      </c>
      <c r="D162" s="5" t="n">
        <v>0</v>
      </c>
      <c r="E162" s="12" t="n">
        <v>1</v>
      </c>
      <c r="F162" s="13" t="n">
        <v>72846</v>
      </c>
      <c r="G162" t="inlineStr">
        <is>
          <t>Відмова від договору</t>
        </is>
      </c>
      <c r="H162" t="inlineStr"/>
    </row>
    <row r="163">
      <c r="A163" t="inlineStr">
        <is>
          <t>44996712</t>
        </is>
      </c>
      <c r="B163" t="inlineStr">
        <is>
          <t>ТОВ "ОСТРІВ 1"</t>
        </is>
      </c>
      <c r="C163" s="5" t="n">
        <v>1</v>
      </c>
      <c r="D163" s="5" t="n">
        <v>3</v>
      </c>
      <c r="E163" s="12" t="n">
        <v>0.25</v>
      </c>
      <c r="F163" s="13" t="n">
        <v>66907.5</v>
      </c>
      <c r="G163" t="inlineStr">
        <is>
          <t>Відмова від договору</t>
        </is>
      </c>
      <c r="H163" t="inlineStr"/>
    </row>
    <row r="164">
      <c r="A164" t="inlineStr">
        <is>
          <t>3077311899</t>
        </is>
      </c>
      <c r="B164" t="inlineStr">
        <is>
          <t>ФОП "КУЧЕР ВСЕВОЛОД БОРИСОВИЧ"</t>
        </is>
      </c>
      <c r="C164" s="5" t="n">
        <v>1</v>
      </c>
      <c r="D164" s="5" t="n">
        <v>0</v>
      </c>
      <c r="E164" s="12" t="n">
        <v>1</v>
      </c>
      <c r="F164" s="13" t="n">
        <v>59700</v>
      </c>
      <c r="G164" t="inlineStr">
        <is>
          <t>Відмова від договору</t>
        </is>
      </c>
      <c r="H164" t="inlineStr"/>
    </row>
    <row r="165">
      <c r="A165" t="inlineStr">
        <is>
          <t>3755010043</t>
        </is>
      </c>
      <c r="B165" t="inlineStr">
        <is>
          <t>ФОП ВИНИЧУК НАТАЛІЯ ЮРІЇВНА</t>
        </is>
      </c>
      <c r="C165" s="5" t="n">
        <v>1</v>
      </c>
      <c r="D165" s="5" t="n">
        <v>0</v>
      </c>
      <c r="E165" s="12" t="n">
        <v>1</v>
      </c>
      <c r="F165" s="13" t="n">
        <v>54300</v>
      </c>
      <c r="G165" t="inlineStr">
        <is>
          <t>Відмова від договору</t>
        </is>
      </c>
      <c r="H165" t="inlineStr"/>
    </row>
    <row r="166">
      <c r="A166" t="inlineStr">
        <is>
          <t>1974306055</t>
        </is>
      </c>
      <c r="B166" t="inlineStr">
        <is>
          <t>ФОП "БІЛОЗЕРСЬКИЙ ОЛЕГ МИКОЛАЙОВИЧ"</t>
        </is>
      </c>
      <c r="C166" s="5" t="n">
        <v>1</v>
      </c>
      <c r="D166" s="5" t="n">
        <v>2</v>
      </c>
      <c r="E166" s="12" t="n">
        <v>0.3333</v>
      </c>
      <c r="F166" s="13" t="n">
        <v>53215.65</v>
      </c>
      <c r="G166" t="inlineStr">
        <is>
          <t>Не підписав договір у строк</t>
        </is>
      </c>
      <c r="H166" t="inlineStr"/>
    </row>
    <row r="167">
      <c r="A167" t="inlineStr">
        <is>
          <t>3193710139</t>
        </is>
      </c>
      <c r="B167" t="inlineStr">
        <is>
          <t>ФОП Кушнір Віктор Вікторович</t>
        </is>
      </c>
      <c r="C167" s="5" t="n">
        <v>1</v>
      </c>
      <c r="D167" s="5" t="n">
        <v>5</v>
      </c>
      <c r="E167" s="12" t="n">
        <v>0.1667</v>
      </c>
      <c r="F167" s="13" t="n">
        <v>44000</v>
      </c>
      <c r="G167" t="inlineStr">
        <is>
          <t>Відмова від договору</t>
        </is>
      </c>
      <c r="H167" t="inlineStr"/>
    </row>
    <row r="168">
      <c r="A168" t="inlineStr">
        <is>
          <t>30370549</t>
        </is>
      </c>
      <c r="B168" t="inlineStr">
        <is>
          <t>ТОВ "Ю ЕНД ТІ ТРЕЙДІНГ КОМПАНІ"</t>
        </is>
      </c>
      <c r="C168" s="5" t="n">
        <v>1</v>
      </c>
      <c r="D168" s="5" t="n">
        <v>0</v>
      </c>
      <c r="E168" s="12" t="n">
        <v>1</v>
      </c>
      <c r="F168" s="13" t="n">
        <v>31050</v>
      </c>
      <c r="G168" t="inlineStr">
        <is>
          <t>Невідповідність технічним вимогам</t>
        </is>
      </c>
      <c r="H168" t="inlineStr"/>
    </row>
    <row r="169">
      <c r="A169" t="inlineStr">
        <is>
          <t>44518865</t>
        </is>
      </c>
      <c r="B169" t="inlineStr">
        <is>
          <t>ТОВ "НК СЕКЬЮРАЙТІ"</t>
        </is>
      </c>
      <c r="C169" s="5" t="n">
        <v>1</v>
      </c>
      <c r="D169" s="5" t="n">
        <v>0</v>
      </c>
      <c r="E169" s="12" t="n">
        <v>1</v>
      </c>
      <c r="F169" s="13" t="n">
        <v>29890.8</v>
      </c>
      <c r="G169" t="inlineStr">
        <is>
          <t>Відмова від договору</t>
        </is>
      </c>
      <c r="H169" t="inlineStr"/>
    </row>
    <row r="170">
      <c r="A170" t="inlineStr">
        <is>
          <t>2182417109</t>
        </is>
      </c>
      <c r="B170" t="inlineStr">
        <is>
          <t>ФОП "Павлюк Леся Миколаївна"</t>
        </is>
      </c>
      <c r="C170" s="5" t="n">
        <v>1</v>
      </c>
      <c r="D170" s="5" t="n">
        <v>1</v>
      </c>
      <c r="E170" s="12" t="n">
        <v>0.5</v>
      </c>
      <c r="F170" s="13" t="n">
        <v>26333.33</v>
      </c>
      <c r="G170" t="inlineStr">
        <is>
          <t>Невідповідність вимогам документації</t>
        </is>
      </c>
      <c r="H170" t="inlineStr"/>
    </row>
    <row r="171">
      <c r="A171" t="inlineStr">
        <is>
          <t>3614201379</t>
        </is>
      </c>
      <c r="B171" t="inlineStr">
        <is>
          <t>ФОП "КУЧЕРЯВИЙ КОСТЯНТИН ГРИГОРОВИЧ"</t>
        </is>
      </c>
      <c r="C171" s="5" t="n">
        <v>1</v>
      </c>
      <c r="D171" s="5" t="n">
        <v>1</v>
      </c>
      <c r="E171" s="12" t="n">
        <v>0.5</v>
      </c>
      <c r="F171" s="13" t="n">
        <v>25000</v>
      </c>
      <c r="G171" t="inlineStr">
        <is>
          <t>Відмова від договору</t>
        </is>
      </c>
      <c r="H171" t="inlineStr"/>
    </row>
    <row r="172">
      <c r="A172" t="inlineStr">
        <is>
          <t>3394506905</t>
        </is>
      </c>
      <c r="B172" t="inlineStr">
        <is>
          <t>ОСАДЧА ОЛЕНА ЮРІЇВНА</t>
        </is>
      </c>
      <c r="C172" s="5" t="n">
        <v>1</v>
      </c>
      <c r="D172" s="5" t="n">
        <v>3</v>
      </c>
      <c r="E172" s="12" t="n">
        <v>0.25</v>
      </c>
      <c r="F172" s="13" t="n">
        <v>15155</v>
      </c>
      <c r="G172" t="inlineStr">
        <is>
          <t>Не надав документи</t>
        </is>
      </c>
      <c r="H172" t="inlineStr"/>
    </row>
    <row r="173">
      <c r="A173" t="inlineStr">
        <is>
          <t>2120013021</t>
        </is>
      </c>
      <c r="B173" t="inlineStr">
        <is>
          <t>ФОП "Семенюк Наталія Дмитрівна"</t>
        </is>
      </c>
      <c r="C173" s="5" t="n">
        <v>1</v>
      </c>
      <c r="D173" s="5" t="n">
        <v>0</v>
      </c>
      <c r="E173" s="12" t="n">
        <v>1</v>
      </c>
      <c r="F173" s="13" t="n">
        <v>13130</v>
      </c>
      <c r="G173" t="inlineStr">
        <is>
          <t>Відмова від договору</t>
        </is>
      </c>
      <c r="H173" t="inlineStr"/>
    </row>
    <row r="174">
      <c r="A174" t="inlineStr">
        <is>
          <t>21337459</t>
        </is>
      </c>
      <c r="B174" t="inlineStr">
        <is>
          <t>ТОВ "КОРВЕТ"</t>
        </is>
      </c>
      <c r="C174" s="5" t="n">
        <v>1</v>
      </c>
      <c r="D174" s="5" t="n">
        <v>20</v>
      </c>
      <c r="E174" s="12" t="n">
        <v>0.0476</v>
      </c>
      <c r="F174" s="13" t="n">
        <v>10200</v>
      </c>
      <c r="G174" t="inlineStr">
        <is>
          <t>Не підписав договір у строк</t>
        </is>
      </c>
      <c r="H174" t="inlineStr"/>
    </row>
    <row r="175">
      <c r="A175" t="inlineStr">
        <is>
          <t>30126040</t>
        </is>
      </c>
      <c r="B175" t="inlineStr">
        <is>
          <t>ТОВ "САНТАРЕКС"</t>
        </is>
      </c>
      <c r="C175" s="5" t="n">
        <v>1</v>
      </c>
      <c r="D175" s="5" t="n">
        <v>60</v>
      </c>
      <c r="E175" s="12" t="n">
        <v>0.0164</v>
      </c>
      <c r="F175" s="13" t="n">
        <v>3900</v>
      </c>
      <c r="G175" t="inlineStr">
        <is>
          <t>Не підписав договір у строк</t>
        </is>
      </c>
      <c r="H175" t="inlineStr"/>
    </row>
    <row r="177">
      <c r="A177" s="2" t="inlineStr">
        <is>
          <t>Замовники</t>
        </is>
      </c>
    </row>
    <row r="178">
      <c r="A178" s="11" t="inlineStr">
        <is>
          <t>Замовник</t>
        </is>
      </c>
      <c r="B178" s="11" t="inlineStr">
        <is>
          <t>ЄДРПОУ</t>
        </is>
      </c>
      <c r="C178" s="11" t="inlineStr">
        <is>
          <t>Скасовано перемог</t>
        </is>
      </c>
      <c r="D178" s="11" t="inlineStr">
        <is>
          <t>Сума, грн</t>
        </is>
      </c>
      <c r="E178" s="11" t="inlineStr">
        <is>
          <t>Компаній</t>
        </is>
      </c>
      <c r="F178" s="11" t="inlineStr">
        <is>
          <t>Головна причина</t>
        </is>
      </c>
    </row>
    <row r="179">
      <c r="A179" t="inlineStr">
        <is>
          <t>Виконавчий комітет Луцької міської ради</t>
        </is>
      </c>
      <c r="B179" t="inlineStr">
        <is>
          <t>04051327</t>
        </is>
      </c>
      <c r="C179" s="5" t="n">
        <v>17</v>
      </c>
      <c r="D179" s="13" t="n">
        <v>2001043.02</v>
      </c>
      <c r="E179" s="5" t="n">
        <v>13</v>
      </c>
      <c r="F179" t="inlineStr">
        <is>
          <t>Відмова від договору</t>
        </is>
      </c>
    </row>
    <row r="180">
      <c r="A180" t="inlineStr">
        <is>
          <t>КП "Медичне об'єднання Луцької міської територіальної громади"</t>
        </is>
      </c>
      <c r="B180" t="inlineStr">
        <is>
          <t>01982985</t>
        </is>
      </c>
      <c r="C180" s="5" t="n">
        <v>16</v>
      </c>
      <c r="D180" s="13" t="n">
        <v>1998543.2</v>
      </c>
      <c r="E180" s="5" t="n">
        <v>12</v>
      </c>
      <c r="F180" t="inlineStr">
        <is>
          <t>Невідповідність технічним вимогам</t>
        </is>
      </c>
    </row>
    <row r="181">
      <c r="A181" t="inlineStr">
        <is>
          <t>ВІЙСЬКОВА ЧАСТИНА 1141 НАЦІОНАЛЬНОЇ ГВАРДІЇ УКРАЇНИ</t>
        </is>
      </c>
      <c r="B181" t="inlineStr">
        <is>
          <t>14323416</t>
        </is>
      </c>
      <c r="C181" s="5" t="n">
        <v>16</v>
      </c>
      <c r="D181" s="13" t="n">
        <v>838363.33</v>
      </c>
      <c r="E181" s="5" t="n">
        <v>9</v>
      </c>
      <c r="F181" t="inlineStr">
        <is>
          <t>Відмова від договору</t>
        </is>
      </c>
    </row>
    <row r="182">
      <c r="A182" t="inlineStr">
        <is>
          <t>Територіальне управління Державної судової адміністрації України в Волинській області</t>
        </is>
      </c>
      <c r="B182" t="inlineStr">
        <is>
          <t>26276277</t>
        </is>
      </c>
      <c r="C182" s="5" t="n">
        <v>15</v>
      </c>
      <c r="D182" s="13" t="n">
        <v>5108176.44</v>
      </c>
      <c r="E182" s="5" t="n">
        <v>13</v>
      </c>
      <c r="F182" t="inlineStr">
        <is>
          <t>Відмова від договору</t>
        </is>
      </c>
    </row>
    <row r="183">
      <c r="A183" t="inlineStr">
        <is>
          <t>Любомльська міська рада</t>
        </is>
      </c>
      <c r="B183" t="inlineStr">
        <is>
          <t>04051336</t>
        </is>
      </c>
      <c r="C183" s="5" t="n">
        <v>12</v>
      </c>
      <c r="D183" s="13" t="n">
        <v>950349.5</v>
      </c>
      <c r="E183" s="5" t="n">
        <v>8</v>
      </c>
      <c r="F183" t="inlineStr">
        <is>
          <t>Відмова від договору</t>
        </is>
      </c>
    </row>
    <row r="184">
      <c r="A184" t="inlineStr">
        <is>
          <t>ЛІЦЕЙ ІМЕНІ ОЛЕКСАНДРА ЦИНКАЛОВСЬКОГО ВОЛОДИМИРСЬКОЇ МІСЬКОЇ РАДИ</t>
        </is>
      </c>
      <c r="B184" t="inlineStr">
        <is>
          <t>21739672</t>
        </is>
      </c>
      <c r="C184" s="5" t="n">
        <v>10</v>
      </c>
      <c r="D184" s="13" t="n">
        <v>3082463.52</v>
      </c>
      <c r="E184" s="5" t="n">
        <v>7</v>
      </c>
      <c r="F184" t="inlineStr">
        <is>
          <t>Відмова від договору</t>
        </is>
      </c>
    </row>
    <row r="185">
      <c r="A185" t="inlineStr">
        <is>
          <t>Департамент "Центр надання адміністративних послуг у місті Луцьку" Луцької міської ради</t>
        </is>
      </c>
      <c r="B185" t="inlineStr">
        <is>
          <t>38527410</t>
        </is>
      </c>
      <c r="C185" s="5" t="n">
        <v>7</v>
      </c>
      <c r="D185" s="13" t="n">
        <v>1236832.92</v>
      </c>
      <c r="E185" s="5" t="n">
        <v>7</v>
      </c>
      <c r="F185" t="inlineStr">
        <is>
          <t>Відмова від договору</t>
        </is>
      </c>
    </row>
    <row r="186">
      <c r="A186" t="inlineStr">
        <is>
          <t>Військова частина А 0959</t>
        </is>
      </c>
      <c r="B186" t="inlineStr">
        <is>
          <t>26614739</t>
        </is>
      </c>
      <c r="C186" s="5" t="n">
        <v>6</v>
      </c>
      <c r="D186" s="13" t="n">
        <v>1712558</v>
      </c>
      <c r="E186" s="5" t="n">
        <v>4</v>
      </c>
      <c r="F186" t="inlineStr">
        <is>
          <t>Невідповідність вимогам документації</t>
        </is>
      </c>
    </row>
    <row r="187">
      <c r="A187" t="inlineStr">
        <is>
          <t>ЛЮБЛИНЕЦЬКИЙ ЛІЦЕЙ ВОЛИНСЬКОЇ ОБЛАСНОЇ РАДИ</t>
        </is>
      </c>
      <c r="B187" t="inlineStr">
        <is>
          <t>20141576</t>
        </is>
      </c>
      <c r="C187" s="5" t="n">
        <v>6</v>
      </c>
      <c r="D187" s="13" t="n">
        <v>139664.08</v>
      </c>
      <c r="E187" s="5" t="n">
        <v>4</v>
      </c>
      <c r="F187" t="inlineStr">
        <is>
          <t>Не підписав договір у строк</t>
        </is>
      </c>
    </row>
    <row r="188">
      <c r="A188" t="inlineStr">
        <is>
          <t>Луцький національний технічний університет</t>
        </is>
      </c>
      <c r="B188" t="inlineStr">
        <is>
          <t>05477296</t>
        </is>
      </c>
      <c r="C188" s="5" t="n">
        <v>5</v>
      </c>
      <c r="D188" s="13" t="n">
        <v>1764352</v>
      </c>
      <c r="E188" s="5" t="n">
        <v>5</v>
      </c>
      <c r="F188" t="inlineStr">
        <is>
          <t>Відмова від договору</t>
        </is>
      </c>
    </row>
    <row r="189">
      <c r="A189" t="inlineStr">
        <is>
          <t>ВОЛИНСЬКА ОБЛАСНА ПРОКУРАТУРА</t>
        </is>
      </c>
      <c r="B189" t="inlineStr">
        <is>
          <t>02909915</t>
        </is>
      </c>
      <c r="C189" s="5" t="n">
        <v>5</v>
      </c>
      <c r="D189" s="13" t="n">
        <v>996258.48</v>
      </c>
      <c r="E189" s="5" t="n">
        <v>5</v>
      </c>
      <c r="F189" t="inlineStr">
        <is>
          <t>Відмова від договору</t>
        </is>
      </c>
    </row>
    <row r="190">
      <c r="A190" t="inlineStr">
        <is>
          <t>ВІДОКРЕМЛЕНИЙ СТРУКТУРНИЙ ПІДРОЗДІЛ "ВОЛИНСЬКИЙ ФАХОВИЙ КОЛЕДЖ НАЦІОНАЛЬНОГО УНІВЕРСИТЕТУ ХАРЧОВИХ ТЕХНОЛОГІЙ"</t>
        </is>
      </c>
      <c r="B190" t="inlineStr">
        <is>
          <t>34804384</t>
        </is>
      </c>
      <c r="C190" s="5" t="n">
        <v>5</v>
      </c>
      <c r="D190" s="13" t="n">
        <v>924341.4300000001</v>
      </c>
      <c r="E190" s="5" t="n">
        <v>5</v>
      </c>
      <c r="F190" t="inlineStr">
        <is>
          <t>Відмова від договору</t>
        </is>
      </c>
    </row>
    <row r="191">
      <c r="A191" t="inlineStr">
        <is>
          <t>Виконавчий комітет Ратнівської селищної ради</t>
        </is>
      </c>
      <c r="B191" t="inlineStr">
        <is>
          <t>44096289</t>
        </is>
      </c>
      <c r="C191" s="5" t="n">
        <v>5</v>
      </c>
      <c r="D191" s="13" t="n">
        <v>354620</v>
      </c>
      <c r="E191" s="5" t="n">
        <v>5</v>
      </c>
      <c r="F191" t="inlineStr">
        <is>
          <t>Відмова від договору</t>
        </is>
      </c>
    </row>
    <row r="192">
      <c r="A192" t="inlineStr">
        <is>
          <t>ДЕПАРТАМЕНТ З ПИТАНЬ ВЕТЕРАНСЬКОЇ ПОЛІТИКИ ЛУЦЬКОЇ МІСЬКОЇ РАДИ</t>
        </is>
      </c>
      <c r="B192" t="inlineStr">
        <is>
          <t>45736155</t>
        </is>
      </c>
      <c r="C192" s="5" t="n">
        <v>4</v>
      </c>
      <c r="D192" s="13" t="n">
        <v>784824</v>
      </c>
      <c r="E192" s="5" t="n">
        <v>4</v>
      </c>
      <c r="F192" t="inlineStr">
        <is>
          <t>Відмова від договору</t>
        </is>
      </c>
    </row>
    <row r="193">
      <c r="A193" t="inlineStr">
        <is>
          <t>КП ""Луцькводоканал""</t>
        </is>
      </c>
      <c r="B193" t="inlineStr">
        <is>
          <t>03339489</t>
        </is>
      </c>
      <c r="C193" s="5" t="n">
        <v>4</v>
      </c>
      <c r="D193" s="13" t="n">
        <v>500660</v>
      </c>
      <c r="E193" s="5" t="n">
        <v>3</v>
      </c>
      <c r="F193" t="inlineStr">
        <is>
          <t>Відмова від договору</t>
        </is>
      </c>
    </row>
    <row r="194">
      <c r="A194" t="inlineStr">
        <is>
          <t>ВИРОБНИЧЕ УПРАВЛІННЯ КОМУНАЛЬНОГО ГОСПОДАРСТВА НОВОВОЛИНСКОЇ МІСЬКОЇ РАДИ</t>
        </is>
      </c>
      <c r="B194" t="inlineStr">
        <is>
          <t>03339331</t>
        </is>
      </c>
      <c r="C194" s="5" t="n">
        <v>4</v>
      </c>
      <c r="D194" s="13" t="n">
        <v>231232</v>
      </c>
      <c r="E194" s="5" t="n">
        <v>3</v>
      </c>
      <c r="F194" t="inlineStr">
        <is>
          <t>Відмова від договору</t>
        </is>
      </c>
    </row>
    <row r="195">
      <c r="A195" t="inlineStr">
        <is>
          <t>Старовижівський професійний ліцей</t>
        </is>
      </c>
      <c r="B195" t="inlineStr">
        <is>
          <t>02546950</t>
        </is>
      </c>
      <c r="C195" s="5" t="n">
        <v>4</v>
      </c>
      <c r="D195" s="13" t="n">
        <v>211206</v>
      </c>
      <c r="E195" s="5" t="n">
        <v>4</v>
      </c>
      <c r="F195" t="inlineStr">
        <is>
          <t>Відмова від договору</t>
        </is>
      </c>
    </row>
    <row r="196">
      <c r="A196" t="inlineStr">
        <is>
          <t>Виконавчий комітет Ковельської міської ради</t>
        </is>
      </c>
      <c r="B196" t="inlineStr">
        <is>
          <t>04051313</t>
        </is>
      </c>
      <c r="C196" s="5" t="n">
        <v>4</v>
      </c>
      <c r="D196" s="13" t="n">
        <v>159054</v>
      </c>
      <c r="E196" s="5" t="n">
        <v>4</v>
      </c>
      <c r="F196" t="inlineStr">
        <is>
          <t>Відмова від договору</t>
        </is>
      </c>
    </row>
    <row r="197">
      <c r="A197" t="inlineStr">
        <is>
          <t>ГОЛОВНЕ УПРАВЛІННЯ ПЕНСІЙНОГО ФОНДУ УКРАЇНИ У ВОЛИНСЬКІЙ ОБЛАСТІ</t>
        </is>
      </c>
      <c r="B197" t="inlineStr">
        <is>
          <t>13358826</t>
        </is>
      </c>
      <c r="C197" s="5" t="n">
        <v>3</v>
      </c>
      <c r="D197" s="13" t="n">
        <v>2058927.88</v>
      </c>
      <c r="E197" s="5" t="n">
        <v>3</v>
      </c>
      <c r="F197" t="inlineStr">
        <is>
          <t>Невідповідність технічним вимогам</t>
        </is>
      </c>
    </row>
    <row r="198">
      <c r="A198" t="inlineStr">
        <is>
          <t>Головне Управління Державної служби України з надзвичайних ситуацій у Волинській області</t>
        </is>
      </c>
      <c r="B198" t="inlineStr">
        <is>
          <t>38592652</t>
        </is>
      </c>
      <c r="C198" s="5" t="n">
        <v>3</v>
      </c>
      <c r="D198" s="13" t="n">
        <v>1180190</v>
      </c>
      <c r="E198" s="5" t="n">
        <v>3</v>
      </c>
      <c r="F198" t="inlineStr">
        <is>
          <t>Невідповідність технічним вимогам</t>
        </is>
      </c>
    </row>
    <row r="199">
      <c r="A199" t="inlineStr">
        <is>
          <t>КП «ВОЛИНСЬКЕ ОБЛАСНЕ ТЕРИТОРІАЛЬНЕ МЕДИЧНЕ ОБ’ЄДНАНННЯ ЗАХИСТУ МАТЕРИНСТВА І ДИТИНСТВА» ВОЛИНСЬКОЇ ОБЛАСНОЇ РАДИ</t>
        </is>
      </c>
      <c r="B199" t="inlineStr">
        <is>
          <t>42078561</t>
        </is>
      </c>
      <c r="C199" s="5" t="n">
        <v>3</v>
      </c>
      <c r="D199" s="13" t="n">
        <v>383376</v>
      </c>
      <c r="E199" s="5" t="n">
        <v>3</v>
      </c>
      <c r="F199" t="inlineStr">
        <is>
          <t>Відмова від договору</t>
        </is>
      </c>
    </row>
    <row r="200">
      <c r="A200" t="inlineStr">
        <is>
          <t>НОВОВОЛИНСЬКИЙ ЛІЦЕЙ № 7 НОВОВОЛИНСЬКОЇ МІСЬКОЇ РАДИ ВОЛИНСЬКОЇ ОБЛАСТІ</t>
        </is>
      </c>
      <c r="B200" t="inlineStr">
        <is>
          <t>20144468</t>
        </is>
      </c>
      <c r="C200" s="5" t="n">
        <v>3</v>
      </c>
      <c r="D200" s="13" t="n">
        <v>174165</v>
      </c>
      <c r="E200" s="5" t="n">
        <v>3</v>
      </c>
      <c r="F200" t="inlineStr">
        <is>
          <t>Відмова від договору</t>
        </is>
      </c>
    </row>
    <row r="201">
      <c r="A201" t="inlineStr">
        <is>
          <t>ВИКОНАВЧИЙ КОМІТЕТ НОВОВОЛИНСЬКОЇ МІСЬКОЇ РАДИ</t>
        </is>
      </c>
      <c r="B201" t="inlineStr">
        <is>
          <t>04051342</t>
        </is>
      </c>
      <c r="C201" s="5" t="n">
        <v>3</v>
      </c>
      <c r="D201" s="13" t="n">
        <v>154360</v>
      </c>
      <c r="E201" s="5" t="n">
        <v>3</v>
      </c>
      <c r="F201" t="inlineStr">
        <is>
          <t>Відмова від договору</t>
        </is>
      </c>
    </row>
    <row r="202">
      <c r="A202" t="inlineStr">
        <is>
          <t>НОВОВОЛИНСЬКИЙ ЛІЦЕЙ №9 НОВОВОЛИНСЬКОЇ МІСЬКОЇ РАДИ ВОЛИНСЬКОЇ ОБЛАСТІ</t>
        </is>
      </c>
      <c r="B202" t="inlineStr">
        <is>
          <t>25818003</t>
        </is>
      </c>
      <c r="C202" s="5" t="n">
        <v>3</v>
      </c>
      <c r="D202" s="13" t="n">
        <v>76055</v>
      </c>
      <c r="E202" s="5" t="n">
        <v>3</v>
      </c>
      <c r="F202" t="inlineStr">
        <is>
          <t>Відмова від договору</t>
        </is>
      </c>
    </row>
    <row r="203">
      <c r="A203" t="inlineStr">
        <is>
          <t>Військова частина А 1008</t>
        </is>
      </c>
      <c r="B203" t="inlineStr">
        <is>
          <t>26614751</t>
        </is>
      </c>
      <c r="C203" s="5" t="n">
        <v>2</v>
      </c>
      <c r="D203" s="13" t="n">
        <v>1080000</v>
      </c>
      <c r="E203" s="5" t="n">
        <v>1</v>
      </c>
      <c r="F203" t="inlineStr">
        <is>
          <t>Невідповідність вимогам документації</t>
        </is>
      </c>
    </row>
    <row r="204">
      <c r="A204" t="inlineStr">
        <is>
          <t>КП "МЕДИЧНИЙ ЦЕНТР РЕАБІЛІТАЦІЇ УЧАСНИКІВ БОЙОВИХ ДІЙ ЛУЦЬКОЇ МІСЬКОЇ ТЕРИТОРІАЛЬНОЇ ГРОМАДИ"</t>
        </is>
      </c>
      <c r="B204" t="inlineStr">
        <is>
          <t>44244098</t>
        </is>
      </c>
      <c r="C204" s="5" t="n">
        <v>2</v>
      </c>
      <c r="D204" s="13" t="n">
        <v>893990</v>
      </c>
      <c r="E204" s="5" t="n">
        <v>2</v>
      </c>
      <c r="F204" t="inlineStr">
        <is>
          <t>Невідповідність технічним вимогам</t>
        </is>
      </c>
    </row>
    <row r="205">
      <c r="A205" t="inlineStr">
        <is>
          <t>КНП "КОВЕЛЬСЬКИЙ ЦЕНТР ПЕРВИННОЇ МЕДИКО-САНІТАРНОЇ ДОПОМОГИ" КОВЕЛЬСЬКОЇ МІСЬКОЇ РАДИ ВОЛИНСЬКОЇ ОБЛАСТІ</t>
        </is>
      </c>
      <c r="B205" t="inlineStr">
        <is>
          <t>45687826</t>
        </is>
      </c>
      <c r="C205" s="5" t="n">
        <v>2</v>
      </c>
      <c r="D205" s="13" t="n">
        <v>706352</v>
      </c>
      <c r="E205" s="5" t="n">
        <v>2</v>
      </c>
      <c r="F205" t="inlineStr">
        <is>
          <t>Недостовірна інформація</t>
        </is>
      </c>
    </row>
    <row r="206">
      <c r="A206" t="inlineStr">
        <is>
          <t>Військова частина 9971</t>
        </is>
      </c>
      <c r="B206" t="inlineStr">
        <is>
          <t>14321661</t>
        </is>
      </c>
      <c r="C206" s="5" t="n">
        <v>2</v>
      </c>
      <c r="D206" s="13" t="n">
        <v>539807.5</v>
      </c>
      <c r="E206" s="5" t="n">
        <v>2</v>
      </c>
      <c r="F206" t="inlineStr">
        <is>
          <t>Відмова від договору</t>
        </is>
      </c>
    </row>
    <row r="207">
      <c r="A207" t="inlineStr">
        <is>
          <t>УПРАВЛІННЯ ГУМАНІТАРНОЇ ПОЛІТИКИ КАМІНЬ-КАШИРСЬКОЇ МІСЬКОЇ РАДИ</t>
        </is>
      </c>
      <c r="B207" t="inlineStr">
        <is>
          <t>43981367</t>
        </is>
      </c>
      <c r="C207" s="5" t="n">
        <v>2</v>
      </c>
      <c r="D207" s="13" t="n">
        <v>392176</v>
      </c>
      <c r="E207" s="5" t="n">
        <v>2</v>
      </c>
      <c r="F207" t="inlineStr">
        <is>
          <t>Відмова від договору</t>
        </is>
      </c>
    </row>
    <row r="208">
      <c r="A208" t="inlineStr">
        <is>
          <t>УПРАВЛІННЯ ГУМАНІТАРНОЇ ПОЛІТИКИ ЛОКАЧИНСЬКОЇ СЕЛИЩНОЇ РАДИ</t>
        </is>
      </c>
      <c r="B208" t="inlineStr">
        <is>
          <t>44126166</t>
        </is>
      </c>
      <c r="C208" s="5" t="n">
        <v>2</v>
      </c>
      <c r="D208" s="13" t="n">
        <v>246250</v>
      </c>
      <c r="E208" s="5" t="n">
        <v>2</v>
      </c>
      <c r="F208" t="inlineStr">
        <is>
          <t>Не підписав договір у строк</t>
        </is>
      </c>
    </row>
    <row r="209">
      <c r="A209" t="inlineStr">
        <is>
          <t>Нововолинський ліцей № 5 Нововолинської міської ради Волинської області</t>
        </is>
      </c>
      <c r="B209" t="inlineStr">
        <is>
          <t>21739821</t>
        </is>
      </c>
      <c r="C209" s="5" t="n">
        <v>2</v>
      </c>
      <c r="D209" s="13" t="n">
        <v>178000</v>
      </c>
      <c r="E209" s="5" t="n">
        <v>2</v>
      </c>
      <c r="F209" t="inlineStr">
        <is>
          <t>Не надав документи</t>
        </is>
      </c>
    </row>
    <row r="210">
      <c r="A210" t="inlineStr">
        <is>
          <t>Державний професійно-технічний навчальний заклад "Камінь-Каширське вище професійне училище"</t>
        </is>
      </c>
      <c r="B210" t="inlineStr">
        <is>
          <t>02539985</t>
        </is>
      </c>
      <c r="C210" s="5" t="n">
        <v>2</v>
      </c>
      <c r="D210" s="13" t="n">
        <v>156796</v>
      </c>
      <c r="E210" s="5" t="n">
        <v>1</v>
      </c>
      <c r="F210" t="inlineStr">
        <is>
          <t>Не надав забезпечення</t>
        </is>
      </c>
    </row>
    <row r="211">
      <c r="A211" t="inlineStr">
        <is>
          <t>НОВОВОЛИНСЬКИЙ ЛІЦЕЙ №3 НОВОВОЛИНСЬКОЇ МІСЬКОЇ РАДИ ВОЛИНСЬКОЇ ОБЛАСТІ</t>
        </is>
      </c>
      <c r="B211" t="inlineStr">
        <is>
          <t>21739815</t>
        </is>
      </c>
      <c r="C211" s="5" t="n">
        <v>2</v>
      </c>
      <c r="D211" s="13" t="n">
        <v>84000</v>
      </c>
      <c r="E211" s="5" t="n">
        <v>2</v>
      </c>
      <c r="F211" t="inlineStr">
        <is>
          <t>Не надав документи</t>
        </is>
      </c>
    </row>
    <row r="212">
      <c r="A212" t="inlineStr">
        <is>
          <t>Гуманітарний відділ Рожищенської міської ради</t>
        </is>
      </c>
      <c r="B212" t="inlineStr">
        <is>
          <t>44050616</t>
        </is>
      </c>
      <c r="C212" s="5" t="n">
        <v>2</v>
      </c>
      <c r="D212" s="13" t="n">
        <v>71000</v>
      </c>
      <c r="E212" s="5" t="n">
        <v>2</v>
      </c>
      <c r="F212" t="inlineStr">
        <is>
          <t>Не підписав договір у строк</t>
        </is>
      </c>
    </row>
    <row r="213">
      <c r="A213" t="inlineStr">
        <is>
          <t>Департамент молоді та спорту Луцької міської ради</t>
        </is>
      </c>
      <c r="B213" t="inlineStr">
        <is>
          <t>41492247</t>
        </is>
      </c>
      <c r="C213" s="5" t="n">
        <v>2</v>
      </c>
      <c r="D213" s="13" t="n">
        <v>48694</v>
      </c>
      <c r="E213" s="5" t="n">
        <v>2</v>
      </c>
      <c r="F213" t="inlineStr">
        <is>
          <t>Відмова від договору</t>
        </is>
      </c>
    </row>
    <row r="214">
      <c r="A214" t="inlineStr">
        <is>
          <t>Департамент житлово-комунального господарства Луцької міської ради</t>
        </is>
      </c>
      <c r="B214" t="inlineStr">
        <is>
          <t>34572192</t>
        </is>
      </c>
      <c r="C214" s="5" t="n">
        <v>2</v>
      </c>
      <c r="D214" s="13" t="n">
        <v>28199</v>
      </c>
      <c r="E214" s="5" t="n">
        <v>2</v>
      </c>
      <c r="F214" t="inlineStr">
        <is>
          <t>Відмова від договору</t>
        </is>
      </c>
    </row>
    <row r="215">
      <c r="A215" t="inlineStr">
        <is>
          <t>Карасинська гімназія Прилісненської сільської ради Волинської області</t>
        </is>
      </c>
      <c r="B215" t="inlineStr">
        <is>
          <t>25086095</t>
        </is>
      </c>
      <c r="C215" s="5" t="n">
        <v>2</v>
      </c>
      <c r="D215" s="13" t="n">
        <v>21350</v>
      </c>
      <c r="E215" s="5" t="n">
        <v>2</v>
      </c>
      <c r="F215" t="inlineStr">
        <is>
          <t>Не підписав договір у строк</t>
        </is>
      </c>
    </row>
    <row r="216">
      <c r="A216" t="inlineStr">
        <is>
          <t>НОВОВОЛИНСЬКИЙ ЛІЦЕЙ №6 НОВОВОЛИНСЬКОЇ МІСЬКОЇ РАДИ ВОЛИНСЬКОЇ ОБЛАСТІ</t>
        </is>
      </c>
      <c r="B216" t="inlineStr">
        <is>
          <t>21739867</t>
        </is>
      </c>
      <c r="C216" s="5" t="n">
        <v>1</v>
      </c>
      <c r="D216" s="13" t="n">
        <v>370500</v>
      </c>
      <c r="E216" s="5" t="n">
        <v>1</v>
      </c>
      <c r="F216" t="inlineStr">
        <is>
          <t>Відмова від договору</t>
        </is>
      </c>
    </row>
    <row r="217">
      <c r="A217" t="inlineStr">
        <is>
          <t>Головне управління Національної поліції у Волинській області</t>
        </is>
      </c>
      <c r="B217" t="inlineStr">
        <is>
          <t>40108604</t>
        </is>
      </c>
      <c r="C217" s="5" t="n">
        <v>1</v>
      </c>
      <c r="D217" s="13" t="n">
        <v>351492</v>
      </c>
      <c r="E217" s="5" t="n">
        <v>1</v>
      </c>
      <c r="F217" t="inlineStr">
        <is>
          <t>Відмова від договору</t>
        </is>
      </c>
    </row>
    <row r="218">
      <c r="A218" t="inlineStr">
        <is>
          <t>НОВОВОЛИНСЬКИЙ ЛІЦЕЙ №2 НОВОВОЛИНСЬКОЇ МІСЬКОЇ РАДИ ВОЛИНСЬКОЇ ОБЛАСТІ</t>
        </is>
      </c>
      <c r="B218" t="inlineStr">
        <is>
          <t>21739809</t>
        </is>
      </c>
      <c r="C218" s="5" t="n">
        <v>1</v>
      </c>
      <c r="D218" s="13" t="n">
        <v>267000</v>
      </c>
      <c r="E218" s="5" t="n">
        <v>1</v>
      </c>
      <c r="F218" t="inlineStr">
        <is>
          <t>Відмова від договору</t>
        </is>
      </c>
    </row>
    <row r="219">
      <c r="A219" t="inlineStr">
        <is>
          <t>СТАРОВИЖІВСЬКА СЕЛИЩНА РАДА</t>
        </is>
      </c>
      <c r="B219" t="inlineStr">
        <is>
          <t>04333224</t>
        </is>
      </c>
      <c r="C219" s="5" t="n">
        <v>1</v>
      </c>
      <c r="D219" s="13" t="n">
        <v>249988.8</v>
      </c>
      <c r="E219" s="5" t="n">
        <v>1</v>
      </c>
      <c r="F219" t="inlineStr">
        <is>
          <t>Відмова від договору</t>
        </is>
      </c>
    </row>
    <row r="220">
      <c r="A220" t="inlineStr">
        <is>
          <t>Маневицька селищна рада</t>
        </is>
      </c>
      <c r="B220" t="inlineStr">
        <is>
          <t>04333193</t>
        </is>
      </c>
      <c r="C220" s="5" t="n">
        <v>1</v>
      </c>
      <c r="D220" s="13" t="n">
        <v>248352</v>
      </c>
      <c r="E220" s="5" t="n">
        <v>1</v>
      </c>
      <c r="F220" t="inlineStr">
        <is>
          <t>Відмова від договору</t>
        </is>
      </c>
    </row>
    <row r="221">
      <c r="A221" t="inlineStr">
        <is>
          <t>Нововолинський електромеханічний фаховий коледж</t>
        </is>
      </c>
      <c r="B221" t="inlineStr">
        <is>
          <t>04656909</t>
        </is>
      </c>
      <c r="C221" s="5" t="n">
        <v>1</v>
      </c>
      <c r="D221" s="13" t="n">
        <v>196788</v>
      </c>
      <c r="E221" s="5" t="n">
        <v>1</v>
      </c>
      <c r="F221" t="inlineStr">
        <is>
          <t>Невідповідність технічним вимогам</t>
        </is>
      </c>
    </row>
    <row r="222">
      <c r="A222" t="inlineStr">
        <is>
          <t>Вишнівська сільська рада</t>
        </is>
      </c>
      <c r="B222" t="inlineStr">
        <is>
          <t>04333164</t>
        </is>
      </c>
      <c r="C222" s="5" t="n">
        <v>1</v>
      </c>
      <c r="D222" s="13" t="n">
        <v>191552</v>
      </c>
      <c r="E222" s="5" t="n">
        <v>1</v>
      </c>
      <c r="F222" t="inlineStr">
        <is>
          <t>Відмова від договору</t>
        </is>
      </c>
    </row>
    <row r="223">
      <c r="A223" t="inlineStr">
        <is>
          <t>Заклад професійної (професійно-технічної) освіти "Регіональний професійний коледж м. Володимир"</t>
        </is>
      </c>
      <c r="B223" t="inlineStr">
        <is>
          <t>02540096</t>
        </is>
      </c>
      <c r="C223" s="5" t="n">
        <v>1</v>
      </c>
      <c r="D223" s="13" t="n">
        <v>148335</v>
      </c>
      <c r="E223" s="5" t="n">
        <v>1</v>
      </c>
      <c r="F223" t="inlineStr">
        <is>
          <t>Відмова від договору</t>
        </is>
      </c>
    </row>
    <row r="224">
      <c r="A224" t="inlineStr">
        <is>
          <t>Відділ освіти, культури, молоді та спорту Підгайцівської сільської ради</t>
        </is>
      </c>
      <c r="B224" t="inlineStr">
        <is>
          <t>43329421</t>
        </is>
      </c>
      <c r="C224" s="5" t="n">
        <v>1</v>
      </c>
      <c r="D224" s="13" t="n">
        <v>132882</v>
      </c>
      <c r="E224" s="5" t="n">
        <v>1</v>
      </c>
      <c r="F224" t="inlineStr">
        <is>
          <t>Невідповідність вимогам документації</t>
        </is>
      </c>
    </row>
    <row r="225">
      <c r="A225" t="inlineStr">
        <is>
          <t>ВІДДІЛ ОСВІТИ КОЛКІВСЬКОЇ СЕЛИЩНОЇ РАДИ ВОЛИНСЬКОЇ ОБЛАСТІ</t>
        </is>
      </c>
      <c r="B225" t="inlineStr">
        <is>
          <t>42302409</t>
        </is>
      </c>
      <c r="C225" s="5" t="n">
        <v>1</v>
      </c>
      <c r="D225" s="13" t="n">
        <v>122400</v>
      </c>
      <c r="E225" s="5" t="n">
        <v>1</v>
      </c>
      <c r="F225" t="inlineStr">
        <is>
          <t>Не підписав договір у строк</t>
        </is>
      </c>
    </row>
    <row r="226">
      <c r="A226" t="inlineStr">
        <is>
          <t>Державний архів Волинської області</t>
        </is>
      </c>
      <c r="B226" t="inlineStr">
        <is>
          <t>03494250</t>
        </is>
      </c>
      <c r="C226" s="5" t="n">
        <v>1</v>
      </c>
      <c r="D226" s="13" t="n">
        <v>120000</v>
      </c>
      <c r="E226" s="5" t="n">
        <v>1</v>
      </c>
      <c r="F226" t="inlineStr">
        <is>
          <t>Відмова від договору</t>
        </is>
      </c>
    </row>
    <row r="227">
      <c r="A227" t="inlineStr">
        <is>
          <t>Ківерцівський фаховий медичний коледж Волинської обласної ради</t>
        </is>
      </c>
      <c r="B227" t="inlineStr">
        <is>
          <t>05500701</t>
        </is>
      </c>
      <c r="C227" s="5" t="n">
        <v>1</v>
      </c>
      <c r="D227" s="13" t="n">
        <v>95220</v>
      </c>
      <c r="E227" s="5" t="n">
        <v>1</v>
      </c>
      <c r="F227" t="inlineStr">
        <is>
          <t>Відмова від договору</t>
        </is>
      </c>
    </row>
    <row r="228">
      <c r="A228" t="inlineStr">
        <is>
          <t>ВОЛОДИМИРСЬКИЙ ПЕДАГОГІЧНИЙ ФАХОВИЙ КОЛЕДЖ ІМЕНІ АГАТАНГЕЛА КРИМСЬКОГО ВОЛИНСЬКОЇ ОБЛАСНОЇ РАДИ</t>
        </is>
      </c>
      <c r="B228" t="inlineStr">
        <is>
          <t>02125941</t>
        </is>
      </c>
      <c r="C228" s="5" t="n">
        <v>1</v>
      </c>
      <c r="D228" s="13" t="n">
        <v>80183.03999999999</v>
      </c>
      <c r="E228" s="5" t="n">
        <v>1</v>
      </c>
      <c r="F228" t="inlineStr">
        <is>
          <t>Невідповідність технічним вимогам</t>
        </is>
      </c>
    </row>
    <row r="229">
      <c r="A229" t="inlineStr">
        <is>
          <t>КНП «Камінь-Каширська центральна районна лікарня» Камінь-Каширської міської ради Волинської області</t>
        </is>
      </c>
      <c r="B229" t="inlineStr">
        <is>
          <t>01983051</t>
        </is>
      </c>
      <c r="C229" s="5" t="n">
        <v>1</v>
      </c>
      <c r="D229" s="13" t="n">
        <v>74970</v>
      </c>
      <c r="E229" s="5" t="n">
        <v>1</v>
      </c>
      <c r="F229" t="inlineStr">
        <is>
          <t>Відмова від договору</t>
        </is>
      </c>
    </row>
    <row r="230">
      <c r="A230" t="inlineStr">
        <is>
          <t>УПРАВЛІННЯ СЛУЖБИ БЕЗПЕКИ УКРАЇНИ У ВОЛИНСЬКІЙ ОБЛАСТІ</t>
        </is>
      </c>
      <c r="B230" t="inlineStr">
        <is>
          <t>20001487</t>
        </is>
      </c>
      <c r="C230" s="5" t="n">
        <v>1</v>
      </c>
      <c r="D230" s="13" t="n">
        <v>59700</v>
      </c>
      <c r="E230" s="5" t="n">
        <v>1</v>
      </c>
      <c r="F230" t="inlineStr">
        <is>
          <t>Відмова від договору</t>
        </is>
      </c>
    </row>
    <row r="231">
      <c r="A231" t="inlineStr">
        <is>
          <t>Поромівська сільська рада</t>
        </is>
      </c>
      <c r="B231" t="inlineStr">
        <is>
          <t>04333359</t>
        </is>
      </c>
      <c r="C231" s="5" t="n">
        <v>1</v>
      </c>
      <c r="D231" s="13" t="n">
        <v>54612</v>
      </c>
      <c r="E231" s="5" t="n">
        <v>1</v>
      </c>
      <c r="F231" t="inlineStr">
        <is>
          <t>Відмова від договору</t>
        </is>
      </c>
    </row>
    <row r="232">
      <c r="A232" t="inlineStr">
        <is>
          <t>ВІДДІЛ ОСВІТИ, МОЛОДІ ТА СПОРТУ МАНЕВИЦЬКОЇ СЕЛИЩНОЇ РАДИ</t>
        </is>
      </c>
      <c r="B232" t="inlineStr">
        <is>
          <t>44104446</t>
        </is>
      </c>
      <c r="C232" s="5" t="n">
        <v>1</v>
      </c>
      <c r="D232" s="13" t="n">
        <v>53215.65</v>
      </c>
      <c r="E232" s="5" t="n">
        <v>1</v>
      </c>
      <c r="F232" t="inlineStr">
        <is>
          <t>Не підписав договір у строк</t>
        </is>
      </c>
    </row>
    <row r="233">
      <c r="A233" t="inlineStr">
        <is>
          <t>Заболоттівська селищна рада</t>
        </is>
      </c>
      <c r="B233" t="inlineStr">
        <is>
          <t>04334672</t>
        </is>
      </c>
      <c r="C233" s="5" t="n">
        <v>1</v>
      </c>
      <c r="D233" s="13" t="n">
        <v>36580</v>
      </c>
      <c r="E233" s="5" t="n">
        <v>1</v>
      </c>
      <c r="F233" t="inlineStr">
        <is>
          <t>Відмова від договору</t>
        </is>
      </c>
    </row>
    <row r="234">
      <c r="A234" t="inlineStr">
        <is>
          <t>НМЦ ЦЗ та БЖД Волинської області</t>
        </is>
      </c>
      <c r="B234" t="inlineStr">
        <is>
          <t>09959690</t>
        </is>
      </c>
      <c r="C234" s="5" t="n">
        <v>1</v>
      </c>
      <c r="D234" s="13" t="n">
        <v>36000</v>
      </c>
      <c r="E234" s="5" t="n">
        <v>1</v>
      </c>
      <c r="F234" t="inlineStr">
        <is>
          <t>Недостовірна інформація</t>
        </is>
      </c>
    </row>
    <row r="235">
      <c r="A235" t="inlineStr">
        <is>
          <t>Квартирно - експлуатаційний відділ м. Володимир</t>
        </is>
      </c>
      <c r="B235" t="inlineStr">
        <is>
          <t>07516184</t>
        </is>
      </c>
      <c r="C235" s="5" t="n">
        <v>1</v>
      </c>
      <c r="D235" s="13" t="n">
        <v>14900</v>
      </c>
      <c r="E235" s="5" t="n">
        <v>1</v>
      </c>
      <c r="F235" t="inlineStr">
        <is>
          <t>Не підписав договір у строк</t>
        </is>
      </c>
    </row>
    <row r="237">
      <c r="A237" s="2" t="inlineStr">
        <is>
          <t>Випадки</t>
        </is>
      </c>
    </row>
    <row r="238">
      <c r="A238" s="11" t="inlineStr">
        <is>
          <t>Закупівля</t>
        </is>
      </c>
      <c r="B238" s="11" t="inlineStr">
        <is>
          <t>Дата</t>
        </is>
      </c>
      <c r="C238" s="11" t="inlineStr">
        <is>
          <t>Компанія</t>
        </is>
      </c>
      <c r="D238" s="11" t="inlineStr">
        <is>
          <t>ЄДРПОУ</t>
        </is>
      </c>
      <c r="E238" s="11" t="inlineStr">
        <is>
          <t>Замовник</t>
        </is>
      </c>
      <c r="F238" s="11" t="inlineStr">
        <is>
          <t>Сума, грн</t>
        </is>
      </c>
      <c r="G238" s="11" t="inlineStr">
        <is>
          <t>Причина</t>
        </is>
      </c>
      <c r="H238" s="11" t="inlineStr">
        <is>
          <t>Формулювання замовника</t>
        </is>
      </c>
      <c r="I238" s="11" t="inlineStr">
        <is>
          <t>Пояснення</t>
        </is>
      </c>
    </row>
    <row r="239">
      <c r="A239" s="4" t="inlineStr">
        <is>
          <t>UA-2025-11-17-013210-a</t>
        </is>
      </c>
      <c r="B239" t="inlineStr">
        <is>
          <t>2025-11-27</t>
        </is>
      </c>
      <c r="C239" t="inlineStr">
        <is>
          <t>ТОВ "КСА 7"</t>
        </is>
      </c>
      <c r="D239" t="inlineStr">
        <is>
          <t>36123789</t>
        </is>
      </c>
      <c r="E239" t="inlineStr">
        <is>
          <t>Територіальне управління Державної судової адміністрації України в Волинській області</t>
        </is>
      </c>
      <c r="F239" s="13" t="n">
        <v>1572900</v>
      </c>
      <c r="G239" t="inlineStr">
        <is>
          <t>Невідповідність технічним вимогам</t>
        </is>
      </c>
      <c r="H239" t="inlineStr">
        <is>
          <t>не відповідає умовам технічної специфікації та іншим вимогам щодо предмета закупівлі тендерної документації, крім невідповідності в інформації та/або документах, що може бути усунена учасником процедури закупівлі відповідно до пункту 43 Особливостей;</t>
        </is>
      </c>
      <c r="I239" t="inlineStr">
        <is>
          <t>не відповідає умовам технічної специфікації та іншим вимогам щодо предмета закупівлі тендерної документації, крім невідповідності в інформації та/або документах, що може бути усунена учасником процедури закупівлі відповідно до пункту 43 Особливостей;</t>
        </is>
      </c>
    </row>
    <row r="240">
      <c r="A240" s="4" t="inlineStr">
        <is>
          <t>UA-2026-04-10-009243-a</t>
        </is>
      </c>
      <c r="B240" t="inlineStr">
        <is>
          <t>2026-05-27</t>
        </is>
      </c>
      <c r="C240" t="inlineStr">
        <is>
          <t>ТОВ «ЮДІТРЕЙД»</t>
        </is>
      </c>
      <c r="D240" t="inlineStr">
        <is>
          <t>42036301</t>
        </is>
      </c>
      <c r="E240" t="inlineStr">
        <is>
          <t>ГОЛОВНЕ УПРАВЛІННЯ ПЕНСІЙНОГО ФОНДУ УКРАЇНИ У ВОЛИНСЬКІЙ ОБЛАСТІ</t>
        </is>
      </c>
      <c r="F240" s="13" t="n">
        <v>937425</v>
      </c>
      <c r="G240" t="inlineStr">
        <is>
          <t>Невідповідність технічним вимогам</t>
        </is>
      </c>
      <c r="H240" t="inlineStr">
        <is>
          <t>Тендерна пропозиція учасника не відповідає умовам технічної специфікації та іншим вимогам щодо предмета закупівлі тендерної документації, крім невідповідності в інформації та/або документах, що може бути усунена учасником процедури закупівлі відповідно до пункту 43 Особливостей</t>
        </is>
      </c>
      <c r="I240" t="inlineStr">
        <is>
          <t>За результатами розгляду виявлено, що тендерна пропозиція учасника ТОВ “Юдітрейд” не відповідає умовам технічної специфікації та іншим вимогам щодо предмета закупівлі тендерної документації, крім невідповідності в інформації та/або документах, що може бути усунена учасником процедури закупівлі відповідно до пункту 43 Особливостей. Відповідно до абзацу 2 пункту 43 Особливостей під невідповідністю в інформації та/або документах, що подані учасником процедури закупівлі у складі тендерної пропозиції</t>
        </is>
      </c>
    </row>
    <row r="241">
      <c r="A241" s="4" t="inlineStr">
        <is>
          <t>UA-2026-04-10-009243-a</t>
        </is>
      </c>
      <c r="B241" t="inlineStr">
        <is>
          <t>2026-04-22</t>
        </is>
      </c>
      <c r="C241" t="inlineStr">
        <is>
          <t>ФОП ІВАНЧЕНКО МАР'ЯНА МИКОЛАЇВНА</t>
        </is>
      </c>
      <c r="D241" t="inlineStr">
        <is>
          <t>3394407864</t>
        </is>
      </c>
      <c r="E241" t="inlineStr">
        <is>
          <t>ГОЛОВНЕ УПРАВЛІННЯ ПЕНСІЙНОГО ФОНДУ УКРАЇНИ У ВОЛИНСЬКІЙ ОБЛАСТІ</t>
        </is>
      </c>
      <c r="F241" s="13" t="n">
        <v>919000</v>
      </c>
      <c r="G241" t="inlineStr">
        <is>
          <t>Невідповідність технічним вимогам</t>
        </is>
      </c>
      <c r="H241" t="inlineStr">
        <is>
          <t>Тендерна пропозиція учасника не відповідає умовам технічної специфікації та іншим вимогам щодо предмета закупівлі тендерної документації, крім невідповідності в інформації та/або документах, що може бути усунена учасником процедури закупівлі відповідно до пункту 43 Особливостей</t>
        </is>
      </c>
      <c r="I241" t="inlineStr">
        <is>
          <t xml:space="preserve">Відповідно до додатку 1 до тендерної документації “Інформація про необхідні технічні, якісні та кількісні характеристики предмета закупівлі” в комплект поставки кожного ноутбука повинно бути включено маніпулятор типу “миша” (Logitech M185 WL або еквівалент) в комплекті з батарейками. - технологія — оптична; - роздільна здатність (max) — 1000 dpi; - кількість кнопок — щонайменше 3 (три): ліва, права, колесо-кнопка для скролінгу; - тип інтерфейсу — бездротова (радіоінтефейс) USB. Згідно тендерної </t>
        </is>
      </c>
    </row>
    <row r="242">
      <c r="A242" s="4" t="inlineStr">
        <is>
          <t>UA-2025-09-16-005057-a</t>
        </is>
      </c>
      <c r="B242" t="inlineStr">
        <is>
          <t>2025-09-29</t>
        </is>
      </c>
      <c r="C242" t="inlineStr">
        <is>
          <t>ТОВ "Мегапринт Сервіс"</t>
        </is>
      </c>
      <c r="D242" t="inlineStr">
        <is>
          <t>31867934</t>
        </is>
      </c>
      <c r="E242" t="inlineStr">
        <is>
          <t>Територіальне управління Державної судової адміністрації України в Волинській області</t>
        </is>
      </c>
      <c r="F242" s="13" t="n">
        <v>696000</v>
      </c>
      <c r="G242" t="inlineStr">
        <is>
          <t>Відмова від договору</t>
        </is>
      </c>
      <c r="H242" t="inlineStr">
        <is>
          <t>Переможець письмово відмовився від укладання договору на умовах, визначених у запиті пропозицій постачальників</t>
        </is>
      </c>
      <c r="I242" t="inlineStr">
        <is>
          <t>Надійшов лист від Товариства з обмеженою відповідальністю "МЕГАПРИНТ СЕРВІС" від 29.09.2025 №29091, в якому Учасник відкликає свою пропозицію на участь у цій закупівлі через відсутність товару на складі.</t>
        </is>
      </c>
    </row>
    <row r="243">
      <c r="A243" s="4" t="inlineStr">
        <is>
          <t>UA-2025-09-16-005057-a</t>
        </is>
      </c>
      <c r="B243" t="inlineStr">
        <is>
          <t>2025-09-29</t>
        </is>
      </c>
      <c r="C243" t="inlineStr">
        <is>
          <t>ТОВ "СИСТЕМАТИКА УКРАЇНА"</t>
        </is>
      </c>
      <c r="D243" t="inlineStr">
        <is>
          <t>40175293</t>
        </is>
      </c>
      <c r="E243" t="inlineStr">
        <is>
          <t>Територіальне управління Державної судової адміністрації України в Волинській області</t>
        </is>
      </c>
      <c r="F243" s="13" t="n">
        <v>670440</v>
      </c>
      <c r="G243" t="inlineStr">
        <is>
          <t>Не підписав договір у строк</t>
        </is>
      </c>
      <c r="H243" t="inlineStr">
        <is>
          <t>Переможець не підписав договір у строк, визначений абзацом першим пункту 66 цього Порядку</t>
        </is>
      </c>
      <c r="I243" t="inlineStr">
        <is>
          <t>У зв’язку з тим, що ТОВ "СИСТЕМАТИКА УКРАЇНА", визначене переможцем 22.09.2025, станом на 29.09.2025 не вийшла на зв’язок для підписання договору, виникла необхідність відхилення її пропозиції у зв’язку з не підписанням договору у встановлений строк, відповідно до абзацу першого пункту 66 Порядку.</t>
        </is>
      </c>
    </row>
    <row r="244">
      <c r="A244" s="4" t="inlineStr">
        <is>
          <t>UA-2025-09-16-005057-a</t>
        </is>
      </c>
      <c r="B244" t="inlineStr">
        <is>
          <t>2025-09-22</t>
        </is>
      </c>
      <c r="C244" t="inlineStr">
        <is>
          <t>ТОВ "Епіцентр К"</t>
        </is>
      </c>
      <c r="D244" t="inlineStr">
        <is>
          <t>32490244</t>
        </is>
      </c>
      <c r="E244" t="inlineStr">
        <is>
          <t>Територіальне управління Державної судової адміністрації України в Волинській області</t>
        </is>
      </c>
      <c r="F244" s="13" t="n">
        <v>667689.6</v>
      </c>
      <c r="G244" t="inlineStr">
        <is>
          <t>Відмова від договору</t>
        </is>
      </c>
      <c r="H244" t="inlineStr">
        <is>
          <t>Переможець письмово відмовився від укладання договору на умовах, визначених у запиті пропозицій постачальників</t>
        </is>
      </c>
      <c r="I244" t="inlineStr">
        <is>
          <t>надійшов лист від Товариства з обмеженою відповідальністю "Епіцентр К" від 22.09.2025 №ІК-22.09/1, в якому Учасник відкликає свою пропозицію на участь у цій закупівлі через неможливість постачання товару, у зв'язку з відсутністю товару на складі</t>
        </is>
      </c>
    </row>
    <row r="245">
      <c r="A245" s="4" t="inlineStr">
        <is>
          <t>UA-2026-05-11-003530-a</t>
        </is>
      </c>
      <c r="B245" t="inlineStr">
        <is>
          <t>2026-05-26</t>
        </is>
      </c>
      <c r="C245" t="inlineStr">
        <is>
          <t>ТОВ "МАКСИМВІСІМ"</t>
        </is>
      </c>
      <c r="D245" t="inlineStr">
        <is>
          <t>45949901</t>
        </is>
      </c>
      <c r="E245" t="inlineStr">
        <is>
          <t>Військова частина А 1008</t>
        </is>
      </c>
      <c r="F245" s="13" t="n">
        <v>651000</v>
      </c>
      <c r="G245" t="inlineStr">
        <is>
          <t>Невідповідність вимогам документації</t>
        </is>
      </c>
      <c r="H245" t="inlineStr">
        <is>
          <t>Пропозиція учасника не відповідає умовам, визначеним в оголошенні про проведення, та вимогам до предмета закупівлі</t>
        </is>
      </c>
      <c r="I245" t="inlineStr">
        <is>
          <t>Пропозиція учасника не відповідає умовам, визначеним в оголошенні про проведення, та вимогам до предмета закупівлі</t>
        </is>
      </c>
    </row>
    <row r="246">
      <c r="A246" s="4" t="inlineStr">
        <is>
          <t>UA-2025-10-17-013580-a</t>
        </is>
      </c>
      <c r="B246" t="inlineStr">
        <is>
          <t>2025-10-28</t>
        </is>
      </c>
      <c r="C246" t="inlineStr">
        <is>
          <t>ТОВ "АНТАНДАР"</t>
        </is>
      </c>
      <c r="D246" t="inlineStr">
        <is>
          <t>39594603</t>
        </is>
      </c>
      <c r="E246" t="inlineStr">
        <is>
          <t>ЛІЦЕЙ ІМЕНІ ОЛЕКСАНДРА ЦИНКАЛОВСЬКОГО ВОЛОДИМИРСЬКОЇ МІСЬКОЇ РАДИ</t>
        </is>
      </c>
      <c r="F246" s="13" t="n">
        <v>570000</v>
      </c>
      <c r="G246" t="inlineStr">
        <is>
          <t>Невідповідність технічним вимогам</t>
        </is>
      </c>
      <c r="H246" t="inlineStr">
        <is>
          <t>Не відповідає умовам технічної специфікації та іншим вимогам щодо предмета закупівлі тендерної документації, крім невідповідності в інформації та/або документах, що може бути усунена учасником процедури закупівлі відповідно до пункту 43 Особливостей</t>
        </is>
      </c>
      <c r="I246" t="inlineStr">
        <is>
          <t>відхилити тендерну пропозицію, як таку, що не відповідає вимогам тендерної документації</t>
        </is>
      </c>
    </row>
    <row r="247">
      <c r="A247" s="4" t="inlineStr">
        <is>
          <t>UA-2025-11-12-006000-a</t>
        </is>
      </c>
      <c r="B247" t="inlineStr">
        <is>
          <t>2025-11-24</t>
        </is>
      </c>
      <c r="C247" t="inlineStr">
        <is>
          <t>ФОП "Сардаківська Анна Броніславівна"</t>
        </is>
      </c>
      <c r="D247" t="inlineStr">
        <is>
          <t>3083610268</t>
        </is>
      </c>
      <c r="E247" t="inlineStr">
        <is>
          <t>ЛІЦЕЙ ІМЕНІ ОЛЕКСАНДРА ЦИНКАЛОВСЬКОГО ВОЛОДИМИРСЬКОЇ МІСЬКОЇ РАДИ</t>
        </is>
      </c>
      <c r="F247" s="13" t="n">
        <v>540000</v>
      </c>
      <c r="G247" t="inlineStr">
        <is>
          <t>Невідповідність технічним вимогам</t>
        </is>
      </c>
      <c r="H247" t="inlineStr">
        <is>
          <t>Не відповідає умовам технічної специфікації та іншим вимогам щодо предмета закупівлі тендерної документації, крім невідповідності в інформації та/або документах, що може бути усунена учасником процедури закупівлі відповідно до пункту 43 Особливостей,Тендерна пропозиція містить товари, товари у складі закупівель послуг, товари та/або матеріальні ресурси у складі закупівель послуг з поточного ремонту/робіт, які не походять з прийнятних країн</t>
        </is>
      </c>
      <c r="I247" t="inlineStr">
        <is>
          <t>Замовником за результатами розгляду тендерної пропозиції учасника ФОП Сардаківська Анна Броніславівна встановлено невідповідність вимогам тендерної документації, а саме: 1. Невідповідність вимогам щодо країни походження товару (фінансування Ukraine Facility). Відповідно до пункту 16 Розділу «Інструкція з підготовки тендерної пропозиції» та Додатку № 3 (проєкт Договору, п. 4.20, 4.22) тендерної документації, закупівля здійснюється в рамках Ukraine Facility. Усі товари повинні походити з прийнятни</t>
        </is>
      </c>
    </row>
    <row r="248">
      <c r="A248" s="4" t="inlineStr">
        <is>
          <t>UA-2025-11-12-006000-a</t>
        </is>
      </c>
      <c r="B248" t="inlineStr">
        <is>
          <t>2025-11-24</t>
        </is>
      </c>
      <c r="C248" t="inlineStr">
        <is>
          <t>ФОП Зайцева Вікторія Тарасівна</t>
        </is>
      </c>
      <c r="D248" t="inlineStr">
        <is>
          <t>3686308900</t>
        </is>
      </c>
      <c r="E248" t="inlineStr">
        <is>
          <t>ЛІЦЕЙ ІМЕНІ ОЛЕКСАНДРА ЦИНКАЛОВСЬКОГО ВОЛОДИМИРСЬКОЇ МІСЬКОЇ РАДИ</t>
        </is>
      </c>
      <c r="F248" s="13" t="n">
        <v>539999</v>
      </c>
      <c r="G248" t="inlineStr">
        <is>
          <t>Не усунув невідповідності</t>
        </is>
      </c>
      <c r="H248" t="inlineStr">
        <is>
          <t>Не виправив виявлені замовником після розкриття тендерних пропозицій невідповідності в інформації та/або документах, що подані ним у складі своєї тендерної пропозиції, та/або змінив предмет закупівлі (його найменування, марку, модель тощо) під час виправлення виявлених замовником невідповідностей, протягом 24 годин з моменту розміщення замовником в електронній системі закупівель повідомлення з вимогою про усунення таких невідповідностей</t>
        </is>
      </c>
      <c r="I248" t="inlineStr">
        <is>
          <t xml:space="preserve">Відповідно до абзацу 5 підпункту 1 пункту 44 Особливостей — учасник процедури закупівлі не виправив виявлені замовником після розкриття тендерних пропозицій невідповідності в інформації та/або документах, що подані ним у складі своєї тендерної пропозиції, протягом 24 годин з моменту розміщення замовником в електронній системі закупівель повідомлення з вимогою про усунення таких невідповідностей. Замовником, відповідно до пункту 43 Особливостей, було розміщено повідомлення з вимогою про усунення </t>
        </is>
      </c>
    </row>
    <row r="249">
      <c r="A249" s="4" t="inlineStr">
        <is>
          <t>UA-2025-10-17-011018-a</t>
        </is>
      </c>
      <c r="B249" t="inlineStr">
        <is>
          <t>2025-11-10</t>
        </is>
      </c>
      <c r="C249" t="inlineStr">
        <is>
          <t>ТОВ "КСА 7"</t>
        </is>
      </c>
      <c r="D249" t="inlineStr">
        <is>
          <t>36123789</t>
        </is>
      </c>
      <c r="E249" t="inlineStr">
        <is>
          <t>Військова частина А 0959</t>
        </is>
      </c>
      <c r="F249" s="13" t="n">
        <v>464310</v>
      </c>
      <c r="G249" t="inlineStr">
        <is>
          <t>Відмова від договору</t>
        </is>
      </c>
      <c r="H249" t="inlineStr">
        <is>
          <t>Учасник, який визначений переможцем спрощеної закупівлі, відмовився від укладення договору про закупівлю</t>
        </is>
      </c>
      <c r="I249" t="inlineStr">
        <is>
          <t>Учасник, який визначений переможцем спрощеної закупівлі, відмовився від укладення договору про закупівлю</t>
        </is>
      </c>
    </row>
    <row r="250">
      <c r="A250" s="4" t="inlineStr">
        <is>
          <t>UA-2026-06-10-003459-a</t>
        </is>
      </c>
      <c r="B250" t="inlineStr">
        <is>
          <t>2026-06-23</t>
        </is>
      </c>
      <c r="C250" t="inlineStr">
        <is>
          <t>ФОП " Балюк Олеся Анатоліївна"</t>
        </is>
      </c>
      <c r="D250" t="inlineStr">
        <is>
          <t>3424403822</t>
        </is>
      </c>
      <c r="E250" t="inlineStr">
        <is>
          <t>Головне Управління Державної служби України з надзвичайних ситуацій у Волинській області</t>
        </is>
      </c>
      <c r="F250" s="13" t="n">
        <v>447990</v>
      </c>
      <c r="G250" t="inlineStr">
        <is>
          <t>Невідповідність технічним вимогам</t>
        </is>
      </c>
      <c r="H250" t="inlineStr">
        <is>
          <t>не відповідає умовам технічної специфікації та іншим вимогам щодо предмета закупівлі тендерної документації, крім невідповідності в інформації та/або документах, що може бути усунена учасником процедури закупівлі відповідно до пункту 43 Особливостей;</t>
        </is>
      </c>
      <c r="I250" t="inlineStr">
        <is>
          <t>не відповідає умовам технічної специфікації та іншим вимогам щодо предмета закупівлі тендерної документації, крім невідповідності в інформації та/або документах, що може бути усунена учасником процедури закупівлі відповідно до пункту 43 Особливостей;</t>
        </is>
      </c>
    </row>
    <row r="251">
      <c r="A251" s="4" t="inlineStr">
        <is>
          <t>UA-2026-07-27-008910-a</t>
        </is>
      </c>
      <c r="B251" t="inlineStr">
        <is>
          <t>2026-08-10</t>
        </is>
      </c>
      <c r="C251" t="inlineStr">
        <is>
          <t>ФОП Варшик Богдан Анатолійович</t>
        </is>
      </c>
      <c r="D251" t="inlineStr">
        <is>
          <t>3106910191</t>
        </is>
      </c>
      <c r="E251" t="inlineStr">
        <is>
          <t>КП "МЕДИЧНИЙ ЦЕНТР РЕАБІЛІТАЦІЇ УЧАСНИКІВ БОЙОВИХ ДІЙ ЛУЦЬКОЇ МІСЬКОЇ ТЕРИТОРІАЛЬНОЇ ГРОМАДИ"</t>
        </is>
      </c>
      <c r="F251" s="13" t="n">
        <v>447000</v>
      </c>
      <c r="G251" t="inlineStr">
        <is>
          <t>Невідповідність технічним вимогам</t>
        </is>
      </c>
      <c r="H251" t="inlineStr">
        <is>
          <t>Не відповідає умовам технічної специфікації та іншим вимогам щодо предмета закупівлі тендерної документації, крім невідповідності в інформації та/або документах, що може бути усунена учасником процедури закупівлі відповідно до пункту 43 Особливостей</t>
        </is>
      </c>
      <c r="I251" t="inlineStr">
        <is>
          <t>Не відповідає умовам технічної специфікації та іншим вимогам щодо предмета закупівлі тендерної документації, крім невідповідності в інформації та/або документах, що може бути усунена учасником процедури закупівлі відповідно до пункту 43 Особливостей</t>
        </is>
      </c>
    </row>
    <row r="252">
      <c r="A252" s="4" t="inlineStr">
        <is>
          <t>UA-2026-07-27-008910-a</t>
        </is>
      </c>
      <c r="B252" t="inlineStr">
        <is>
          <t>2026-08-07</t>
        </is>
      </c>
      <c r="C252" t="inlineStr">
        <is>
          <t>ТОВ "ДІАВЕСТЕНД КОМПЛЕКСНІ РІШЕННЯ"</t>
        </is>
      </c>
      <c r="D252" t="inlineStr">
        <is>
          <t>30256061</t>
        </is>
      </c>
      <c r="E252" t="inlineStr">
        <is>
          <t>КП "МЕДИЧНИЙ ЦЕНТР РЕАБІЛІТАЦІЇ УЧАСНИКІВ БОЙОВИХ ДІЙ ЛУЦЬКОЇ МІСЬКОЇ ТЕРИТОРІАЛЬНОЇ ГРОМАДИ"</t>
        </is>
      </c>
      <c r="F252" s="13" t="n">
        <v>446990</v>
      </c>
      <c r="G252" t="inlineStr">
        <is>
          <t>Невідповідність технічним вимогам</t>
        </is>
      </c>
      <c r="H252" t="inlineStr">
        <is>
          <t>Не відповідає умовам технічної специфікації та іншим вимогам щодо предмета закупівлі тендерної документації, крім невідповідності в інформації та/або документах, що може бути усунена учасником процедури закупівлі відповідно до пункту 43 Особливостей</t>
        </is>
      </c>
      <c r="I252" t="inlineStr">
        <is>
          <t>Не відповідає умовам технічної специфікації та іншим вимогам щодо предмета закупівлі тендерної документації, крім невідповідності в інформації та/або документах, що може бути усунена учасником процедури закупівлі відповідно до пункту 43 Особливостей</t>
        </is>
      </c>
    </row>
    <row r="253">
      <c r="A253" s="4" t="inlineStr">
        <is>
          <t>UA-2025-10-17-011018-a</t>
        </is>
      </c>
      <c r="B253" t="inlineStr">
        <is>
          <t>2025-11-05</t>
        </is>
      </c>
      <c r="C253" t="inlineStr">
        <is>
          <t>ТОВ «ПБГ19»</t>
        </is>
      </c>
      <c r="D253" t="inlineStr">
        <is>
          <t>45701274</t>
        </is>
      </c>
      <c r="E253" t="inlineStr">
        <is>
          <t>Військова частина А 0959</t>
        </is>
      </c>
      <c r="F253" s="13" t="n">
        <v>445000</v>
      </c>
      <c r="G253" t="inlineStr">
        <is>
          <t>Невідповідність вимогам документації</t>
        </is>
      </c>
      <c r="H253" t="inlineStr">
        <is>
          <t>Пропозиція учасника не відповідає умовам, визначеним в оголошенні про проведення спрощеної закупівлі, та вимогам до предмета закупівлі</t>
        </is>
      </c>
      <c r="I253" t="inlineStr">
        <is>
          <t>Пропозиція учасника не відповідає умовам, визначеним в оголошенні про проведення спрощеної закупівлі, та вимогам до предмета закупівлі</t>
        </is>
      </c>
    </row>
    <row r="254">
      <c r="A254" s="4" t="inlineStr">
        <is>
          <t>UA-2026-06-29-006273-a</t>
        </is>
      </c>
      <c r="B254" t="inlineStr">
        <is>
          <t>2026-07-13</t>
        </is>
      </c>
      <c r="C254" t="inlineStr">
        <is>
          <t>ФОП ЗАВОРІТНИЙ ОЛЕКСАНДР ІВАНОВИЧ</t>
        </is>
      </c>
      <c r="D254" t="inlineStr">
        <is>
          <t>3554707196</t>
        </is>
      </c>
      <c r="E254" t="inlineStr">
        <is>
          <t>Військова частина 9971</t>
        </is>
      </c>
      <c r="F254" s="13" t="n">
        <v>443895</v>
      </c>
      <c r="G254" t="inlineStr">
        <is>
          <t>Не надав документи</t>
        </is>
      </c>
      <c r="H254" t="inlineStr">
        <is>
          <t>Не надав у спосіб, зазначений в тендерній документації, документи, що підтверджують відсутність підстав, визначених у підпунктах 3, 5, 6 і 12 пункту 47 Особливостей</t>
        </is>
      </c>
      <c r="I254" t="inlineStr">
        <is>
          <t>1. Відхилити тендерну пропозицію Учасника-переможця. 2. Оприлюднити інформацію про відхилення тендерної пропозиції Учасника-переможця в електронній системі закупівель.</t>
        </is>
      </c>
    </row>
    <row r="255">
      <c r="A255" s="4" t="inlineStr">
        <is>
          <t>UA-2026-06-10-003459-a</t>
        </is>
      </c>
      <c r="B255" t="inlineStr">
        <is>
          <t>2026-06-22</t>
        </is>
      </c>
      <c r="C255" t="inlineStr">
        <is>
          <t>ТОВ "МАКСИМВІСІМ"</t>
        </is>
      </c>
      <c r="D255" t="inlineStr">
        <is>
          <t>45949901</t>
        </is>
      </c>
      <c r="E255" t="inlineStr">
        <is>
          <t>Головне Управління Державної служби України з надзвичайних ситуацій у Волинській області</t>
        </is>
      </c>
      <c r="F255" s="13" t="n">
        <v>437000</v>
      </c>
      <c r="G255" t="inlineStr">
        <is>
          <t>Невідповідність технічним вимогам</t>
        </is>
      </c>
      <c r="H255" t="inlineStr">
        <is>
          <t>не відповідає умовам технічної специфікації та іншим вимогам щодо предмета закупівлі тендерної документації, крім невідповідності в інформації та/або документах, що може бути усунена учасником процедури закупівлі відповідно до пункту 43 Особливостей;</t>
        </is>
      </c>
      <c r="I255" t="inlineStr">
        <is>
          <t>не відповідає умовам технічної специфікації та іншим вимогам щодо предмета закупівлі тендерної документації, крім невідповідності в інформації та/або документах, що може бути усунена учасником процедури закупівлі відповідно до пункту 43 Особливостей;</t>
        </is>
      </c>
    </row>
    <row r="256">
      <c r="A256" s="4" t="inlineStr">
        <is>
          <t>UA-2025-11-15-000640-a</t>
        </is>
      </c>
      <c r="B256" t="inlineStr">
        <is>
          <t>2025-11-25</t>
        </is>
      </c>
      <c r="C256" t="inlineStr">
        <is>
          <t>ТОВ «ПБГ19»</t>
        </is>
      </c>
      <c r="D256" t="inlineStr">
        <is>
          <t>45701274</t>
        </is>
      </c>
      <c r="E256" t="inlineStr">
        <is>
          <t>Луцький національний технічний університет</t>
        </is>
      </c>
      <c r="F256" s="13" t="n">
        <v>429600</v>
      </c>
      <c r="G256" t="inlineStr">
        <is>
          <t>Відмова від договору</t>
        </is>
      </c>
      <c r="H256" t="inlineStr">
        <is>
          <t>Переможець письмово відмовився від укладання договору на умовах, визначених у запиті пропозицій постачальників</t>
        </is>
      </c>
      <c r="I256" t="inlineStr">
        <is>
          <t>На етапі укладення договору Переможець відбору у строк, визначений Порядком №822 для укладення договору, надіслав Замовнику Лист-відмову від укладання договору, завірений підписом та печаткою. Враховуючи викладене, пропозиція Переможця відбору підлягає відхиленню відповідно до підпункту 2 пункту 64 Порядку № 822.</t>
        </is>
      </c>
    </row>
    <row r="257">
      <c r="A257" s="4" t="inlineStr">
        <is>
          <t>UA-2026-05-11-003657-a</t>
        </is>
      </c>
      <c r="B257" t="inlineStr">
        <is>
          <t>2026-05-26</t>
        </is>
      </c>
      <c r="C257" t="inlineStr">
        <is>
          <t>ТОВ "МАКСИМВІСІМ"</t>
        </is>
      </c>
      <c r="D257" t="inlineStr">
        <is>
          <t>45949901</t>
        </is>
      </c>
      <c r="E257" t="inlineStr">
        <is>
          <t>Військова частина А 1008</t>
        </is>
      </c>
      <c r="F257" s="13" t="n">
        <v>429000</v>
      </c>
      <c r="G257" t="inlineStr">
        <is>
          <t>Невідповідність вимогам документації</t>
        </is>
      </c>
      <c r="H257" t="inlineStr">
        <is>
          <t>Пропозиція учасника не відповідає умовам, визначеним в оголошенні про проведення, та вимогам до предмета закупівлі</t>
        </is>
      </c>
      <c r="I257" t="inlineStr">
        <is>
          <t>Пропозиція учасника не відповідає умовам, визначеним в оголошенні про проведення, та вимогам до предмета закупівлі</t>
        </is>
      </c>
    </row>
    <row r="258">
      <c r="A258" s="4" t="inlineStr">
        <is>
          <t>UA-2025-11-15-000640-a</t>
        </is>
      </c>
      <c r="B258" t="inlineStr">
        <is>
          <t>2025-11-21</t>
        </is>
      </c>
      <c r="C258" t="inlineStr">
        <is>
          <t>ТОВ "СИСТЕМАТИКА УКРАЇНА"</t>
        </is>
      </c>
      <c r="D258" t="inlineStr">
        <is>
          <t>40175293</t>
        </is>
      </c>
      <c r="E258" t="inlineStr">
        <is>
          <t>Луцький національний технічний університет</t>
        </is>
      </c>
      <c r="F258" s="13" t="n">
        <v>427902</v>
      </c>
      <c r="G258" t="inlineStr">
        <is>
          <t>Відмова від договору</t>
        </is>
      </c>
      <c r="H258" t="inlineStr">
        <is>
          <t>Переможець письмово відмовився від укладання договору на умовах, визначених у запиті пропозицій постачальників</t>
        </is>
      </c>
      <c r="I258" t="inlineStr">
        <is>
          <t>На етапі укладення договору Переможець відбору у строк, визначений Порядком №822 для укладення договору, надіслав Замовнику Лист-відмову від укладання договору, завірений підписом та печаткою. Лист додається.</t>
        </is>
      </c>
    </row>
    <row r="259">
      <c r="A259" s="4" t="inlineStr">
        <is>
          <t>UA-2025-11-10-014743-a</t>
        </is>
      </c>
      <c r="B259" t="inlineStr">
        <is>
          <t>2025-11-19</t>
        </is>
      </c>
      <c r="C259" t="inlineStr">
        <is>
          <t>ФОП "Ахмедова Анна Ігорівна"</t>
        </is>
      </c>
      <c r="D259" t="inlineStr">
        <is>
          <t>3312618308</t>
        </is>
      </c>
      <c r="E259" t="inlineStr">
        <is>
          <t>Військова частина А 0959</t>
        </is>
      </c>
      <c r="F259" s="13" t="n">
        <v>413184</v>
      </c>
      <c r="G259" t="inlineStr">
        <is>
          <t>Невідповідність вимогам документації</t>
        </is>
      </c>
      <c r="H259" t="inlineStr">
        <is>
          <t>Пропозиція учасника не відповідає умовам, визначеним в оголошенні про проведення спрощеної закупівлі, та вимогам до предмета закупівлі</t>
        </is>
      </c>
      <c r="I259" t="inlineStr">
        <is>
          <t>Пропозиція учасника не відповідає умовам, визначеним в оголошенні про проведення спрощеної закупівлі, та вимогам до предмета закупівлі</t>
        </is>
      </c>
    </row>
    <row r="260">
      <c r="A260" s="4" t="inlineStr">
        <is>
          <t>UA-2025-11-18-010645-a</t>
        </is>
      </c>
      <c r="B260" t="inlineStr">
        <is>
          <t>2025-11-25</t>
        </is>
      </c>
      <c r="C260" t="inlineStr">
        <is>
          <t>ФОП ПРІСИЧ ДМИТРО МИКОЛАЙОВИЧ</t>
        </is>
      </c>
      <c r="D260" t="inlineStr">
        <is>
          <t>3248805838</t>
        </is>
      </c>
      <c r="E260" t="inlineStr">
        <is>
          <t>Луцький національний технічний університет</t>
        </is>
      </c>
      <c r="F260" s="13" t="n">
        <v>402190</v>
      </c>
      <c r="G260" t="inlineStr">
        <is>
          <t>Відмова від договору</t>
        </is>
      </c>
      <c r="H260" t="inlineStr">
        <is>
          <t>Переможець письмово відмовився від укладання договору на умовах, визначених у запиті пропозицій постачальників</t>
        </is>
      </c>
      <c r="I260" t="inlineStr">
        <is>
          <t>На етапі укладення договору Переможець відбору у строк, визначений Порядком №822 для укладення договору, надіслав Замовнику Лист-відмову від укладання договору, завірений підписом та печаткою. Враховуючи викладене, пропозиція Переможця відбору підлягає відхиленню відповідно до підпункту 2 пункту 64 Порядку № 822.</t>
        </is>
      </c>
    </row>
    <row r="261">
      <c r="A261" s="4" t="inlineStr">
        <is>
          <t>UA-2026-05-14-008402-a</t>
        </is>
      </c>
      <c r="B261" t="inlineStr">
        <is>
          <t>2026-05-28</t>
        </is>
      </c>
      <c r="C261" t="inlineStr">
        <is>
          <t>ФОП "Борцов Віктор Миколайович"</t>
        </is>
      </c>
      <c r="D261" t="inlineStr">
        <is>
          <t>3459008350</t>
        </is>
      </c>
      <c r="E261" t="inlineStr">
        <is>
          <t>Виконавчий комітет Луцької міської ради</t>
        </is>
      </c>
      <c r="F261" s="13" t="n">
        <v>396480</v>
      </c>
      <c r="G261" t="inlineStr">
        <is>
          <t>Відмова від договору</t>
        </is>
      </c>
      <c r="H261" t="inlineStr">
        <is>
          <t>Переможець письмово відмовився від укладення договору на умовах, визначених замовником у запиті пропозицій постачальників, шляхом заповнення електронних форм з окремими полями та у проекті договору, що є складовою частиною запиту пропозицій постачальників</t>
        </is>
      </c>
      <c r="I261" t="inlineStr">
        <is>
          <t>Переможець письмово відмовився від укладення договору на умовах, визначених замовником у запиті пропозицій постачальників, шляхом заповнення електронних форм з окремими полями та у проекті договору, що є складовою частиною запиту пропозицій постачальників</t>
        </is>
      </c>
    </row>
    <row r="262">
      <c r="A262" s="4" t="inlineStr">
        <is>
          <t>UA-2025-11-14-015599-a</t>
        </is>
      </c>
      <c r="B262" t="inlineStr">
        <is>
          <t>2025-11-26</t>
        </is>
      </c>
      <c r="C262" t="inlineStr">
        <is>
          <t>ТОВ «ПБГ19»</t>
        </is>
      </c>
      <c r="D262" t="inlineStr">
        <is>
          <t>45701274</t>
        </is>
      </c>
      <c r="E262" t="inlineStr">
        <is>
          <t>ВІДОКРЕМЛЕНИЙ СТРУКТУРНИЙ ПІДРОЗДІЛ "ВОЛИНСЬКИЙ ФАХОВИЙ КОЛЕДЖ НАЦІОНАЛЬНОГО УНІВЕРСИТЕТУ ХАРЧОВИХ ТЕХНОЛОГІЙ"</t>
        </is>
      </c>
      <c r="F262" s="13" t="n">
        <v>393600</v>
      </c>
      <c r="G262" t="inlineStr">
        <is>
          <t>Не надав документи</t>
        </is>
      </c>
      <c r="H262" t="inlineStr">
        <is>
          <t>Переможець не надав документ про реєстрацію у прийнятній країні та/або інформацію про те, що до переможця відбору, його кінцевих бенефіціарних власників, членів або учасників (акціонерів) не застосовано обмежувальні заходи у вигляді санкцій Європейського Союзу та/або про те, що не знаходяться у санкційному списку Європейського Союзу. Або зазначена інформація надана з порушенням вимог</t>
        </is>
      </c>
      <c r="I262" t="inlineStr">
        <is>
          <t>ВИРІШИЛА: 1. Відхилити пропозицію Переможця відбору ТОВ «ПБГ19» запиту пропозицій постачальників щодо Закупівлі. 2. Оприлюднити рішення про відхилення пропозиції Переможця відбору ТОВ «ПБГ19» запиту пропозицій постачальників щодо Закупівлі в електронній системі закупівель протягом одного робочого дня з дня його прийняття.</t>
        </is>
      </c>
    </row>
    <row r="263">
      <c r="A263" s="4" t="inlineStr">
        <is>
          <t>UA-2025-11-12-014817-a</t>
        </is>
      </c>
      <c r="B263" t="inlineStr">
        <is>
          <t>2025-11-24</t>
        </is>
      </c>
      <c r="C263" t="inlineStr">
        <is>
          <t>ТОВ «ПБГ19»</t>
        </is>
      </c>
      <c r="D263" t="inlineStr">
        <is>
          <t>45701274</t>
        </is>
      </c>
      <c r="E263" t="inlineStr">
        <is>
          <t>ВОЛИНСЬКА ОБЛАСНА ПРОКУРАТУРА</t>
        </is>
      </c>
      <c r="F263" s="13" t="n">
        <v>384000</v>
      </c>
      <c r="G263" t="inlineStr">
        <is>
          <t>Не підписав договір у строк</t>
        </is>
      </c>
      <c r="H263" t="inlineStr">
        <is>
          <t>не підписав договір у строк, визначений абзацом першим пункту 66 цього Порядку</t>
        </is>
      </c>
      <c r="I263" t="inlineStr">
        <is>
          <t>Учасник не підписав договір у строк, визначений абзацом першим пункту 66 цього Порядку</t>
        </is>
      </c>
    </row>
    <row r="264">
      <c r="A264" s="4" t="inlineStr">
        <is>
          <t>UA-2025-09-12-006819-a</t>
        </is>
      </c>
      <c r="B264" t="inlineStr">
        <is>
          <t>2025-10-01</t>
        </is>
      </c>
      <c r="C264" t="inlineStr">
        <is>
          <t>ТОВ "КОМПАКОМ"</t>
        </is>
      </c>
      <c r="D264" t="inlineStr">
        <is>
          <t>45596933</t>
        </is>
      </c>
      <c r="E264" t="inlineStr">
        <is>
          <t>КНП "КОВЕЛЬСЬКИЙ ЦЕНТР ПЕРВИННОЇ МЕДИКО-САНІТАРНОЇ ДОПОМОГИ" КОВЕЛЬСЬКОЇ МІСЬКОЇ РАДИ ВОЛИНСЬКОЇ ОБЛАСТІ</t>
        </is>
      </c>
      <c r="F264" s="13" t="n">
        <v>374975</v>
      </c>
      <c r="G264" t="inlineStr">
        <is>
          <t>Недостовірна інформація</t>
        </is>
      </c>
      <c r="H264" t="inlineStr">
        <is>
          <t>зазначив у тендерній пропозиції недостовірну інформацію, що є суттєвою для визначення результатів відкритих торгів, яку замовником виявлено згідно з абзацом першим пункту 42 Особливостей;</t>
        </is>
      </c>
      <c r="I264" t="inlineStr">
        <is>
          <t>зазначив у тендерній пропозиції недостовірну інформацію, що є суттєвою для визначення результатів відкритих торгів, яку замовником виявлено згідно з абзацом першим пункту 42 Особливостей;</t>
        </is>
      </c>
    </row>
    <row r="265">
      <c r="A265" s="4" t="inlineStr">
        <is>
          <t>UA-2025-10-01-004593-a</t>
        </is>
      </c>
      <c r="B265" t="inlineStr">
        <is>
          <t>2025-10-07</t>
        </is>
      </c>
      <c r="C265" t="inlineStr">
        <is>
          <t>ФОП Рибак Евеліна Василівна</t>
        </is>
      </c>
      <c r="D265" t="inlineStr">
        <is>
          <t>3701802602</t>
        </is>
      </c>
      <c r="E265" t="inlineStr">
        <is>
          <t>НОВОВОЛИНСЬКИЙ ЛІЦЕЙ №6 НОВОВОЛИНСЬКОЇ МІСЬКОЇ РАДИ ВОЛИНСЬКОЇ ОБЛАСТІ</t>
        </is>
      </c>
      <c r="F265" s="13" t="n">
        <v>370500</v>
      </c>
      <c r="G265" t="inlineStr">
        <is>
          <t>Відмова від договору</t>
        </is>
      </c>
      <c r="H265" t="inlineStr">
        <is>
          <t>Переможець письмово відмовився від укладання договору на умовах, визначених у запиті пропозицій постачальників</t>
        </is>
      </c>
      <c r="I265" t="inlineStr">
        <is>
          <t>не має належних документів</t>
        </is>
      </c>
    </row>
    <row r="266">
      <c r="A266" s="4" t="inlineStr">
        <is>
          <t>UA-2025-11-17-012681-a</t>
        </is>
      </c>
      <c r="B266" t="inlineStr">
        <is>
          <t>2025-12-02</t>
        </is>
      </c>
      <c r="C266" t="inlineStr">
        <is>
          <t>ТОВ "ТІНОС-Д"</t>
        </is>
      </c>
      <c r="D266" t="inlineStr">
        <is>
          <t>42289645</t>
        </is>
      </c>
      <c r="E266" t="inlineStr">
        <is>
          <t>Виконавчий комітет Луцької міської ради</t>
        </is>
      </c>
      <c r="F266" s="13" t="n">
        <v>368400</v>
      </c>
      <c r="G266" t="inlineStr">
        <is>
          <t>Не підписав договір у строк</t>
        </is>
      </c>
      <c r="H266" t="inlineStr">
        <is>
          <t>Переможець не підписав договір у строк, визначений абзацом першим пункту 66 цього Порядку</t>
        </is>
      </c>
      <c r="I266" t="inlineStr">
        <is>
          <t>Переможець не підписав договір у строк, визначений абзацом першим пункту 66 цього Порядку</t>
        </is>
      </c>
    </row>
    <row r="267">
      <c r="A267" s="4" t="inlineStr">
        <is>
          <t>UA-2026-05-22-002851-a</t>
        </is>
      </c>
      <c r="B267" t="inlineStr">
        <is>
          <t>2026-06-02</t>
        </is>
      </c>
      <c r="C267" t="inlineStr">
        <is>
          <t>ТОВ "ЗАХІД ПРОМ ПОСТАЧ"</t>
        </is>
      </c>
      <c r="D267" t="inlineStr">
        <is>
          <t>42069908</t>
        </is>
      </c>
      <c r="E267" t="inlineStr">
        <is>
          <t>ДЕПАРТАМЕНТ З ПИТАНЬ ВЕТЕРАНСЬКОЇ ПОЛІТИКИ ЛУЦЬКОЇ МІСЬКОЇ РАДИ</t>
        </is>
      </c>
      <c r="F267" s="13" t="n">
        <v>367900</v>
      </c>
      <c r="G267" t="inlineStr">
        <is>
          <t>Не підписав договір у строк</t>
        </is>
      </c>
      <c r="H267" t="inlineStr">
        <is>
          <t>Переможець не підписав договір, на умовах, визначених замовником у запиті пропозицій постачальників шляхом заповнення електронних форм із окремими полями та у проекті договору, що є складовою частиною запиту пропозицій постачальників у строк, визначений пунктом 66 цього Порядку,Переможець письмово відмовився від укладення договору на умовах, визначених замовником у запиті пропозицій постачальників, шляхом заповнення електронних форм з окремими полями та у проекті договору, що є складовою частино</t>
        </is>
      </c>
      <c r="I267" t="inlineStr">
        <is>
          <t>Переможець не підписав договір, на умовах, визначених замовником у запиті пропозицій постачальників, шляхом надсилання письмового листа-відмови.</t>
        </is>
      </c>
    </row>
    <row r="268">
      <c r="A268" s="4" t="inlineStr">
        <is>
          <t>UA-2025-09-26-009240-a</t>
        </is>
      </c>
      <c r="B268" t="inlineStr">
        <is>
          <t>2025-10-02</t>
        </is>
      </c>
      <c r="C268" t="inlineStr">
        <is>
          <t>ТОВ "СИСТЕМАТИКА УКРАЇНА"</t>
        </is>
      </c>
      <c r="D268" t="inlineStr">
        <is>
          <t>40175293</t>
        </is>
      </c>
      <c r="E268" t="inlineStr">
        <is>
          <t>Головне управління Національної поліції у Волинській області</t>
        </is>
      </c>
      <c r="F268" s="13" t="n">
        <v>351492</v>
      </c>
      <c r="G268" t="inlineStr">
        <is>
          <t>Відмова від договору</t>
        </is>
      </c>
      <c r="H268" t="inlineStr">
        <is>
          <t>Переможець письмово відмовився від укладання договору на умовах, визначених у запиті пропозицій постачальників</t>
        </is>
      </c>
      <c r="I268" t="inlineStr">
        <is>
          <t>Лист відмова учасника від 02.10.2025 №02/10/25-01</t>
        </is>
      </c>
    </row>
    <row r="269">
      <c r="A269" s="4" t="inlineStr">
        <is>
          <t>UA-2025-10-20-000713-a</t>
        </is>
      </c>
      <c r="B269" t="inlineStr">
        <is>
          <t>2025-10-30</t>
        </is>
      </c>
      <c r="C269" t="inlineStr">
        <is>
          <t>ФОП Зайцева Вікторія Тарасівна</t>
        </is>
      </c>
      <c r="D269" t="inlineStr">
        <is>
          <t>3686308900</t>
        </is>
      </c>
      <c r="E269" t="inlineStr">
        <is>
          <t>ЛІЦЕЙ ІМЕНІ ОЛЕКСАНДРА ЦИНКАЛОВСЬКОГО ВОЛОДИМИРСЬКОЇ МІСЬКОЇ РАДИ</t>
        </is>
      </c>
      <c r="F269" s="13" t="n">
        <v>350001</v>
      </c>
      <c r="G269" t="inlineStr">
        <is>
          <t>Не усунув невідповідності</t>
        </is>
      </c>
      <c r="H269" t="inlineStr">
        <is>
          <t>Не виправив виявлені замовником після розкриття тендерних пропозицій невідповідності в інформації та/або документах, що подані ним у складі своєї тендерної пропозиції, та/або змінив предмет закупівлі (його найменування, марку, модель тощо) під час виправлення виявлених замовником невідповідностей, протягом 24 годин з моменту розміщення замовником в електронній системі закупівель повідомлення з вимогою про усунення таких невідповідностей</t>
        </is>
      </c>
      <c r="I269" t="inlineStr">
        <is>
          <t>дискаваліфікувати ФОП Зайцева Вікторія Тарасівна</t>
        </is>
      </c>
    </row>
    <row r="270">
      <c r="A270" s="4" t="inlineStr">
        <is>
          <t>UA-2025-09-12-006819-a</t>
        </is>
      </c>
      <c r="B270" t="inlineStr">
        <is>
          <t>2025-09-26</t>
        </is>
      </c>
      <c r="C270" t="inlineStr">
        <is>
          <t>ТОВ «ПБГ19»</t>
        </is>
      </c>
      <c r="D270" t="inlineStr">
        <is>
          <t>45701274</t>
        </is>
      </c>
      <c r="E270" t="inlineStr">
        <is>
          <t>КНП "КОВЕЛЬСЬКИЙ ЦЕНТР ПЕРВИННОЇ МЕДИКО-САНІТАРНОЇ ДОПОМОГИ" КОВЕЛЬСЬКОЇ МІСЬКОЇ РАДИ ВОЛИНСЬКОЇ ОБЛАСТІ</t>
        </is>
      </c>
      <c r="F270" s="13" t="n">
        <v>331377</v>
      </c>
      <c r="G270" t="inlineStr">
        <is>
          <t>Недостовірна інформація</t>
        </is>
      </c>
      <c r="H270" t="inlineStr">
        <is>
          <t>зазначив у тендерній пропозиції недостовірну інформацію, що є суттєвою для визначення результатів відкритих торгів, яку замовником виявлено згідно з абзацом першим пункту 42 Особливостей;</t>
        </is>
      </c>
      <c r="I270" t="inlineStr">
        <is>
          <t>зазначив у тендерній пропозиції недостовірну інформацію, що є суттєвою для визначення результатів відкритих торгів, яку замовником виявлено згідно з абзацом першим пункту 42 Особливостей;</t>
        </is>
      </c>
    </row>
    <row r="271">
      <c r="A271" s="4" t="inlineStr">
        <is>
          <t>UA-2025-11-14-015599-a</t>
        </is>
      </c>
      <c r="B271" t="inlineStr">
        <is>
          <t>2025-11-20</t>
        </is>
      </c>
      <c r="C271" t="inlineStr">
        <is>
          <t>ТОВ "КОМПАКОМ"</t>
        </is>
      </c>
      <c r="D271" t="inlineStr">
        <is>
          <t>45596933</t>
        </is>
      </c>
      <c r="E271" t="inlineStr">
        <is>
          <t>ВІДОКРЕМЛЕНИЙ СТРУКТУРНИЙ ПІДРОЗДІЛ "ВОЛИНСЬКИЙ ФАХОВИЙ КОЛЕДЖ НАЦІОНАЛЬНОГО УНІВЕРСИТЕТУ ХАРЧОВИХ ТЕХНОЛОГІЙ"</t>
        </is>
      </c>
      <c r="F271" s="13" t="n">
        <v>320000</v>
      </c>
      <c r="G271" t="inlineStr">
        <is>
          <t>Відмова від договору</t>
        </is>
      </c>
      <c r="H271" t="inlineStr">
        <is>
          <t>Переможець письмово відмовився від укладання договору на умовах, визначених у запиті пропозицій постачальників</t>
        </is>
      </c>
      <c r="I271" t="inlineStr">
        <is>
          <t>ВИРІШИЛА: 1. Дискваліфікувати Учасника ТОВ "КОМПАКОМ" (ЄДРПОУ 45596933), якого було автоматично визначено переможцем Закупівлі. 2. Оприлюднити рішення про дискваліфікацію Учасника в електронній системі закупівель.</t>
        </is>
      </c>
    </row>
    <row r="272">
      <c r="A272" s="4" t="inlineStr">
        <is>
          <t>UA-2025-10-28-010787-a</t>
        </is>
      </c>
      <c r="B272" t="inlineStr">
        <is>
          <t>2025-10-31</t>
        </is>
      </c>
      <c r="C272" t="inlineStr">
        <is>
          <t>ТОВ "ПАВЕРТРЕЙД"</t>
        </is>
      </c>
      <c r="D272" t="inlineStr">
        <is>
          <t>43120417</t>
        </is>
      </c>
      <c r="E272" t="inlineStr">
        <is>
          <t>Головне Управління Державної служби України з надзвичайних ситуацій у Волинській області</t>
        </is>
      </c>
      <c r="F272" s="13" t="n">
        <v>295200</v>
      </c>
      <c r="G272" t="inlineStr">
        <is>
          <t>Відмова від договору</t>
        </is>
      </c>
      <c r="H272" t="inlineStr">
        <is>
          <t>письмово відмовився від укладання договору на умовах, визначених у запиті пропозицій постачальників</t>
        </is>
      </c>
      <c r="I272" t="inlineStr"/>
    </row>
    <row r="273">
      <c r="A273" s="4" t="inlineStr">
        <is>
          <t>UA-2025-10-20-014579-a</t>
        </is>
      </c>
      <c r="B273" t="inlineStr">
        <is>
          <t>2025-10-28</t>
        </is>
      </c>
      <c r="C273" t="inlineStr">
        <is>
          <t>ФОП "ФРОЙНДОРФЕР АНАСТАСІЯ ОЛЕКСАНДРІВНА"</t>
        </is>
      </c>
      <c r="D273" t="inlineStr">
        <is>
          <t>3512306746</t>
        </is>
      </c>
      <c r="E273" t="inlineStr">
        <is>
          <t>Територіальне управління Державної судової адміністрації України в Волинській області</t>
        </is>
      </c>
      <c r="F273" s="13" t="n">
        <v>294780</v>
      </c>
      <c r="G273" t="inlineStr">
        <is>
          <t>Відмова від договору</t>
        </is>
      </c>
      <c r="H273" t="inlineStr">
        <is>
          <t>Переможець письмово відмовився від укладання договору на умовах, визначених у запиті пропозицій постачальників</t>
        </is>
      </c>
      <c r="I273" t="inlineStr">
        <is>
          <t>Переможець письмово відмовився від укладання договору на умовах, визначених у запиті пропозицій постачальників</t>
        </is>
      </c>
    </row>
    <row r="274">
      <c r="A274" s="4" t="inlineStr">
        <is>
          <t>UA-2026-06-26-011036-a</t>
        </is>
      </c>
      <c r="B274" t="inlineStr">
        <is>
          <t>2026-07-10</t>
        </is>
      </c>
      <c r="C274" t="inlineStr">
        <is>
          <t>ТОВ "ДІАВЕСТЕНД КОМПЛЕКСНІ РІШЕННЯ"</t>
        </is>
      </c>
      <c r="D274" t="inlineStr">
        <is>
          <t>30256061</t>
        </is>
      </c>
      <c r="E274" t="inlineStr">
        <is>
          <t>Луцький національний технічний університет</t>
        </is>
      </c>
      <c r="F274" s="13" t="n">
        <v>288660</v>
      </c>
      <c r="G274" t="inlineStr">
        <is>
          <t>Невідповідність технічним вимогам</t>
        </is>
      </c>
      <c r="H274" t="inlineStr">
        <is>
          <t>Тендерна пропозиція учасника не відповідає умовам технічної специфікації та іншим вимогам щодо предмета закупівлі тендерної документації, крім невідповідності в інформації та/або документах, що може бути усунена учасником процедури закупівлі відповідно до пункту 43 Особливостей</t>
        </is>
      </c>
      <c r="I274" t="inlineStr">
        <is>
          <t>У складі тендерної пропозиції учасником було надано документ №10.2/07 від 02.07.2026р. «Порівняльна таблиця відповідності запропонованого товару технічним вимогам Замовника» в якій було зазначено недостовірну інформацію, щодо технічних характеристик товару, а саме Монітор Vinga 27S218-21B: - Регулювання кута нахилу ( Нахил від +25° до -2°); - Обертання підставки (Swivel) від +30° до -30°; Відповідно до інформації зазначеної на офіційному сайті виробника ТОВ «Комел» https://vinga.ua/ua/monitor_vi</t>
        </is>
      </c>
    </row>
    <row r="275">
      <c r="A275" s="4" t="inlineStr">
        <is>
          <t>UA-2025-09-16-012720-a</t>
        </is>
      </c>
      <c r="B275" t="inlineStr">
        <is>
          <t>2025-09-26</t>
        </is>
      </c>
      <c r="C275" t="inlineStr">
        <is>
          <t>ФОП "ГРІНЧЕНКО ЗОЯ ОЛЕКСІЇВНА"</t>
        </is>
      </c>
      <c r="D275" t="inlineStr">
        <is>
          <t>1964608205</t>
        </is>
      </c>
      <c r="E275" t="inlineStr">
        <is>
          <t>Територіальне управління Державної судової адміністрації України в Волинській області</t>
        </is>
      </c>
      <c r="F275" s="13" t="n">
        <v>279900</v>
      </c>
      <c r="G275" t="inlineStr">
        <is>
          <t>Не підписав договір у строк</t>
        </is>
      </c>
      <c r="H275" t="inlineStr">
        <is>
          <t>Переможець не підписав договір у строк, визначений абзацом першим пункту 66 цього Порядку</t>
        </is>
      </c>
      <c r="I275" t="inlineStr">
        <is>
          <t>У зв’язку з тим, що ФОП «Грінченко Зоя Олексіївна», визначена переможцем 19.09.2025, станом на 26.09.2025 не вийшла на зв’язок для підписання договору, виникла необхідність відхилення її пропозиції у зв’язку з не підписанням договору у встановлений строк, відповідно до абзацу першого пункту 66 Порядку.</t>
        </is>
      </c>
    </row>
    <row r="276">
      <c r="A276" s="4" t="inlineStr">
        <is>
          <t>UA-2025-09-12-005017-a</t>
        </is>
      </c>
      <c r="B276" t="inlineStr">
        <is>
          <t>2025-09-23</t>
        </is>
      </c>
      <c r="C276" t="inlineStr">
        <is>
          <t>ФОП Кофан Дмитро Юрійович</t>
        </is>
      </c>
      <c r="D276" t="inlineStr">
        <is>
          <t>3467108376</t>
        </is>
      </c>
      <c r="E276" t="inlineStr">
        <is>
          <t>НОВОВОЛИНСЬКИЙ ЛІЦЕЙ №2 НОВОВОЛИНСЬКОЇ МІСЬКОЇ РАДИ ВОЛИНСЬКОЇ ОБЛАСТІ</t>
        </is>
      </c>
      <c r="F276" s="13" t="n">
        <v>267000</v>
      </c>
      <c r="G276" t="inlineStr">
        <is>
          <t>Відмова від договору</t>
        </is>
      </c>
      <c r="H276" t="inlineStr">
        <is>
          <t>Переможець письмово відмовився від укладання договору на умовах, визначених у запиті пропозицій постачальників</t>
        </is>
      </c>
      <c r="I276" t="inlineStr">
        <is>
          <t>Переможець письмово відмовився від укладання договору на умовах, визначених у запиті пропозицій постачальників</t>
        </is>
      </c>
    </row>
    <row r="277">
      <c r="A277" s="4" t="inlineStr">
        <is>
          <t>UA-2025-11-27-013291-a</t>
        </is>
      </c>
      <c r="B277" t="inlineStr">
        <is>
          <t>2025-12-16</t>
        </is>
      </c>
      <c r="C277" t="inlineStr">
        <is>
          <t>ТОВ "АЙТІ Ф’ЮЧЕ"</t>
        </is>
      </c>
      <c r="D277" t="inlineStr">
        <is>
          <t>44939777</t>
        </is>
      </c>
      <c r="E277" t="inlineStr">
        <is>
          <t>Департамент "Центр надання адміністративних послуг у місті Луцьку" Луцької міської ради</t>
        </is>
      </c>
      <c r="F277" s="13" t="n">
        <v>254023.44</v>
      </c>
      <c r="G277" t="inlineStr">
        <is>
          <t>Не підписав договір у строк</t>
        </is>
      </c>
      <c r="H277" t="inlineStr">
        <is>
          <t>Переможець не підписав договір у строк, визначений абзацом першим пункту 66 цього Порядку</t>
        </is>
      </c>
      <c r="I277" t="inlineStr">
        <is>
          <t>Переможцем відбору 10.12.2025 визначено ТОВ "АЙТІ Ф’ЮЧЕ". На вимогу абзацу 1 пункту 66 Порядку ТОВ "АЙТІ Ф’ЮЧЕ" мало підписати договір не пізніше ніж через 5 календарних днів з дня визначення електронною системою закупівель цього постачальника переможцем відбору, а саме до 15.12.2025 року. Станом на 16.12.2025, ТОВ "АЙТІ Ф’ЮЧЕ" не підписало договір на постачання товарів. З огляду на зазначене наявні причини для відхилення пропозиції переможця на підставі підпункту 1 пункту 64 Порядку.</t>
        </is>
      </c>
    </row>
    <row r="278">
      <c r="A278" s="4" t="inlineStr">
        <is>
          <t>UA-2025-10-29-011635-a</t>
        </is>
      </c>
      <c r="B278" t="inlineStr">
        <is>
          <t>2025-11-05</t>
        </is>
      </c>
      <c r="C278" t="inlineStr">
        <is>
          <t>ФОП Козловський Сергій Павлович</t>
        </is>
      </c>
      <c r="D278" t="inlineStr">
        <is>
          <t>2948314313</t>
        </is>
      </c>
      <c r="E278" t="inlineStr">
        <is>
          <t>СТАРОВИЖІВСЬКА СЕЛИЩНА РАДА</t>
        </is>
      </c>
      <c r="F278" s="13" t="n">
        <v>249988.8</v>
      </c>
      <c r="G278" t="inlineStr">
        <is>
          <t>Відмова від договору</t>
        </is>
      </c>
      <c r="H278" t="inlineStr">
        <is>
          <t>письмово відмовився від укладання договору на умовах, визначених у запиті пропозицій постачальників</t>
        </is>
      </c>
      <c r="I278" t="inlineStr">
        <is>
          <t>Переможець відбору ФОП Козловський Сергій Павлович письмово відмовився від укладення договору на умовах, визначених у запиті пропозицій постачальників . Це підтверджується Листом-відмовою від укладення договору, вих.№05 від 04.11.2025р. від переможця відбору ФОП Козловський Сергій Павлович .(Лист додається) Керуючись підпунктом 2 пункту 64 Порядку замовник відхиляє пропозицію переможця відбору ФОП Козловський Сергій Павлович .</t>
        </is>
      </c>
    </row>
    <row r="279">
      <c r="A279" s="4" t="inlineStr">
        <is>
          <t>UA-2025-10-29-001814-a</t>
        </is>
      </c>
      <c r="B279" t="inlineStr">
        <is>
          <t>2025-11-06</t>
        </is>
      </c>
      <c r="C279" t="inlineStr">
        <is>
          <t>ТОВ "ТІНОС-Д"</t>
        </is>
      </c>
      <c r="D279" t="inlineStr">
        <is>
          <t>42289645</t>
        </is>
      </c>
      <c r="E279" t="inlineStr">
        <is>
          <t>Маневицька селищна рада</t>
        </is>
      </c>
      <c r="F279" s="13" t="n">
        <v>248352</v>
      </c>
      <c r="G279" t="inlineStr">
        <is>
          <t>Відмова від договору</t>
        </is>
      </c>
      <c r="H279" t="inlineStr">
        <is>
          <t>письмово відмовився від укладання договору на умовах, визначених у запиті пропозицій постачальників</t>
        </is>
      </c>
      <c r="I279" t="inlineStr">
        <is>
          <t>письмово відмовився від укладання договору на умовах, визначених у запиті пропозицій постачальників</t>
        </is>
      </c>
    </row>
    <row r="280">
      <c r="A280" s="4" t="inlineStr">
        <is>
          <t>UA-2025-11-27-013291-a</t>
        </is>
      </c>
      <c r="B280" t="inlineStr">
        <is>
          <t>2025-12-10</t>
        </is>
      </c>
      <c r="C280" t="inlineStr">
        <is>
          <t>ТОВ "КОМПАКОМ"</t>
        </is>
      </c>
      <c r="D280" t="inlineStr">
        <is>
          <t>45596933</t>
        </is>
      </c>
      <c r="E280" t="inlineStr">
        <is>
          <t>Департамент "Центр надання адміністративних послуг у місті Луцьку" Луцької міської ради</t>
        </is>
      </c>
      <c r="F280" s="13" t="n">
        <v>242000</v>
      </c>
      <c r="G280" t="inlineStr">
        <is>
          <t>Відмова від договору</t>
        </is>
      </c>
      <c r="H280" t="inlineStr">
        <is>
          <t>Переможець письмово відмовився від укладання договору на умовах, визначених у запиті пропозицій постачальників</t>
        </is>
      </c>
      <c r="I280" t="inlineStr">
        <is>
          <t>10.12.2025 року переможцем відбору постачальників визначено Товариство з обмеженою відповідальністю "КОМПАКОМ" (далі — Переможець). 10.12.2025 року замовник отримав лист-повідомлення від Товариство з обмеженою відповідальністю "КОМПАКОМ" про відмову від підписання договору про закупівлю на умовах, визначених у запиті пропозицій постачальників, що додається.</t>
        </is>
      </c>
    </row>
    <row r="281">
      <c r="A281" s="4" t="inlineStr">
        <is>
          <t>UA-2026-06-17-012977-a</t>
        </is>
      </c>
      <c r="B281" t="inlineStr">
        <is>
          <t>2026-06-23</t>
        </is>
      </c>
      <c r="C281" t="inlineStr">
        <is>
          <t>ТОВ "ТІНОС-Д"</t>
        </is>
      </c>
      <c r="D281" t="inlineStr">
        <is>
          <t>42289645</t>
        </is>
      </c>
      <c r="E281" t="inlineStr">
        <is>
          <t>Виконавчий комітет Луцької міської ради</t>
        </is>
      </c>
      <c r="F281" s="13" t="n">
        <v>237960</v>
      </c>
      <c r="G281" t="inlineStr">
        <is>
          <t>Відмова від договору</t>
        </is>
      </c>
      <c r="H281" t="inlineStr">
        <is>
          <t>Переможець письмово відмовився від укладення договору на умовах, визначених замовником у запиті пропозицій постачальників, шляхом заповнення електронних форм з окремими полями та у проекті договору, що є складовою частиною запиту пропозицій постачальників</t>
        </is>
      </c>
      <c r="I281" t="inlineStr">
        <is>
          <t>Переможець письмово відмовився від укладення договору на умовах, визначених замовником у запиті пропозицій постачальників, шляхом заповнення електронних форм з окремими полями та у проекті договору, що є складовою частиною запиту пропозицій постачальників</t>
        </is>
      </c>
    </row>
    <row r="282">
      <c r="A282" s="4" t="inlineStr">
        <is>
          <t>UA-2025-11-27-013291-a</t>
        </is>
      </c>
      <c r="B282" t="inlineStr">
        <is>
          <t>2025-12-10</t>
        </is>
      </c>
      <c r="C282" t="inlineStr">
        <is>
          <t>ТОВ «ПБГ19»</t>
        </is>
      </c>
      <c r="D282" t="inlineStr">
        <is>
          <t>45701274</t>
        </is>
      </c>
      <c r="E282" t="inlineStr">
        <is>
          <t>Департамент "Центр надання адміністративних послуг у місті Луцьку" Луцької міської ради</t>
        </is>
      </c>
      <c r="F282" s="13" t="n">
        <v>237600</v>
      </c>
      <c r="G282" t="inlineStr">
        <is>
          <t>Не підписав договір у строк</t>
        </is>
      </c>
      <c r="H282" t="inlineStr">
        <is>
          <t>Переможець не підписав договір у строк, визначений абзацом першим пункту 66 цього Порядку</t>
        </is>
      </c>
      <c r="I282" t="inlineStr">
        <is>
          <t>Переможцем відбору 04.12.2025 визначено ТОВ «ПБГ19». На вимогу абзацу 1 пункту 66 Порядку ТОВ «ПБГ19» мало підписати договір не пізніше ніж через 5 календарних днів з дня визначення електронною системою закупівель цього постачальника переможцем відбору, а саме до 09.12.2025 року. Станом на 10.12.2025, ТОВ «ПБГ19» не підписало договір на постачання товарів. З огляду на зазначене наявні причини для відхилення пропозиції переможця на підставі підпункту 1 пункту 64 Порядку.</t>
        </is>
      </c>
    </row>
    <row r="283">
      <c r="A283" s="4" t="inlineStr">
        <is>
          <t>UA-2025-11-27-013291-a</t>
        </is>
      </c>
      <c r="B283" t="inlineStr">
        <is>
          <t>2025-12-04</t>
        </is>
      </c>
      <c r="C283" t="inlineStr">
        <is>
          <t>ТОВ "ТК "АСАНАРА"</t>
        </is>
      </c>
      <c r="D283" t="inlineStr">
        <is>
          <t>45344614</t>
        </is>
      </c>
      <c r="E283" t="inlineStr">
        <is>
          <t>Департамент "Центр надання адміністративних послуг у місті Луцьку" Луцької міської ради</t>
        </is>
      </c>
      <c r="F283" s="13" t="n">
        <v>232406.68</v>
      </c>
      <c r="G283" t="inlineStr">
        <is>
          <t>Відмова від договору</t>
        </is>
      </c>
      <c r="H283" t="inlineStr">
        <is>
          <t>Переможець письмово відмовився від укладання договору на умовах, визначених у запиті пропозицій постачальників</t>
        </is>
      </c>
      <c r="I283" t="inlineStr">
        <is>
          <t>04.12.2025 року замовник отримав лист-повідомлення від ТОВ "СИСТЕМАТИКА УКРАЇНА" про відмову підписувати договір про закупівлю на умовах, визначених у запиті пропозицій постачальників, що додається.</t>
        </is>
      </c>
    </row>
    <row r="284">
      <c r="A284" s="4" t="inlineStr">
        <is>
          <t>UA-2026-02-27-005041-a</t>
        </is>
      </c>
      <c r="B284" t="inlineStr">
        <is>
          <t>2026-03-04</t>
        </is>
      </c>
      <c r="C284" t="inlineStr">
        <is>
          <t>ТОВ "МОБАЙЛ АЙТІ"</t>
        </is>
      </c>
      <c r="D284" t="inlineStr">
        <is>
          <t>39759248</t>
        </is>
      </c>
      <c r="E284" t="inlineStr">
        <is>
          <t>КП «ВОЛИНСЬКЕ ОБЛАСНЕ ТЕРИТОРІАЛЬНЕ МЕДИЧНЕ ОБ’ЄДНАНННЯ ЗАХИСТУ МАТЕРИНСТВА І ДИТИНСТВА» ВОЛИНСЬКОЇ ОБЛАСНОЇ РАДИ</t>
        </is>
      </c>
      <c r="F284" s="13" t="n">
        <v>229440</v>
      </c>
      <c r="G284" t="inlineStr">
        <is>
          <t>Відмова від договору</t>
        </is>
      </c>
      <c r="H284" t="inlineStr">
        <is>
          <t>Переможець письмово відмовився від укладення договору на умовах, визначених замовником у запиті пропозицій постачальників, шляхом заповнення електронних форм з окремими полями та у проекті договору, що є складовою частиною запиту пропозицій постачальників</t>
        </is>
      </c>
      <c r="I284" t="inlineStr">
        <is>
          <t>Переможець письмово відмовився від укладення договору</t>
        </is>
      </c>
    </row>
    <row r="285">
      <c r="A285" s="4" t="inlineStr">
        <is>
          <t>UA-2026-03-04-009702-a</t>
        </is>
      </c>
      <c r="B285" t="inlineStr">
        <is>
          <t>2026-03-11</t>
        </is>
      </c>
      <c r="C285" t="inlineStr">
        <is>
          <t>ФОП ІВАНЧЕНКО МАР'ЯНА МИКОЛАЇВНА</t>
        </is>
      </c>
      <c r="D285" t="inlineStr">
        <is>
          <t>3394407864</t>
        </is>
      </c>
      <c r="E285" t="inlineStr">
        <is>
          <t>КП ""Луцькводоканал""</t>
        </is>
      </c>
      <c r="F285" s="13" t="n">
        <v>223920</v>
      </c>
      <c r="G285" t="inlineStr">
        <is>
          <t>Відмова від договору</t>
        </is>
      </c>
      <c r="H285" t="inlineStr">
        <is>
          <t>письмово відмовився від укладення договору на умовах, визначених замовником у запиті пропозицій постачальників, шляхом заповнення електронних форм з окремими полями та у проекті договору, що є складовою частиною запиту пропозицій постачальників.</t>
        </is>
      </c>
      <c r="I285" t="inlineStr">
        <is>
          <t>Учасник письмово відмовився від укладення договору</t>
        </is>
      </c>
    </row>
    <row r="286">
      <c r="A286" s="4" t="inlineStr">
        <is>
          <t>UA-2026-03-04-009702-a</t>
        </is>
      </c>
      <c r="B286" t="inlineStr">
        <is>
          <t>2026-03-09</t>
        </is>
      </c>
      <c r="C286" t="inlineStr">
        <is>
          <t>ФОП "Чернявська Анастасія Юріївна"</t>
        </is>
      </c>
      <c r="D286" t="inlineStr">
        <is>
          <t>3383703724</t>
        </is>
      </c>
      <c r="E286" t="inlineStr">
        <is>
          <t>КП ""Луцькводоканал""</t>
        </is>
      </c>
      <c r="F286" s="13" t="n">
        <v>222741</v>
      </c>
      <c r="G286" t="inlineStr">
        <is>
          <t>Відмова від договору</t>
        </is>
      </c>
      <c r="H286" t="inlineStr">
        <is>
          <t>письмово відмовився від укладення договору на умовах, визначених замовником у запиті пропозицій постачальників, шляхом заповнення електронних форм з окремими полями та у проекті договору, що є складовою частиною запиту пропозицій постачальників.</t>
        </is>
      </c>
      <c r="I286" t="inlineStr">
        <is>
          <t>Учасник письмово відмовився від укладення договору</t>
        </is>
      </c>
    </row>
    <row r="287">
      <c r="A287" s="4" t="inlineStr">
        <is>
          <t>UA-2026-02-19-010901-a</t>
        </is>
      </c>
      <c r="B287" t="inlineStr">
        <is>
          <t>2026-03-09</t>
        </is>
      </c>
      <c r="C287" t="inlineStr">
        <is>
          <t>ТОВ "КОМПАКОМ"</t>
        </is>
      </c>
      <c r="D287" t="inlineStr">
        <is>
          <t>45596933</t>
        </is>
      </c>
      <c r="E287" t="inlineStr">
        <is>
          <t>Виконавчий комітет Луцької міської ради</t>
        </is>
      </c>
      <c r="F287" s="13" t="n">
        <v>218000</v>
      </c>
      <c r="G287" t="inlineStr">
        <is>
          <t>Не підписав договір у строк</t>
        </is>
      </c>
      <c r="H287" t="inlineStr">
        <is>
          <t>Переможець не підписав договір, на умовах, визначених замовником у запиті пропозицій постачальників шляхом заповнення електронних форм із окремими полями та у проекті договору, що є складовою частиною запиту пропозицій постачальників у строк, визначений пунктом 66 цього Порядку</t>
        </is>
      </c>
      <c r="I287" t="inlineStr">
        <is>
          <t>Переможець не підписав договір, на умовах, визначених замовником у запиті пропозицій постачальників шляхом заповнення електронних форм із окремими полями та у проекті договору, що є складовою частиною запиту пропозицій постачальників у строк, визначений пунктом 66 цього Порядку</t>
        </is>
      </c>
    </row>
    <row r="288">
      <c r="A288" s="4" t="inlineStr">
        <is>
          <t>UA-2025-11-04-006800-a</t>
        </is>
      </c>
      <c r="B288" t="inlineStr">
        <is>
          <t>2025-11-13</t>
        </is>
      </c>
      <c r="C288" t="inlineStr">
        <is>
          <t>ТОВ "ІНТЕКС ЦЕНТР"</t>
        </is>
      </c>
      <c r="D288" t="inlineStr">
        <is>
          <t>41675618</t>
        </is>
      </c>
      <c r="E288" t="inlineStr">
        <is>
          <t>ВОЛИНСЬКА ОБЛАСНА ПРОКУРАТУРА</t>
        </is>
      </c>
      <c r="F288" s="13" t="n">
        <v>216720</v>
      </c>
      <c r="G288" t="inlineStr">
        <is>
          <t>Не підписав договір у строк</t>
        </is>
      </c>
      <c r="H288" t="inlineStr">
        <is>
          <t>не підписав договір у строк, визначений абзацом першим пункту 66 цього Порядку</t>
        </is>
      </c>
      <c r="I288" t="inlineStr">
        <is>
          <t>Учасник не підписав договір у строк, визначений абзацом першим пункту 66 цього Порядку</t>
        </is>
      </c>
    </row>
    <row r="289">
      <c r="A289" s="4" t="inlineStr">
        <is>
          <t>UA-2026-08-07-010621-a</t>
        </is>
      </c>
      <c r="B289" t="inlineStr">
        <is>
          <t>2026-08-19</t>
        </is>
      </c>
      <c r="C289" t="inlineStr">
        <is>
          <t>ТОВ "ТОРГОВИЙ ДІМ "ПАРТНЕР АЙ ТІ"</t>
        </is>
      </c>
      <c r="D289" t="inlineStr">
        <is>
          <t>41263186</t>
        </is>
      </c>
      <c r="E289" t="inlineStr">
        <is>
          <t>Луцький національний технічний університет</t>
        </is>
      </c>
      <c r="F289" s="13" t="n">
        <v>216000</v>
      </c>
      <c r="G289" t="inlineStr">
        <is>
          <t>Невідповідність технічним вимогам</t>
        </is>
      </c>
      <c r="H289" t="inlineStr">
        <is>
          <t>Тендерна пропозиція учасника не відповідає умовам технічної специфікації та іншим вимогам щодо предмета закупівлі тендерної документації, крім невідповідності в інформації та/або документах, що може бути усунена учасником процедури закупівлі відповідно до пункту 43 Особливостей</t>
        </is>
      </c>
      <c r="I289" t="inlineStr">
        <is>
          <t>Згідно з абзацом 2 підпункту 2 пункту 44 Особливостей замовник відхиляє тендерну пропозицію із зазначенням аргументації в електронній системі закупівель у разі, коли тендерна пропозиція не відповідає умовам технічної специфікації та іншим вимогам щодо предмета закупівлі тендерної документації, крім невідповідності в інформації та/або документах, що може бути усунена учасником процедури закупівлі відповідно до пункту 43 Особливостей. Під невідповідністю в інформації та/або документах, що подані у</t>
        </is>
      </c>
    </row>
    <row r="290">
      <c r="A290" s="4" t="inlineStr">
        <is>
          <t>UA-2025-11-27-013291-a</t>
        </is>
      </c>
      <c r="B290" t="inlineStr">
        <is>
          <t>2025-12-04</t>
        </is>
      </c>
      <c r="C290" t="inlineStr">
        <is>
          <t>ТОВ "СИСТЕМАТИКА УКРАЇНА"</t>
        </is>
      </c>
      <c r="D290" t="inlineStr">
        <is>
          <t>40175293</t>
        </is>
      </c>
      <c r="E290" t="inlineStr">
        <is>
          <t>Департамент "Центр надання адміністративних послуг у місті Луцьку" Луцької міської ради</t>
        </is>
      </c>
      <c r="F290" s="13" t="n">
        <v>203412</v>
      </c>
      <c r="G290" t="inlineStr">
        <is>
          <t>Відмова від договору</t>
        </is>
      </c>
      <c r="H290" t="inlineStr">
        <is>
          <t>Переможець письмово відмовився від укладання договору на умовах, визначених у запиті пропозицій постачальників</t>
        </is>
      </c>
      <c r="I290" t="inlineStr">
        <is>
          <t>04.12.2025 року замовник отримав лист-повідомлення від ТОВ "СИСТЕМАТИКА УКРАЇНА" про відмову підписувати договір про закупівлю на умовах, визначених у запиті пропозицій постачальників</t>
        </is>
      </c>
    </row>
    <row r="291">
      <c r="A291" s="4" t="inlineStr">
        <is>
          <t>UA-2025-12-17-023135-a</t>
        </is>
      </c>
      <c r="B291" t="inlineStr">
        <is>
          <t>2025-12-22</t>
        </is>
      </c>
      <c r="C291" t="inlineStr">
        <is>
          <t>ТОВ "ІДІДЖІ ГРУП"</t>
        </is>
      </c>
      <c r="D291" t="inlineStr">
        <is>
          <t>39776389</t>
        </is>
      </c>
      <c r="E291" t="inlineStr">
        <is>
          <t>ГОЛОВНЕ УПРАВЛІННЯ ПЕНСІЙНОГО ФОНДУ УКРАЇНИ У ВОЛИНСЬКІЙ ОБЛАСТІ</t>
        </is>
      </c>
      <c r="F291" s="13" t="n">
        <v>202502.88</v>
      </c>
      <c r="G291" t="inlineStr">
        <is>
          <t>Відмова від договору</t>
        </is>
      </c>
      <c r="H291" t="inlineStr">
        <is>
          <t>Переможець письмово відмовився від укладання договору на умовах, визначених у запиті пропозицій постачальників</t>
        </is>
      </c>
      <c r="I291" t="inlineStr">
        <is>
          <t>В електронному каталозі сформовано запит пропозицій постачальників відповідно до Порядку формування та використання електронного каталогу, затвердженого постановою Кабінету міністрів України від 14 вересня 2020 року № 822 (зі змінами) (далі — Порядок), з урахуванням Особливостей здійснення публічних закупівель товарів, робіт і послуг для замовників, передбачених Законом України “Про публічні закупівлі”, на період дії правового режиму воєнного стану в Україні та протягом 90 днів з дня його припин</t>
        </is>
      </c>
    </row>
    <row r="292">
      <c r="A292" s="4" t="inlineStr">
        <is>
          <t>UA-2025-10-17-014263-a</t>
        </is>
      </c>
      <c r="B292" t="inlineStr">
        <is>
          <t>2025-10-27</t>
        </is>
      </c>
      <c r="C292" t="inlineStr">
        <is>
          <t>ФОП Зайцева Вікторія Тарасівна</t>
        </is>
      </c>
      <c r="D292" t="inlineStr">
        <is>
          <t>3686308900</t>
        </is>
      </c>
      <c r="E292" t="inlineStr">
        <is>
          <t>ЛІЦЕЙ ІМЕНІ ОЛЕКСАНДРА ЦИНКАЛОВСЬКОГО ВОЛОДИМИРСЬКОЇ МІСЬКОЇ РАДИ</t>
        </is>
      </c>
      <c r="F292" s="13" t="n">
        <v>202020</v>
      </c>
      <c r="G292" t="inlineStr">
        <is>
          <t>Інша причина</t>
        </is>
      </c>
      <c r="H292" t="inlineStr">
        <is>
          <t>Тендерна пропозиція містить товари, товари у складі закупівель послуг, товари та/або матеріальні ресурси у складі закупівель послуг з поточного ремонту/робіт, які не походять з прийнятних країн</t>
        </is>
      </c>
      <c r="I292" t="inlineStr">
        <is>
          <t>відхилити тендерну пропозицію як таку, що не відповідає вимогам тендерної документації</t>
        </is>
      </c>
    </row>
    <row r="293">
      <c r="A293" s="4" t="inlineStr">
        <is>
          <t>UA-2025-12-05-014534-a</t>
        </is>
      </c>
      <c r="B293" t="inlineStr">
        <is>
          <t>2025-12-15</t>
        </is>
      </c>
      <c r="C293" t="inlineStr">
        <is>
          <t>ФОП "Цурман Людмила Геннадіївна"</t>
        </is>
      </c>
      <c r="D293" t="inlineStr">
        <is>
          <t>3493710687</t>
        </is>
      </c>
      <c r="E293" t="inlineStr">
        <is>
          <t>УПРАВЛІННЯ ГУМАНІТАРНОЇ ПОЛІТИКИ КАМІНЬ-КАШИРСЬКОЇ МІСЬКОЇ РАДИ</t>
        </is>
      </c>
      <c r="F293" s="13" t="n">
        <v>199984</v>
      </c>
      <c r="G293" t="inlineStr">
        <is>
          <t>Відмова від договору</t>
        </is>
      </c>
      <c r="H293" t="inlineStr">
        <is>
          <t>Переможець письмово відмовився від укладання договору на умовах, визначених у запиті пропозицій постачальників</t>
        </is>
      </c>
      <c r="I293" t="inlineStr">
        <is>
          <t xml:space="preserve">Відповідно до пункту 61 Порядку оцінка пропозицій постачальників проводиться автоматично електронною системою закупівель на основі інформації, зазначеної замовником в запиті пропозицій. Постачальник, пропозиція якого за результатами оцінки електронною системою закупівель визначена економічно вигідною, визначається переможцем відбору. Відповідно до підпункту 2 пункту 64 Порядку замовник відхиляє пропозицію переможця відбору, якщо постачальник письмово відмовився від укладення договору на умовах, </t>
        </is>
      </c>
    </row>
    <row r="294">
      <c r="A294" s="4" t="inlineStr">
        <is>
          <t>UA-2025-11-28-014373-a</t>
        </is>
      </c>
      <c r="B294" t="inlineStr">
        <is>
          <t>2025-12-09</t>
        </is>
      </c>
      <c r="C294" t="inlineStr">
        <is>
          <t>ТОВ «ЮДІТРЕЙД»</t>
        </is>
      </c>
      <c r="D294" t="inlineStr">
        <is>
          <t>42036301</t>
        </is>
      </c>
      <c r="E294" t="inlineStr">
        <is>
          <t>Нововолинський електромеханічний фаховий коледж</t>
        </is>
      </c>
      <c r="F294" s="13" t="n">
        <v>196788</v>
      </c>
      <c r="G294" t="inlineStr">
        <is>
          <t>Невідповідність технічним вимогам</t>
        </is>
      </c>
      <c r="H294" t="inlineStr">
        <is>
          <t>Тендерна пропозиція учасника не відповідає умовам технічної специфікації та іншим вимогам щодо предмета закупівлі тендерної документації, крім невідповідності в інформації та/або документах, що може бути усунена учасником процедури закупівлі відповідно до пункту 43 Особливостей</t>
        </is>
      </c>
      <c r="I294" t="inlineStr">
        <is>
          <t>Відхилено тендерну пропозицію учасника процедури відкритих торгів з особливостями, ідентифікатор закупівлі UA-2025-11-28-014373-a, – Товариства з обмеженою відповідальністю «ЮДІТРЕЙД» (ЄДРПОУ 42036301), з наступних підстав: відповідно до пп. 2.2. «Предмет закупівлі» п. 2 «Інформація про необхідні технічні, якісні та кількісні характеристики предмета закупівлі, у тому числі відповідну технічну специфікацію» Додатку №1 до тендерної документації на закупівлю товару код ДК 021:2015: 30210000-4 Машин</t>
        </is>
      </c>
    </row>
    <row r="295">
      <c r="A295" s="4" t="inlineStr">
        <is>
          <t>UA-2025-12-05-014534-a</t>
        </is>
      </c>
      <c r="B295" t="inlineStr">
        <is>
          <t>2025-12-12</t>
        </is>
      </c>
      <c r="C295" t="inlineStr">
        <is>
          <t>ТОВ "ТІНОС-Д"</t>
        </is>
      </c>
      <c r="D295" t="inlineStr">
        <is>
          <t>42289645</t>
        </is>
      </c>
      <c r="E295" t="inlineStr">
        <is>
          <t>УПРАВЛІННЯ ГУМАНІТАРНОЇ ПОЛІТИКИ КАМІНЬ-КАШИРСЬКОЇ МІСЬКОЇ РАДИ</t>
        </is>
      </c>
      <c r="F295" s="13" t="n">
        <v>192192</v>
      </c>
      <c r="G295" t="inlineStr">
        <is>
          <t>Відмова від договору</t>
        </is>
      </c>
      <c r="H295" t="inlineStr">
        <is>
          <t>Переможець письмово відмовився від укладання договору на умовах, визначених у запиті пропозицій постачальників</t>
        </is>
      </c>
      <c r="I295" t="inlineStr">
        <is>
          <t xml:space="preserve">Відповідно до пункту 61 Порядку оцінка пропозицій постачальників проводиться автоматично електронною системою закупівель на основі інформації, зазначеної замовником в запиті пропозицій. Постачальник, пропозиція якого за результатами оцінки електронною системою закупівель визначена економічно вигідною, визначається переможцем відбору. Відповідно до підпункту 2 пункту 64 Порядку замовник відхиляє пропозицію переможця відбору, якщо постачальник письмово відмовився від укладення договору на умовах, </t>
        </is>
      </c>
    </row>
    <row r="296">
      <c r="A296" s="4" t="inlineStr">
        <is>
          <t>UA-2026-01-14-011038-a</t>
        </is>
      </c>
      <c r="B296" t="inlineStr">
        <is>
          <t>2026-01-21</t>
        </is>
      </c>
      <c r="C296" t="inlineStr">
        <is>
          <t>ФОП ПРІСИЧ ДМИТРО МИКОЛАЙОВИЧ</t>
        </is>
      </c>
      <c r="D296" t="inlineStr">
        <is>
          <t>3248805838</t>
        </is>
      </c>
      <c r="E296" t="inlineStr">
        <is>
          <t>Вишнівська сільська рада</t>
        </is>
      </c>
      <c r="F296" s="13" t="n">
        <v>191552</v>
      </c>
      <c r="G296" t="inlineStr">
        <is>
          <t>Відмова від договору</t>
        </is>
      </c>
      <c r="H296" t="inlineStr">
        <is>
          <t>Переможець письмово відмовився від укладання договору на умовах, визначених у запиті пропозицій постачальників</t>
        </is>
      </c>
      <c r="I296" t="inlineStr">
        <is>
          <t>Офіційна відмова переможця</t>
        </is>
      </c>
    </row>
    <row r="297">
      <c r="A297" s="4" t="inlineStr">
        <is>
          <t>UA-2026-03-12-003768-a</t>
        </is>
      </c>
      <c r="B297" t="inlineStr">
        <is>
          <t>2026-04-16</t>
        </is>
      </c>
      <c r="C297" t="inlineStr">
        <is>
          <t>ТОВ "Інженерна компанія "Союз"</t>
        </is>
      </c>
      <c r="D297" t="inlineStr">
        <is>
          <t>38963592</t>
        </is>
      </c>
      <c r="E297" t="inlineStr">
        <is>
          <t>КП "Медичне об'єднання Луцької міської територіальної громади"</t>
        </is>
      </c>
      <c r="F297" s="13" t="n">
        <v>190350</v>
      </c>
      <c r="G297" t="inlineStr">
        <is>
          <t>Невідповідність технічним вимогам</t>
        </is>
      </c>
      <c r="H297" t="inlineStr">
        <is>
          <t>не відповідає умовам технічної специфікації та іншим вимогам щодо предмета закупівлі тендерної документації, крім невідповідності в інформації та/або документах, що може бути усунена учасником процедури закупівлі відповідно до пункту 43 Особливостей;; не відповідає вимогам, установленим у тендерній документації відповідно до абзацу першого частини третьої статті 22 Закону;</t>
        </is>
      </c>
      <c r="I297" t="inlineStr">
        <is>
          <t>не відповідає умовам технічної специфікації та іншим вимогам щодо предмета закупівлі тендерної документації, крім невідповідності в інформації та/або документах, що може бути усунена учасником процедури закупівлі відповідно до пункту 43 Особливостей;; не відповідає вимогам, установленим у тендерній документації відповідно до абзацу першого частини третьої статті 22 Закону;</t>
        </is>
      </c>
    </row>
    <row r="298">
      <c r="A298" s="4" t="inlineStr">
        <is>
          <t>UA-2026-03-12-003768-a</t>
        </is>
      </c>
      <c r="B298" t="inlineStr">
        <is>
          <t>2026-04-10</t>
        </is>
      </c>
      <c r="C298" t="inlineStr">
        <is>
          <t>ФОП "Чікільов Анатолій Максимович"</t>
        </is>
      </c>
      <c r="D298" t="inlineStr">
        <is>
          <t>3798303672</t>
        </is>
      </c>
      <c r="E298" t="inlineStr">
        <is>
          <t>КП "Медичне об'єднання Луцької міської територіальної громади"</t>
        </is>
      </c>
      <c r="F298" s="13" t="n">
        <v>190305</v>
      </c>
      <c r="G298" t="inlineStr">
        <is>
          <t>Невідповідність технічним вимогам</t>
        </is>
      </c>
      <c r="H298" t="inlineStr">
        <is>
          <t>не відповідає умовам технічної специфікації та іншим вимогам щодо предмета закупівлі тендерної документації, крім невідповідності в інформації та/або документах, що може бути усунена учасником процедури закупівлі відповідно до пункту 43 Особливостей;; не відповідає вимогам, установленим у тендерній документації відповідно до абзацу першого частини третьої статті 22 Закону;</t>
        </is>
      </c>
      <c r="I298" t="inlineStr">
        <is>
          <t>не відповідає умовам технічної специфікації та іншим вимогам щодо предмета закупівлі тендерної документації, крім невідповідності в інформації та/або документах, що може бути усунена учасником процедури закупівлі відповідно до пункту 43 Особливостей;; не відповідає вимогам, установленим у тендерній документації відповідно до абзацу першого частини третьої статті 22 Закону;</t>
        </is>
      </c>
    </row>
    <row r="299">
      <c r="A299" s="4" t="inlineStr">
        <is>
          <t>UA-2026-03-12-003768-a</t>
        </is>
      </c>
      <c r="B299" t="inlineStr">
        <is>
          <t>2026-03-25</t>
        </is>
      </c>
      <c r="C299" t="inlineStr">
        <is>
          <t>ТОВ "МОБАЙЛ АЙТІ"</t>
        </is>
      </c>
      <c r="D299" t="inlineStr">
        <is>
          <t>39759248</t>
        </is>
      </c>
      <c r="E299" t="inlineStr">
        <is>
          <t>КП "Медичне об'єднання Луцької міської територіальної громади"</t>
        </is>
      </c>
      <c r="F299" s="13" t="n">
        <v>190304.1</v>
      </c>
      <c r="G299" t="inlineStr">
        <is>
          <t>Невідповідність технічним вимогам</t>
        </is>
      </c>
      <c r="H299" t="inlineStr">
        <is>
          <t>не відповідає умовам технічної специфікації та іншим вимогам щодо предмета закупівлі тендерної документації, крім невідповідності в інформації та/або документах, що може бути усунена учасником процедури закупівлі відповідно до пункту 43 Особливостей;; не відповідає вимогам, установленим у тендерній документації відповідно до абзацу першого частини третьої статті 22 Закону;</t>
        </is>
      </c>
      <c r="I299" t="inlineStr">
        <is>
          <t>не відповідає умовам технічної специфікації та іншим вимогам щодо предмета закупівлі тендерної документації, крім невідповідності в інформації та/або документах, що може бути усунена учасником процедури закупівлі відповідно до пункту 43 Особливостей; не відповідає вимогам, установленим у тендерній документації відповідно до абзацу першого частини третьої статті 22 Закону;</t>
        </is>
      </c>
    </row>
    <row r="300">
      <c r="A300" s="4" t="inlineStr">
        <is>
          <t>UA-2026-03-12-003768-a</t>
        </is>
      </c>
      <c r="B300" t="inlineStr">
        <is>
          <t>2026-03-24</t>
        </is>
      </c>
      <c r="C300" t="inlineStr">
        <is>
          <t>ТОВ «ЮДІТРЕЙД»</t>
        </is>
      </c>
      <c r="D300" t="inlineStr">
        <is>
          <t>42036301</t>
        </is>
      </c>
      <c r="E300" t="inlineStr">
        <is>
          <t>КП "Медичне об'єднання Луцької міської територіальної громади"</t>
        </is>
      </c>
      <c r="F300" s="13" t="n">
        <v>189804</v>
      </c>
      <c r="G300" t="inlineStr">
        <is>
          <t>Невідповідність технічним вимогам</t>
        </is>
      </c>
      <c r="H300" t="inlineStr">
        <is>
          <t>не відповідає умовам технічної специфікації та іншим вимогам щодо предмета закупівлі тендерної документації, крім невідповідності в інформації та/або документах, що може бути усунена учасником процедури закупівлі відповідно до пункту 43 Особливостей;; не відповідає вимогам, установленим у тендерній документації відповідно до абзацу першого частини третьої статті 22 Закону;</t>
        </is>
      </c>
      <c r="I300" t="inlineStr">
        <is>
          <t>не відповідає умовам технічної специфікації та іншим вимогам щодо предмета закупівлі тендерної документації, крім невідповідності в інформації та/або документах, що може бути усунена учасником процедури закупівлі відповідно до пункту 43 Особливостей; не відповідає вимогам, установленим у тендерній документації відповідно до абзацу першого частини третьої статті 22 Закону;</t>
        </is>
      </c>
    </row>
    <row r="301">
      <c r="A301" s="4" t="inlineStr">
        <is>
          <t>UA-2025-11-11-016296-a</t>
        </is>
      </c>
      <c r="B301" t="inlineStr">
        <is>
          <t>2025-12-01</t>
        </is>
      </c>
      <c r="C301" t="inlineStr">
        <is>
          <t>ФОП "СРИВКІН СЕРГІЙ БОРИСОВИЧ"</t>
        </is>
      </c>
      <c r="D301" t="inlineStr">
        <is>
          <t>2874302850</t>
        </is>
      </c>
      <c r="E301" t="inlineStr">
        <is>
          <t>ЛІЦЕЙ ІМЕНІ ОЛЕКСАНДРА ЦИНКАЛОВСЬКОГО ВОЛОДИМИРСЬКОЇ МІСЬКОЇ РАДИ</t>
        </is>
      </c>
      <c r="F301" s="13" t="n">
        <v>184800</v>
      </c>
      <c r="G301" t="inlineStr">
        <is>
          <t>Відмова від договору</t>
        </is>
      </c>
      <c r="H301" t="inlineStr">
        <is>
          <t>Переможець письмово відмовився від укладання договору на умовах, визначених у запиті пропозицій постачальників</t>
        </is>
      </c>
      <c r="I301" t="inlineStr">
        <is>
          <t>дискваліфікувати</t>
        </is>
      </c>
    </row>
    <row r="302">
      <c r="A302" s="4" t="inlineStr">
        <is>
          <t>UA-2026-04-21-012151-a</t>
        </is>
      </c>
      <c r="B302" t="inlineStr">
        <is>
          <t>2026-05-04</t>
        </is>
      </c>
      <c r="C302" t="inlineStr">
        <is>
          <t>ТОВ "СИСТЕМАТИКА УКРАЇНА"</t>
        </is>
      </c>
      <c r="D302" t="inlineStr">
        <is>
          <t>40175293</t>
        </is>
      </c>
      <c r="E302" t="inlineStr">
        <is>
          <t>КП "Медичне об'єднання Луцької міської територіальної громади"</t>
        </is>
      </c>
      <c r="F302" s="13" t="n">
        <v>184005</v>
      </c>
      <c r="G302" t="inlineStr">
        <is>
          <t>Невідповідність технічним вимогам</t>
        </is>
      </c>
      <c r="H302" t="inlineStr">
        <is>
          <t>не відповідає умовам технічної специфікації та іншим вимогам щодо предмета закупівлі тендерної документації, крім невідповідності в інформації та/або документах, що може бути усунена учасником процедури закупівлі відповідно до пункту 43 Особливостей;</t>
        </is>
      </c>
      <c r="I302" t="inlineStr">
        <is>
          <t>не відповідає умовам технічної специфікації та іншим вимогам щодо предмета закупівлі тендерної документації, крім невідповідності в інформації та/або документах, що може бути усунена учасником процедури закупівлі відповідно до пункту 43 Особливостей;</t>
        </is>
      </c>
    </row>
    <row r="303">
      <c r="A303" s="4" t="inlineStr">
        <is>
          <t>UA-2026-01-21-014002-a</t>
        </is>
      </c>
      <c r="B303" t="inlineStr">
        <is>
          <t>2026-02-02</t>
        </is>
      </c>
      <c r="C303" t="inlineStr">
        <is>
          <t>ТОВ "СИСТЕМАТИКА УКРАЇНА"</t>
        </is>
      </c>
      <c r="D303" t="inlineStr">
        <is>
          <t>40175293</t>
        </is>
      </c>
      <c r="E303" t="inlineStr">
        <is>
          <t>Територіальне управління Державної судової адміністрації України в Волинській області</t>
        </is>
      </c>
      <c r="F303" s="13" t="n">
        <v>183384</v>
      </c>
      <c r="G303" t="inlineStr">
        <is>
          <t>Не надав забезпечення</t>
        </is>
      </c>
      <c r="H303" t="inlineStr">
        <is>
          <t>Переможець не надав забезпечення виконання договору у строк, визначений пунктом 66 цього Порядку</t>
        </is>
      </c>
      <c r="I303" t="inlineStr">
        <is>
          <t>У зв’язку з тим, що ТОВ "СИСТЕМАТИКА УКРАЇНА" (код ЄДРПОУ 40175293), визначено переможцем 26.01.2026, станом на 02.02.2026 не вийшли на зв’язок для підписання договору, виникла необхідність відхилення пропозиції у зв’язку з не підписанням договору у встановлений строк, відповідно до абзацу першого пункту 66 Порядку.</t>
        </is>
      </c>
    </row>
    <row r="304">
      <c r="A304" s="4" t="inlineStr">
        <is>
          <t>UA-2025-11-11-014988-a</t>
        </is>
      </c>
      <c r="B304" t="inlineStr">
        <is>
          <t>2025-11-17</t>
        </is>
      </c>
      <c r="C304" t="inlineStr">
        <is>
          <t>ФОП "СРИВКІН СЕРГІЙ БОРИСОВИЧ"</t>
        </is>
      </c>
      <c r="D304" t="inlineStr">
        <is>
          <t>2874302850</t>
        </is>
      </c>
      <c r="E304" t="inlineStr">
        <is>
          <t>ЛІЦЕЙ ІМЕНІ ОЛЕКСАНДРА ЦИНКАЛОВСЬКОГО ВОЛОДИМИРСЬКОЇ МІСЬКОЇ РАДИ</t>
        </is>
      </c>
      <c r="F304" s="13" t="n">
        <v>180000</v>
      </c>
      <c r="G304" t="inlineStr">
        <is>
          <t>Відмова від договору</t>
        </is>
      </c>
      <c r="H304" t="inlineStr">
        <is>
          <t>Переможець письмово відмовився від укладання договору на умовах, визначених у запиті пропозицій постачальників</t>
        </is>
      </c>
      <c r="I304" t="inlineStr">
        <is>
          <t>дискваліфікувати</t>
        </is>
      </c>
    </row>
    <row r="305">
      <c r="A305" s="4" t="inlineStr">
        <is>
          <t>UA-2025-11-11-016296-a</t>
        </is>
      </c>
      <c r="B305" t="inlineStr">
        <is>
          <t>2025-11-28</t>
        </is>
      </c>
      <c r="C305" t="inlineStr">
        <is>
          <t>ФОП "МИСЬКО АНДРІЙ ІВАНОВИЧ"</t>
        </is>
      </c>
      <c r="D305" t="inlineStr">
        <is>
          <t>2802607691</t>
        </is>
      </c>
      <c r="E305" t="inlineStr">
        <is>
          <t>ЛІЦЕЙ ІМЕНІ ОЛЕКСАНДРА ЦИНКАЛОВСЬКОГО ВОЛОДИМИРСЬКОЇ МІСЬКОЇ РАДИ</t>
        </is>
      </c>
      <c r="F305" s="13" t="n">
        <v>178500</v>
      </c>
      <c r="G305" t="inlineStr">
        <is>
          <t>Не надав документи</t>
        </is>
      </c>
      <c r="H305" t="inlineStr">
        <is>
          <t>Переможець не надав документ про реєстрацію у прийнятній країні та/або інформацію про те, що до переможця відбору, його кінцевих бенефіціарних власників, членів або учасників (акціонерів) не застосовано обмежувальні заходи у вигляді санкцій Європейського Союзу та/або про те, що не знаходяться у санкційному списку Європейського Союзу. Або зазначена інформація надана з порушенням вимог</t>
        </is>
      </c>
      <c r="I305" t="inlineStr">
        <is>
          <t>дискваліфікувати</t>
        </is>
      </c>
    </row>
    <row r="306">
      <c r="A306" s="4" t="inlineStr">
        <is>
          <t>UA-2025-11-11-016296-a</t>
        </is>
      </c>
      <c r="B306" t="inlineStr">
        <is>
          <t>2025-11-24</t>
        </is>
      </c>
      <c r="C306" t="inlineStr">
        <is>
          <t>ФОП "ГРІНЧЕНКО ЗОЯ ОЛЕКСІЇВНА"</t>
        </is>
      </c>
      <c r="D306" t="inlineStr">
        <is>
          <t>1964608205</t>
        </is>
      </c>
      <c r="E306" t="inlineStr">
        <is>
          <t>ЛІЦЕЙ ІМЕНІ ОЛЕКСАНДРА ЦИНКАЛОВСЬКОГО ВОЛОДИМИРСЬКОЇ МІСЬКОЇ РАДИ</t>
        </is>
      </c>
      <c r="F306" s="13" t="n">
        <v>170800</v>
      </c>
      <c r="G306" t="inlineStr">
        <is>
          <t>Не надав документи</t>
        </is>
      </c>
      <c r="H306" t="inlineStr">
        <is>
          <t>Переможець не надав документ про реєстрацію у прийнятній країні та/або інформацію про те, що до переможця відбору, його кінцевих бенефіціарних власників, членів або учасників (акціонерів) не застосовано обмежувальні заходи у вигляді санкцій Європейського Союзу та/або про те, що не знаходяться у санкційному списку Європейського Союзу. Або зазначена інформація надана з порушенням вимог</t>
        </is>
      </c>
      <c r="I306" t="inlineStr">
        <is>
          <t>дискваліфікувати</t>
        </is>
      </c>
    </row>
    <row r="307">
      <c r="A307" s="4" t="inlineStr">
        <is>
          <t>UA-2025-11-11-016296-a</t>
        </is>
      </c>
      <c r="B307" t="inlineStr">
        <is>
          <t>2025-11-19</t>
        </is>
      </c>
      <c r="C307" t="inlineStr">
        <is>
          <t>ФОП Козловський Сергій Павлович</t>
        </is>
      </c>
      <c r="D307" t="inlineStr">
        <is>
          <t>2948314313</t>
        </is>
      </c>
      <c r="E307" t="inlineStr">
        <is>
          <t>ЛІЦЕЙ ІМЕНІ ОЛЕКСАНДРА ЦИНКАЛОВСЬКОГО ВОЛОДИМИРСЬКОЇ МІСЬКОЇ РАДИ</t>
        </is>
      </c>
      <c r="F307" s="13" t="n">
        <v>166343.52</v>
      </c>
      <c r="G307" t="inlineStr">
        <is>
          <t>Відмова від договору</t>
        </is>
      </c>
      <c r="H307" t="inlineStr">
        <is>
          <t>Переможець письмово відмовився від укладання договору на умовах, визначених у запиті пропозицій постачальників</t>
        </is>
      </c>
      <c r="I307" t="inlineStr">
        <is>
          <t>дискваліфікувати</t>
        </is>
      </c>
    </row>
    <row r="308">
      <c r="A308" s="4" t="inlineStr">
        <is>
          <t>UA-2025-09-30-005210-a</t>
        </is>
      </c>
      <c r="B308" t="inlineStr">
        <is>
          <t>2025-10-08</t>
        </is>
      </c>
      <c r="C308" t="inlineStr">
        <is>
          <t>ФОП "ТКАЧЕНКО АННА ВОЛОДИМИРІВНА "</t>
        </is>
      </c>
      <c r="D308" t="inlineStr">
        <is>
          <t>3609702048</t>
        </is>
      </c>
      <c r="E308" t="inlineStr">
        <is>
          <t>ВОЛИНСЬКА ОБЛАСНА ПРОКУРАТУРА</t>
        </is>
      </c>
      <c r="F308" s="13" t="n">
        <v>162000</v>
      </c>
      <c r="G308" t="inlineStr">
        <is>
          <t>Відмова від договору</t>
        </is>
      </c>
      <c r="H308" t="inlineStr">
        <is>
          <t>письмово відмовився від укладання договору на умовах, визначених у запиті пропозицій постачальників</t>
        </is>
      </c>
      <c r="I308" t="inlineStr">
        <is>
          <t>Постачальник письмово відмовився від укладання договору на умовах, визначених у запиті пропозицій постачальників</t>
        </is>
      </c>
    </row>
    <row r="309">
      <c r="A309" s="4" t="inlineStr">
        <is>
          <t>UA-2025-09-30-005210-a</t>
        </is>
      </c>
      <c r="B309" t="inlineStr">
        <is>
          <t>2025-10-06</t>
        </is>
      </c>
      <c r="C309" t="inlineStr">
        <is>
          <t>ФОП ПРІСИЧ ДМИТРО МИКОЛАЙОВИЧ</t>
        </is>
      </c>
      <c r="D309" t="inlineStr">
        <is>
          <t>3248805838</t>
        </is>
      </c>
      <c r="E309" t="inlineStr">
        <is>
          <t>ВОЛИНСЬКА ОБЛАСНА ПРОКУРАТУРА</t>
        </is>
      </c>
      <c r="F309" s="13" t="n">
        <v>161856</v>
      </c>
      <c r="G309" t="inlineStr">
        <is>
          <t>Відмова від договору</t>
        </is>
      </c>
      <c r="H309" t="inlineStr">
        <is>
          <t>письмово відмовився від укладання договору на умовах, визначених у запиті пропозицій постачальників</t>
        </is>
      </c>
      <c r="I309" t="inlineStr">
        <is>
          <t>Постачальник письмово відмовився від укладання договору на умовах, визначених у запиті пропозицій постачальників</t>
        </is>
      </c>
    </row>
    <row r="310">
      <c r="A310" s="4" t="inlineStr">
        <is>
          <t>UA-2026-02-06-003851-a</t>
        </is>
      </c>
      <c r="B310" t="inlineStr">
        <is>
          <t>2026-02-16</t>
        </is>
      </c>
      <c r="C310" t="inlineStr">
        <is>
          <t>ФОП "Гріпіч Тетяна Борисівна"</t>
        </is>
      </c>
      <c r="D310" t="inlineStr">
        <is>
          <t>2850105825</t>
        </is>
      </c>
      <c r="E310" t="inlineStr">
        <is>
          <t>ДЕПАРТАМЕНТ З ПИТАНЬ ВЕТЕРАНСЬКОЇ ПОЛІТИКИ ЛУЦЬКОЇ МІСЬКОЇ РАДИ</t>
        </is>
      </c>
      <c r="F310" s="13" t="n">
        <v>159300</v>
      </c>
      <c r="G310" t="inlineStr">
        <is>
          <t>Відмова від договору</t>
        </is>
      </c>
      <c r="H310" t="inlineStr">
        <is>
          <t>Переможець письмово відмовився від укладення договору на умовах, визначених замовником у запиті пропозицій постачальників, шляхом заповнення електронних форм з окремими полями та у проекті договору, що є складовою частиною запиту пропозицій постачальників</t>
        </is>
      </c>
      <c r="I310" t="inlineStr">
        <is>
          <t>Переможець запропонував іншу модель Моноблок HP 240 G10 AiO, яка за технічними, якісними та кількісними характеристиками не відповідає предмету закупівлі</t>
        </is>
      </c>
    </row>
    <row r="311">
      <c r="A311" s="4" t="inlineStr">
        <is>
          <t>UA-2026-02-06-003851-a</t>
        </is>
      </c>
      <c r="B311" t="inlineStr">
        <is>
          <t>2026-02-12</t>
        </is>
      </c>
      <c r="C311" t="inlineStr">
        <is>
          <t>ТОВ "ТІНОС-Д"</t>
        </is>
      </c>
      <c r="D311" t="inlineStr">
        <is>
          <t>42289645</t>
        </is>
      </c>
      <c r="E311" t="inlineStr">
        <is>
          <t>ДЕПАРТАМЕНТ З ПИТАНЬ ВЕТЕРАНСЬКОЇ ПОЛІТИКИ ЛУЦЬКОЇ МІСЬКОЇ РАДИ</t>
        </is>
      </c>
      <c r="F311" s="13" t="n">
        <v>157824</v>
      </c>
      <c r="G311" t="inlineStr">
        <is>
          <t>Відмова від договору</t>
        </is>
      </c>
      <c r="H311" t="inlineStr">
        <is>
          <t>Переможець письмово відмовився від укладення договору на умовах, визначених замовником у запиті пропозицій постачальників, шляхом заповнення електронних форм з окремими полями та у проекті договору, що є складовою частиною запиту пропозицій постачальників</t>
        </is>
      </c>
      <c r="I311" t="inlineStr">
        <is>
          <t>Переможець письмово відмовився від укладення договорумовах, визначених замовником у запиті пропозицій постачальників, у звязку з відсутністю товару на складах.</t>
        </is>
      </c>
    </row>
    <row r="312">
      <c r="A312" s="4" t="inlineStr">
        <is>
          <t>UA-2025-11-13-015196-a</t>
        </is>
      </c>
      <c r="B312" t="inlineStr">
        <is>
          <t>2025-12-30</t>
        </is>
      </c>
      <c r="C312" t="inlineStr">
        <is>
          <t>ФОП "Цурман Людмила Геннадіївна"</t>
        </is>
      </c>
      <c r="D312" t="inlineStr">
        <is>
          <t>3493710687</t>
        </is>
      </c>
      <c r="E312" t="inlineStr">
        <is>
          <t>ВІДОКРЕМЛЕНИЙ СТРУКТУРНИЙ ПІДРОЗДІЛ "ВОЛИНСЬКИЙ ФАХОВИЙ КОЛЕДЖ НАЦІОНАЛЬНОГО УНІВЕРСИТЕТУ ХАРЧОВИХ ТЕХНОЛОГІЙ"</t>
        </is>
      </c>
      <c r="F312" s="13" t="n">
        <v>156000</v>
      </c>
      <c r="G312" t="inlineStr">
        <is>
          <t>Відмова від договору</t>
        </is>
      </c>
      <c r="H312" t="inlineStr">
        <is>
          <t>Відмовився від підписання договору про закупівлю відповідно до вимог тендерної документації або укладення договору про закупівлю</t>
        </is>
      </c>
      <c r="I312" t="inlineStr">
        <is>
          <t>Відхилити тендерну пропозицію Учасника-Переможця на підставі абзацу 2 підпункту 3 пункту 44 Особливостей, а саме: переможець процедури закупівлі не підписав договір про закупівлю у строк, визначений законом та Особливостями.</t>
        </is>
      </c>
    </row>
    <row r="313">
      <c r="A313" s="4" t="inlineStr">
        <is>
          <t>UA-2025-09-26-012440-a</t>
        </is>
      </c>
      <c r="B313" t="inlineStr">
        <is>
          <t>2025-10-15</t>
        </is>
      </c>
      <c r="C313" t="inlineStr">
        <is>
          <t>ФОП Рибак Евеліна Василівна</t>
        </is>
      </c>
      <c r="D313" t="inlineStr">
        <is>
          <t>3701802602</t>
        </is>
      </c>
      <c r="E313" t="inlineStr">
        <is>
          <t>Військова частина А 0959</t>
        </is>
      </c>
      <c r="F313" s="13" t="n">
        <v>155490</v>
      </c>
      <c r="G313" t="inlineStr">
        <is>
          <t>Невідповідність вимогам документації</t>
        </is>
      </c>
      <c r="H313" t="inlineStr">
        <is>
          <t>Пропозиція учасника не відповідає умовам, визначеним в оголошенні про проведення спрощеної закупівлі, та вимогам до предмета закупівлі</t>
        </is>
      </c>
      <c r="I313" t="inlineStr">
        <is>
          <t>Пропозиція учасника не відповідає умовам, визначеним в оголошенні про проведення спрощеної закупівлі, та вимогам до предмета закупівлі</t>
        </is>
      </c>
    </row>
    <row r="314">
      <c r="A314" s="4" t="inlineStr">
        <is>
          <t>UA-2026-08-11-011984-a</t>
        </is>
      </c>
      <c r="B314" t="inlineStr">
        <is>
          <t>2026-08-14</t>
        </is>
      </c>
      <c r="C314" t="inlineStr">
        <is>
          <t>ТОВ "ПРИВАТЕНЕРГО"</t>
        </is>
      </c>
      <c r="D314" t="inlineStr">
        <is>
          <t>36253988</t>
        </is>
      </c>
      <c r="E314" t="inlineStr">
        <is>
          <t>Виконавчий комітет Луцької міської ради</t>
        </is>
      </c>
      <c r="F314" s="13" t="n">
        <v>154500</v>
      </c>
      <c r="G314" t="inlineStr">
        <is>
          <t>Відмова від договору</t>
        </is>
      </c>
      <c r="H314" t="inlineStr">
        <is>
          <t>Переможець письмово відмовився від укладення договору на умовах, визначених замовником у запиті пропозицій постачальників, шляхом заповнення електронних форм з окремими полями та у проекті договору, що є складовою частиною запиту пропозицій постачальників</t>
        </is>
      </c>
      <c r="I314" t="inlineStr">
        <is>
          <t>Переможець письмово відмовився від укладення договору на умовах, визначених замовником у запиті пропозицій постачальників, шляхом заповнення електронних форм з окремими полями та у проекті договору, що є складовою частиною запиту пропозицій постачальників</t>
        </is>
      </c>
    </row>
    <row r="315">
      <c r="A315" s="4" t="inlineStr">
        <is>
          <t>UA-2025-09-16-008784-a</t>
        </is>
      </c>
      <c r="B315" t="inlineStr">
        <is>
          <t>2025-09-30</t>
        </is>
      </c>
      <c r="C315" t="inlineStr">
        <is>
          <t>ТОВ "СИСТЕМАТИКА УКРАЇНА"</t>
        </is>
      </c>
      <c r="D315" t="inlineStr">
        <is>
          <t>40175293</t>
        </is>
      </c>
      <c r="E315" t="inlineStr">
        <is>
          <t>КП "Медичне об'єднання Луцької міської територіальної громади"</t>
        </is>
      </c>
      <c r="F315" s="13" t="n">
        <v>152985</v>
      </c>
      <c r="G315" t="inlineStr">
        <is>
          <t>Невідповідність технічним вимогам</t>
        </is>
      </c>
      <c r="H315" t="inlineStr">
        <is>
          <t>не відповідає умовам технічної специфікації та іншим вимогам щодо предмета закупівлі тендерної документації, крім невідповідності в інформації та/або документах, що може бути усунена учасником процедури закупівлі відповідно до пункту 43 Особливостей;</t>
        </is>
      </c>
      <c r="I315" t="inlineStr">
        <is>
          <t>не відповідає умовам технічної специфікації та іншим вимогам щодо предмета закупівлі тендерної документації, крім невідповідності в інформації та/або документах, що може бути усунена учасником процедури закупівлі відповідно до пункту 43 Особливостей;</t>
        </is>
      </c>
    </row>
    <row r="316">
      <c r="A316" s="4" t="inlineStr">
        <is>
          <t>UA-2025-09-02-009042-a</t>
        </is>
      </c>
      <c r="B316" t="inlineStr">
        <is>
          <t>2025-09-16</t>
        </is>
      </c>
      <c r="C316" t="inlineStr">
        <is>
          <t>ТОВ "СИСТЕМАТИКА УКРАЇНА"</t>
        </is>
      </c>
      <c r="D316" t="inlineStr">
        <is>
          <t>40175293</t>
        </is>
      </c>
      <c r="E316" t="inlineStr">
        <is>
          <t>КП "Медичне об'єднання Луцької міської територіальної громади"</t>
        </is>
      </c>
      <c r="F316" s="13" t="n">
        <v>152985</v>
      </c>
      <c r="G316" t="inlineStr">
        <is>
          <t>Невідповідність технічним вимогам</t>
        </is>
      </c>
      <c r="H316" t="inlineStr">
        <is>
          <t>не відповідає умовам технічної специфікації та іншим вимогам щодо предмета закупівлі тендерної документації, крім невідповідності в інформації та/або документах, що може бути усунена учасником процедури закупівлі відповідно до пункту 43 Особливостей;</t>
        </is>
      </c>
      <c r="I316" t="inlineStr">
        <is>
          <t>не відповідає умовам технічної специфікації та іншим вимогам щодо предмета закупівлі тендерної документації, крім невідповідності в інформації та/або документах, що може бути усунена учасником процедури закупівлі відповідно до пункту 43 Особливостей;</t>
        </is>
      </c>
    </row>
    <row r="317">
      <c r="A317" s="4" t="inlineStr">
        <is>
          <t>UA-2025-09-05-006416-a</t>
        </is>
      </c>
      <c r="B317" t="inlineStr">
        <is>
          <t>2025-09-10</t>
        </is>
      </c>
      <c r="C317" t="inlineStr">
        <is>
          <t>ФОП ПРІСИЧ ДМИТРО МИКОЛАЙОВИЧ</t>
        </is>
      </c>
      <c r="D317" t="inlineStr">
        <is>
          <t>3248805838</t>
        </is>
      </c>
      <c r="E317" t="inlineStr">
        <is>
          <t>Заклад професійної (професійно-технічної) освіти "Регіональний професійний коледж м. Володимир"</t>
        </is>
      </c>
      <c r="F317" s="13" t="n">
        <v>148335</v>
      </c>
      <c r="G317" t="inlineStr">
        <is>
          <t>Відмова від договору</t>
        </is>
      </c>
      <c r="H317" t="inlineStr">
        <is>
          <t>письмово відмовився від укладання договору на умовах, визначених у запиті пропозицій постачальників</t>
        </is>
      </c>
      <c r="I317" t="inlineStr">
        <is>
          <t>Станом на “10” вересня 2025р. від переможця процедури ФІЗИЧНА ОСОБА-ПІДПРИЄМЕЦЬ ПРІСИЧ ДМИТРО МИКОЛАЙОВИЧ, ІПН - 3248805838 отримано лист від 10.09.2025р. з повідомленням про відмову від підписання договору на умовах, визначених замовником у запиті пропозицій постачальників, зокрема у проекті договору, що є складовою частиною запиту пропозицій постачальників; Керуючись підпунктом 2 пункту 64 Порядку «Замовник відхиляє тендерну пропозицію із зазначенням аргументації в електронній системі закупіве</t>
        </is>
      </c>
    </row>
    <row r="318">
      <c r="A318" s="4" t="inlineStr">
        <is>
          <t>UA-2025-09-26-012440-a</t>
        </is>
      </c>
      <c r="B318" t="inlineStr">
        <is>
          <t>2025-10-09</t>
        </is>
      </c>
      <c r="C318" t="inlineStr">
        <is>
          <t>ТОВ «ПБГ19»</t>
        </is>
      </c>
      <c r="D318" t="inlineStr">
        <is>
          <t>45701274</t>
        </is>
      </c>
      <c r="E318" t="inlineStr">
        <is>
          <t>Військова частина А 0959</t>
        </is>
      </c>
      <c r="F318" s="13" t="n">
        <v>145000</v>
      </c>
      <c r="G318" t="inlineStr">
        <is>
          <t>Невідповідність вимогам документації</t>
        </is>
      </c>
      <c r="H318" t="inlineStr">
        <is>
          <t>Пропозиція учасника не відповідає умовам, визначеним в оголошенні про проведення спрощеної закупівлі, та вимогам до предмета закупівлі</t>
        </is>
      </c>
      <c r="I318" t="inlineStr">
        <is>
          <t>Пропозиція учасника не відповідає умовам, визначеним в оголошенні про проведення спрощеної закупівлі, та вимогам до предмета закупівлі</t>
        </is>
      </c>
    </row>
    <row r="319">
      <c r="A319" s="4" t="inlineStr">
        <is>
          <t>UA-2025-10-24-012403-a</t>
        </is>
      </c>
      <c r="B319" t="inlineStr">
        <is>
          <t>2025-11-10</t>
        </is>
      </c>
      <c r="C319" t="inlineStr">
        <is>
          <t>ТОВ "ПАВЕРТРЕЙД"</t>
        </is>
      </c>
      <c r="D319" t="inlineStr">
        <is>
          <t>43120417</t>
        </is>
      </c>
      <c r="E319" t="inlineStr">
        <is>
          <t>Територіальне управління Державної судової адміністрації України в Волинській області</t>
        </is>
      </c>
      <c r="F319" s="13" t="n">
        <v>140484</v>
      </c>
      <c r="G319" t="inlineStr">
        <is>
          <t>Відмова від договору</t>
        </is>
      </c>
      <c r="H319" t="inlineStr">
        <is>
          <t>Переможець письмово відмовився від укладання договору на умовах, визначених у запиті пропозицій постачальників</t>
        </is>
      </c>
      <c r="I319" t="inlineStr">
        <is>
          <t>У зв’язку з тим, що ТОВ "ПАВЕРТРЕЙД" (код ЄДРПОУ 43120417), визначена переможцем 04.11.2025, станом на 10.11.2025 не вийшли на зв’язок для підписання договору, виникла необхідність відхилення її пропозиції у зв’язку з не підписанням договору у встановлений строк, відповідно до абзацу першого пункту 66 Порядку.</t>
        </is>
      </c>
    </row>
    <row r="320">
      <c r="A320" s="4" t="inlineStr">
        <is>
          <t>UA-2025-10-24-012403-a</t>
        </is>
      </c>
      <c r="B320" t="inlineStr">
        <is>
          <t>2025-11-04</t>
        </is>
      </c>
      <c r="C320" t="inlineStr">
        <is>
          <t>ТОВ "Епіцентр К"</t>
        </is>
      </c>
      <c r="D320" t="inlineStr">
        <is>
          <t>32490244</t>
        </is>
      </c>
      <c r="E320" t="inlineStr">
        <is>
          <t>Територіальне управління Державної судової адміністрації України в Волинській області</t>
        </is>
      </c>
      <c r="F320" s="13" t="n">
        <v>138000</v>
      </c>
      <c r="G320" t="inlineStr">
        <is>
          <t>Не підписав договір у строк</t>
        </is>
      </c>
      <c r="H320" t="inlineStr">
        <is>
          <t>Переможець не підписав договір у строк, визначений абзацом першим пункту 66 цього Порядку</t>
        </is>
      </c>
      <c r="I320" t="inlineStr">
        <is>
          <t>У зв’язку з тим, що ТОВ "Епіцентр К", визначена переможцем 29.10.2025, станом на 04.11.2025 не вийшли на зв’язок для підписання договору, виникла необхідність відхилення її пропозиції у зв’язку з не підписанням договору у встановлений строк, відповідно до абзацу першого пункту 66 Порядку.</t>
        </is>
      </c>
    </row>
    <row r="321">
      <c r="A321" s="4" t="inlineStr">
        <is>
          <t>UA-2025-10-01-005167-a</t>
        </is>
      </c>
      <c r="B321" t="inlineStr">
        <is>
          <t>2025-10-13</t>
        </is>
      </c>
      <c r="C321" t="inlineStr">
        <is>
          <t>ФОП "СРИВКІН СЕРГІЙ БОРИСОВИЧ"</t>
        </is>
      </c>
      <c r="D321" t="inlineStr">
        <is>
          <t>2874302850</t>
        </is>
      </c>
      <c r="E321" t="inlineStr">
        <is>
          <t>УПРАВЛІННЯ ГУМАНІТАРНОЇ ПОЛІТИКИ ЛОКАЧИНСЬКОЇ СЕЛИЩНОЇ РАДИ</t>
        </is>
      </c>
      <c r="F321" s="13" t="n">
        <v>137250</v>
      </c>
      <c r="G321" t="inlineStr">
        <is>
          <t>Відмова від договору</t>
        </is>
      </c>
      <c r="H321" t="inlineStr">
        <is>
          <t>письмово відмовився від укладання договору на умовах, визначених у запиті пропозицій постачальників</t>
        </is>
      </c>
      <c r="I321" t="inlineStr">
        <is>
          <t>письмово відмовився від укладання договору на умовах, визначених у запиті пропозицій постачальників</t>
        </is>
      </c>
    </row>
    <row r="322">
      <c r="A322" s="4" t="inlineStr">
        <is>
          <t>UA-2025-11-17-012888-a</t>
        </is>
      </c>
      <c r="B322" t="inlineStr">
        <is>
          <t>2025-12-01</t>
        </is>
      </c>
      <c r="C322" t="inlineStr">
        <is>
          <t>ТОВ «ПБГ19»</t>
        </is>
      </c>
      <c r="D322" t="inlineStr">
        <is>
          <t>45701274</t>
        </is>
      </c>
      <c r="E322" t="inlineStr">
        <is>
          <t>Відділ освіти, культури, молоді та спорту Підгайцівської сільської ради</t>
        </is>
      </c>
      <c r="F322" s="13" t="n">
        <v>132882</v>
      </c>
      <c r="G322" t="inlineStr">
        <is>
          <t>Невідповідність вимогам документації</t>
        </is>
      </c>
      <c r="H322" t="inlineStr">
        <is>
          <t>не відповідає вимогам, установленим у тендерній документації відповідно до абзацу першого частини третьої статті 22 Закону;</t>
        </is>
      </c>
      <c r="I322" t="inlineStr">
        <is>
          <t>не відповідає вимогам, установленим у тендерній документації відповідно до абзацу першого частини третьої статті 22 Закону;</t>
        </is>
      </c>
    </row>
    <row r="323">
      <c r="A323" s="4" t="inlineStr">
        <is>
          <t>UA-2026-06-19-011119-a</t>
        </is>
      </c>
      <c r="B323" t="inlineStr">
        <is>
          <t>2026-06-30</t>
        </is>
      </c>
      <c r="C323" t="inlineStr">
        <is>
          <t>ТОВ «ПОРТАЛ АРЕНА»</t>
        </is>
      </c>
      <c r="D323" t="inlineStr">
        <is>
          <t>45119322</t>
        </is>
      </c>
      <c r="E323" t="inlineStr">
        <is>
          <t>ВІДДІЛ ОСВІТИ КОЛКІВСЬКОЇ СЕЛИЩНОЇ РАДИ ВОЛИНСЬКОЇ ОБЛАСТІ</t>
        </is>
      </c>
      <c r="F323" s="13" t="n">
        <v>122400</v>
      </c>
      <c r="G323" t="inlineStr">
        <is>
          <t>Не підписав договір у строк</t>
        </is>
      </c>
      <c r="H323" t="inlineStr">
        <is>
          <t>не підписав договір, на умовах, визначених замовником у запиті пропозицій постачальників шляхом заповнення електронних форм із окремими полями та у проекті договору, що є складовою частиною запиту пропозицій постачальників у строк, визначений пунктом 66 цього Порядку</t>
        </is>
      </c>
      <c r="I323" t="inlineStr">
        <is>
          <t>не підписав договір, на умовах, визначених замовником у запиті пропозицій постачальників шляхом заповнення електронних форм із окремими полями та у проекті договору, що є складовою частиною запиту пропозицій постачальників у строк, визначений пунктом 66 цього Порядку</t>
        </is>
      </c>
    </row>
    <row r="324">
      <c r="A324" s="4" t="inlineStr">
        <is>
          <t>UA-2026-04-09-009013-a</t>
        </is>
      </c>
      <c r="B324" t="inlineStr">
        <is>
          <t>2026-04-16</t>
        </is>
      </c>
      <c r="C324" t="inlineStr">
        <is>
          <t>ТОВ "ТОП ЮНІТІ"</t>
        </is>
      </c>
      <c r="D324" t="inlineStr">
        <is>
          <t>44754310</t>
        </is>
      </c>
      <c r="E324" t="inlineStr">
        <is>
          <t>Державний архів Волинської області</t>
        </is>
      </c>
      <c r="F324" s="13" t="n">
        <v>120000</v>
      </c>
      <c r="G324" t="inlineStr">
        <is>
          <t>Відмова від договору</t>
        </is>
      </c>
      <c r="H324" t="inlineStr">
        <is>
          <t>письмово відмовився від укладення договору на умовах, визначених замовником у запиті пропозицій постачальників, шляхом заповнення електронних форм з окремими полями та у проекті договору, що є складовою частиною запиту пропозицій постачальників.</t>
        </is>
      </c>
      <c r="I324" t="inlineStr">
        <is>
          <t>письмово відмовився від укладення договору</t>
        </is>
      </c>
    </row>
    <row r="325">
      <c r="A325" s="4" t="inlineStr">
        <is>
          <t>UA-2025-11-07-009521-a</t>
        </is>
      </c>
      <c r="B325" t="inlineStr">
        <is>
          <t>2025-11-26</t>
        </is>
      </c>
      <c r="C325" t="inlineStr">
        <is>
          <t>ТОВ «ПБГ19»</t>
        </is>
      </c>
      <c r="D325" t="inlineStr">
        <is>
          <t>45701274</t>
        </is>
      </c>
      <c r="E325" t="inlineStr">
        <is>
          <t>ВІЙСЬКОВА ЧАСТИНА 1141 НАЦІОНАЛЬНОЇ ГВАРДІЇ УКРАЇНИ</t>
        </is>
      </c>
      <c r="F325" s="13" t="n">
        <v>119939</v>
      </c>
      <c r="G325" t="inlineStr">
        <is>
          <t>Невідповідність вимогам документації</t>
        </is>
      </c>
      <c r="H325" t="inlineStr">
        <is>
          <t>Пропозиція учасника не відповідає умовам, визначеним в оголошенні про проведення спрощеної закупівлі, та вимогам до предмета закупівлі</t>
        </is>
      </c>
      <c r="I325" t="inlineStr">
        <is>
          <t>Пропозиція учасника не відповідає умовам, визначеним в оголошенні про проведення спрощеної закупівлі, та вимогам до предмета закупівлі</t>
        </is>
      </c>
    </row>
    <row r="326">
      <c r="A326" s="4" t="inlineStr">
        <is>
          <t>UA-2025-11-07-009521-a</t>
        </is>
      </c>
      <c r="B326" t="inlineStr">
        <is>
          <t>2025-11-25</t>
        </is>
      </c>
      <c r="C326" t="inlineStr">
        <is>
          <t>ФОП "СТЕПАНОВА ТЕТЯНА ВОЛОДИМИРІВНА "</t>
        </is>
      </c>
      <c r="D326" t="inlineStr">
        <is>
          <t>3448803388</t>
        </is>
      </c>
      <c r="E326" t="inlineStr">
        <is>
          <t>ВІЙСЬКОВА ЧАСТИНА 1141 НАЦІОНАЛЬНОЇ ГВАРДІЇ УКРАЇНИ</t>
        </is>
      </c>
      <c r="F326" s="13" t="n">
        <v>118776</v>
      </c>
      <c r="G326" t="inlineStr">
        <is>
          <t>Невідповідність вимогам документації</t>
        </is>
      </c>
      <c r="H326" t="inlineStr">
        <is>
          <t>Пропозиція учасника не відповідає умовам, визначеним в оголошенні про проведення спрощеної закупівлі, та вимогам до предмета закупівлі</t>
        </is>
      </c>
      <c r="I326" t="inlineStr">
        <is>
          <t>Пропозиція учасника не відповідає умовам, визначеним в оголошенні про проведення спрощеної закупівлі, та вимогам до предмета закупівлі</t>
        </is>
      </c>
    </row>
    <row r="327">
      <c r="A327" s="4" t="inlineStr">
        <is>
          <t>UA-2025-11-07-009521-a</t>
        </is>
      </c>
      <c r="B327" t="inlineStr">
        <is>
          <t>2025-11-19</t>
        </is>
      </c>
      <c r="C327" t="inlineStr">
        <is>
          <t>ТОВ "Уліс Сістемс"</t>
        </is>
      </c>
      <c r="D327" t="inlineStr">
        <is>
          <t>20049451</t>
        </is>
      </c>
      <c r="E327" t="inlineStr">
        <is>
          <t>ВІЙСЬКОВА ЧАСТИНА 1141 НАЦІОНАЛЬНОЇ ГВАРДІЇ УКРАЇНИ</t>
        </is>
      </c>
      <c r="F327" s="13" t="n">
        <v>118707</v>
      </c>
      <c r="G327" t="inlineStr">
        <is>
          <t>Невідповідність вимогам документації</t>
        </is>
      </c>
      <c r="H327" t="inlineStr">
        <is>
          <t>Пропозиція учасника не відповідає умовам, визначеним в оголошенні про проведення спрощеної закупівлі, та вимогам до предмета закупівлі</t>
        </is>
      </c>
      <c r="I327" t="inlineStr">
        <is>
          <t>Пропозиція учасника не відповідає умовам, визначеним в оголошенні про проведення спрощеної закупівлі, та вимогам до предмета закупівлі</t>
        </is>
      </c>
    </row>
    <row r="328">
      <c r="A328" s="4" t="inlineStr">
        <is>
          <t>UA-2025-10-14-015829-a</t>
        </is>
      </c>
      <c r="B328" t="inlineStr">
        <is>
          <t>2025-10-31</t>
        </is>
      </c>
      <c r="C328" t="inlineStr">
        <is>
          <t>ТОВ «ПБГ19»</t>
        </is>
      </c>
      <c r="D328" t="inlineStr">
        <is>
          <t>45701274</t>
        </is>
      </c>
      <c r="E328" t="inlineStr">
        <is>
          <t>Державний професійно-технічний навчальний заклад "Камінь-Каширське вище професійне училище"</t>
        </is>
      </c>
      <c r="F328" s="13" t="n">
        <v>115000</v>
      </c>
      <c r="G328" t="inlineStr">
        <is>
          <t>Не надав забезпечення</t>
        </is>
      </c>
      <c r="H328" t="inlineStr">
        <is>
          <t>не надав забезпечення тендерної пропозиції, якщо таке забезпечення вимагалося замовником;</t>
        </is>
      </c>
      <c r="I328" t="inlineStr">
        <is>
          <t>не надав забезпечення тендерної пропозиції, якщо таке забезпечення вимагалося замовником;</t>
        </is>
      </c>
    </row>
    <row r="329">
      <c r="A329" s="4" t="inlineStr">
        <is>
          <t>UA-2025-11-26-017289-a</t>
        </is>
      </c>
      <c r="B329" t="inlineStr">
        <is>
          <t>2025-11-29</t>
        </is>
      </c>
      <c r="C329" t="inlineStr">
        <is>
          <t>ТОВ "ТІНОС-Д"</t>
        </is>
      </c>
      <c r="D329" t="inlineStr">
        <is>
          <t>42289645</t>
        </is>
      </c>
      <c r="E329" t="inlineStr">
        <is>
          <t>ВІЙСЬКОВА ЧАСТИНА 1141 НАЦІОНАЛЬНОЇ ГВАРДІЇ УКРАЇНИ</t>
        </is>
      </c>
      <c r="F329" s="13" t="n">
        <v>113670</v>
      </c>
      <c r="G329" t="inlineStr">
        <is>
          <t>Відмова від договору</t>
        </is>
      </c>
      <c r="H329" t="inlineStr">
        <is>
          <t>Переможець письмово відмовився від укладання договору на умовах, визначених у запиті пропозицій постачальників</t>
        </is>
      </c>
      <c r="I329" t="inlineStr">
        <is>
          <t>Переможець письмово відмовився від укладання договору на умовах, визначених у запиті пропозицій постачальників</t>
        </is>
      </c>
    </row>
    <row r="330">
      <c r="A330" s="4" t="inlineStr">
        <is>
          <t>UA-2025-10-01-005167-a</t>
        </is>
      </c>
      <c r="B330" t="inlineStr">
        <is>
          <t>2025-10-10</t>
        </is>
      </c>
      <c r="C330" t="inlineStr">
        <is>
          <t>ФОП Атаманський Богдан Миколайович</t>
        </is>
      </c>
      <c r="D330" t="inlineStr">
        <is>
          <t>3307208132</t>
        </is>
      </c>
      <c r="E330" t="inlineStr">
        <is>
          <t>УПРАВЛІННЯ ГУМАНІТАРНОЇ ПОЛІТИКИ ЛОКАЧИНСЬКОЇ СЕЛИЩНОЇ РАДИ</t>
        </is>
      </c>
      <c r="F330" s="13" t="n">
        <v>109000</v>
      </c>
      <c r="G330" t="inlineStr">
        <is>
          <t>Не підписав договір у строк</t>
        </is>
      </c>
      <c r="H330" t="inlineStr">
        <is>
          <t>не підписав договір у строк, визначений абзацом першим пункту 66 цього Порядку</t>
        </is>
      </c>
      <c r="I330" t="inlineStr">
        <is>
          <t>не підписав договір у строк, визначений абзацом першим пункту 66 Порядку формування та використання електронного каталогу, затвердженого Постановою Кабінету Міністрів України від 14 вересня 2020 року № 822</t>
        </is>
      </c>
    </row>
    <row r="331">
      <c r="A331" s="4" t="inlineStr">
        <is>
          <t>UA-2026-04-17-005811-a</t>
        </is>
      </c>
      <c r="B331" t="inlineStr">
        <is>
          <t>2026-04-28</t>
        </is>
      </c>
      <c r="C331" t="inlineStr">
        <is>
          <t>ТОВ "КОМПАКОМ"</t>
        </is>
      </c>
      <c r="D331" t="inlineStr">
        <is>
          <t>45596933</t>
        </is>
      </c>
      <c r="E331" t="inlineStr">
        <is>
          <t>Любомльська міська рада</t>
        </is>
      </c>
      <c r="F331" s="13" t="n">
        <v>108000</v>
      </c>
      <c r="G331" t="inlineStr">
        <is>
          <t>Відмова від договору</t>
        </is>
      </c>
      <c r="H331" t="inlineStr">
        <is>
          <t>Письмово відмовився від укладення договору на умовах, визначених замовником у запиті пропозицій постачальників, шляхом заповнення електронних форм з окремими полями та у проекті договору, що є складовою частиною запиту пропозицій постачальників</t>
        </is>
      </c>
      <c r="I331" t="inlineStr"/>
    </row>
    <row r="332">
      <c r="A332" s="4" t="inlineStr">
        <is>
          <t>UA-2026-04-07-005580-a</t>
        </is>
      </c>
      <c r="B332" t="inlineStr">
        <is>
          <t>2026-04-21</t>
        </is>
      </c>
      <c r="C332" t="inlineStr">
        <is>
          <t>ФОП "КАЛЬЧЕНКО ТЕТЯНА АНАТОЛІЇВНА"</t>
        </is>
      </c>
      <c r="D332" t="inlineStr">
        <is>
          <t>2592904741</t>
        </is>
      </c>
      <c r="E332" t="inlineStr">
        <is>
          <t>КП "Медичне об'єднання Луцької міської територіальної громади"</t>
        </is>
      </c>
      <c r="F332" s="13" t="n">
        <v>107994</v>
      </c>
      <c r="G332" t="inlineStr">
        <is>
          <t>Невідповідність технічним вимогам</t>
        </is>
      </c>
      <c r="H332" t="inlineStr">
        <is>
          <t>не відповідає умовам технічної специфікації та іншим вимогам щодо предмета закупівлі тендерної документації, крім невідповідності в інформації та/або документах, що може бути усунена учасником процедури закупівлі відповідно до пункту 43 Особливостей;; не відповідає вимогам, установленим у тендерній документації відповідно до абзацу першого частини третьої статті 22 Закону;</t>
        </is>
      </c>
      <c r="I332" t="inlineStr">
        <is>
          <t>не відповідає умовам технічної специфікації та іншим вимогам щодо предмета закупівлі тендерної документації, крім невідповідності в інформації та/або документах, що може бути усунена учасником процедури закупівлі відповідно до пункту 43 Особливостей;; не відповідає вимогам, установленим у тендерній документації відповідно до абзацу першого частини третьої статті 22 Закону;</t>
        </is>
      </c>
    </row>
    <row r="333">
      <c r="A333" s="4" t="inlineStr">
        <is>
          <t>UA-2026-03-16-004487-a</t>
        </is>
      </c>
      <c r="B333" t="inlineStr">
        <is>
          <t>2026-03-19</t>
        </is>
      </c>
      <c r="C333" t="inlineStr">
        <is>
          <t>ФОП "Приступа Єлизавета Борисівна"</t>
        </is>
      </c>
      <c r="D333" t="inlineStr">
        <is>
          <t>3626907460</t>
        </is>
      </c>
      <c r="E333" t="inlineStr">
        <is>
          <t>ДЕПАРТАМЕНТ З ПИТАНЬ ВЕТЕРАНСЬКОЇ ПОЛІТИКИ ЛУЦЬКОЇ МІСЬКОЇ РАДИ</t>
        </is>
      </c>
      <c r="F333" s="13" t="n">
        <v>99800</v>
      </c>
      <c r="G333" t="inlineStr">
        <is>
          <t>Відмова від договору</t>
        </is>
      </c>
      <c r="H333" t="inlineStr">
        <is>
          <t>Переможець письмово відмовився від укладення договору на умовах, визначених замовником у запиті пропозицій постачальників, шляхом заповнення електронних форм з окремими полями та у проекті договору, що є складовою частиною запиту пропозицій постачальників</t>
        </is>
      </c>
      <c r="I333" t="inlineStr">
        <is>
          <t>Переможець письмово відмовився від підписання договору, у зв'язку з відсутністю товару на складах</t>
        </is>
      </c>
    </row>
    <row r="334">
      <c r="A334" s="4" t="inlineStr">
        <is>
          <t>UA-2026-04-17-005811-a</t>
        </is>
      </c>
      <c r="B334" t="inlineStr">
        <is>
          <t>2026-04-28</t>
        </is>
      </c>
      <c r="C334" t="inlineStr">
        <is>
          <t>ТОВ "СИСТЕМАТИКА УКРАЇНА"</t>
        </is>
      </c>
      <c r="D334" t="inlineStr">
        <is>
          <t>40175293</t>
        </is>
      </c>
      <c r="E334" t="inlineStr">
        <is>
          <t>Любомльська міська рада</t>
        </is>
      </c>
      <c r="F334" s="13" t="n">
        <v>99720</v>
      </c>
      <c r="G334" t="inlineStr">
        <is>
          <t>Відмова від договору</t>
        </is>
      </c>
      <c r="H334" t="inlineStr">
        <is>
          <t>Письмово відмовився від укладення договору на умовах, визначених замовником у запиті пропозицій постачальників, шляхом заповнення електронних форм з окремими полями та у проекті договору, що є складовою частиною запиту пропозицій постачальників</t>
        </is>
      </c>
      <c r="I334" t="inlineStr"/>
    </row>
    <row r="335">
      <c r="A335" s="4" t="inlineStr">
        <is>
          <t>UA-2026-04-17-005811-a</t>
        </is>
      </c>
      <c r="B335" t="inlineStr">
        <is>
          <t>2026-04-27</t>
        </is>
      </c>
      <c r="C335" t="inlineStr">
        <is>
          <t>ФОП "ХРАПКО ВІТАЛІЙ ВОЛОДИМИРОВИЧ"</t>
        </is>
      </c>
      <c r="D335" t="inlineStr">
        <is>
          <t>3540302713</t>
        </is>
      </c>
      <c r="E335" t="inlineStr">
        <is>
          <t>Любомльська міська рада</t>
        </is>
      </c>
      <c r="F335" s="13" t="n">
        <v>98480</v>
      </c>
      <c r="G335" t="inlineStr">
        <is>
          <t>Відмова від договору</t>
        </is>
      </c>
      <c r="H335" t="inlineStr">
        <is>
          <t>Письмово відмовився від укладення договору на умовах, визначених замовником у запиті пропозицій постачальників, шляхом заповнення електронних форм з окремими полями та у проекті договору, що є складовою частиною запиту пропозицій постачальників</t>
        </is>
      </c>
      <c r="I335" t="inlineStr"/>
    </row>
    <row r="336">
      <c r="A336" s="4" t="inlineStr">
        <is>
          <t>UA-2026-08-18-002713-a</t>
        </is>
      </c>
      <c r="B336" t="inlineStr">
        <is>
          <t>2026-08-26</t>
        </is>
      </c>
      <c r="C336" t="inlineStr">
        <is>
          <t>ФОП "СРИВКІН СЕРГІЙ БОРИСОВИЧ"</t>
        </is>
      </c>
      <c r="D336" t="inlineStr">
        <is>
          <t>2874302850</t>
        </is>
      </c>
      <c r="E336" t="inlineStr">
        <is>
          <t>Виконавчий комітет Луцької міської ради</t>
        </is>
      </c>
      <c r="F336" s="13" t="n">
        <v>98400</v>
      </c>
      <c r="G336" t="inlineStr">
        <is>
          <t>Відмова від договору</t>
        </is>
      </c>
      <c r="H336" t="inlineStr">
        <is>
          <t>Переможець письмово відмовився від укладення договору на умовах, визначених замовником у запиті пропозицій постачальників, шляхом заповнення електронних форм з окремими полями та у проекті договору, що є складовою частиною запиту пропозицій постачальників</t>
        </is>
      </c>
      <c r="I336" t="inlineStr">
        <is>
          <t>Переможець письмово відмовився від укладення договору на умовах, визначених замовником у запиті пропозицій постачальників, шляхом заповнення електронних форм з окремими полями та у проекті договору, що є складовою частиною запиту пропозицій постачальників</t>
        </is>
      </c>
    </row>
    <row r="337">
      <c r="A337" s="4" t="inlineStr">
        <is>
          <t>UA-2026-04-17-005811-a</t>
        </is>
      </c>
      <c r="B337" t="inlineStr">
        <is>
          <t>2026-04-23</t>
        </is>
      </c>
      <c r="C337" t="inlineStr">
        <is>
          <t>ФОП "СРИВКІН СЕРГІЙ БОРИСОВИЧ"</t>
        </is>
      </c>
      <c r="D337" t="inlineStr">
        <is>
          <t>2874302850</t>
        </is>
      </c>
      <c r="E337" t="inlineStr">
        <is>
          <t>Любомльська міська рада</t>
        </is>
      </c>
      <c r="F337" s="13" t="n">
        <v>98400</v>
      </c>
      <c r="G337" t="inlineStr">
        <is>
          <t>Відмова від договору</t>
        </is>
      </c>
      <c r="H337" t="inlineStr">
        <is>
          <t>Письмово відмовився від укладення договору на умовах, визначених замовником у запиті пропозицій постачальників, шляхом заповнення електронних форм з окремими полями та у проекті договору, що є складовою частиною запиту пропозицій постачальників</t>
        </is>
      </c>
      <c r="I337" t="inlineStr"/>
    </row>
    <row r="338">
      <c r="A338" s="4" t="inlineStr">
        <is>
          <t>UA-2025-10-27-014765-a</t>
        </is>
      </c>
      <c r="B338" t="inlineStr">
        <is>
          <t>2025-11-17</t>
        </is>
      </c>
      <c r="C338" t="inlineStr">
        <is>
          <t>ТОВ "КОМПАКОМ"</t>
        </is>
      </c>
      <c r="D338" t="inlineStr">
        <is>
          <t>45596933</t>
        </is>
      </c>
      <c r="E338" t="inlineStr">
        <is>
          <t>Виконавчий комітет Луцької міської ради</t>
        </is>
      </c>
      <c r="F338" s="13" t="n">
        <v>98000</v>
      </c>
      <c r="G338" t="inlineStr">
        <is>
          <t>Не підписав договір у строк</t>
        </is>
      </c>
      <c r="H338" t="inlineStr">
        <is>
          <t>Переможець не підписав договір у строк, визначений абзацом першим пункту 66 цього Порядку</t>
        </is>
      </c>
      <c r="I338" t="inlineStr">
        <is>
          <t>Переможець не підписав договір у строк, визначений абзацом першим пункту 66 цього Порядку</t>
        </is>
      </c>
    </row>
    <row r="339">
      <c r="A339" s="4" t="inlineStr">
        <is>
          <t>UA-2025-09-23-001196-a</t>
        </is>
      </c>
      <c r="B339" t="inlineStr">
        <is>
          <t>2025-10-27</t>
        </is>
      </c>
      <c r="C339" t="inlineStr">
        <is>
          <t>ТОВ "КОМПАКОМ"</t>
        </is>
      </c>
      <c r="D339" t="inlineStr">
        <is>
          <t>45596933</t>
        </is>
      </c>
      <c r="E339" t="inlineStr">
        <is>
          <t>Виконавчий комітет Луцької міської ради</t>
        </is>
      </c>
      <c r="F339" s="13" t="n">
        <v>96000</v>
      </c>
      <c r="G339" t="inlineStr">
        <is>
          <t>Відмова від договору</t>
        </is>
      </c>
      <c r="H339" t="inlineStr">
        <is>
          <t>Переможець письмово відмовився від укладання договору на умовах, визначених у запиті пропозицій постачальників</t>
        </is>
      </c>
      <c r="I339" t="inlineStr">
        <is>
          <t>Переможець письмово відмовився від укладання договору на умовах, визначених у запиті пропозицій постачальників</t>
        </is>
      </c>
    </row>
    <row r="340">
      <c r="A340" s="4" t="inlineStr">
        <is>
          <t>UA-2026-04-17-005811-a</t>
        </is>
      </c>
      <c r="B340" t="inlineStr">
        <is>
          <t>2026-04-23</t>
        </is>
      </c>
      <c r="C340" t="inlineStr">
        <is>
          <t>ФОП ПРІСИЧ ДМИТРО МИКОЛАЙОВИЧ</t>
        </is>
      </c>
      <c r="D340" t="inlineStr">
        <is>
          <t>3248805838</t>
        </is>
      </c>
      <c r="E340" t="inlineStr">
        <is>
          <t>Любомльська міська рада</t>
        </is>
      </c>
      <c r="F340" s="13" t="n">
        <v>95992</v>
      </c>
      <c r="G340" t="inlineStr">
        <is>
          <t>Відмова від договору</t>
        </is>
      </c>
      <c r="H340" t="inlineStr">
        <is>
          <t>Письмово відмовився від укладення договору на умовах, визначених замовником у запиті пропозицій постачальників, шляхом заповнення електронних форм з окремими полями та у проекті договору, що є складовою частиною запиту пропозицій постачальників</t>
        </is>
      </c>
      <c r="I340" t="inlineStr"/>
    </row>
    <row r="341">
      <c r="A341" s="4" t="inlineStr">
        <is>
          <t>UA-2026-08-04-009295-a</t>
        </is>
      </c>
      <c r="B341" t="inlineStr">
        <is>
          <t>2026-08-10</t>
        </is>
      </c>
      <c r="C341" t="inlineStr">
        <is>
          <t>ТОВ "ЕТСО"</t>
        </is>
      </c>
      <c r="D341" t="inlineStr">
        <is>
          <t>43052392</t>
        </is>
      </c>
      <c r="E341" t="inlineStr">
        <is>
          <t>Військова частина 9971</t>
        </is>
      </c>
      <c r="F341" s="13" t="n">
        <v>95912.5</v>
      </c>
      <c r="G341" t="inlineStr">
        <is>
          <t>Відмова від договору</t>
        </is>
      </c>
      <c r="H341" t="inlineStr">
        <is>
          <t>Переможець письмово відмовився від укладення договору на умовах, визначених замовником у запиті пропозицій постачальників, шляхом заповнення електронних форм з окремими полями та у проекті договору, що є складовою частиною запиту пропозицій постачальників</t>
        </is>
      </c>
      <c r="I341" t="inlineStr">
        <is>
          <t>1. Відхилити пропозицію Переможця відбору запиту пропозицій постачальників щодо Закупівлі відповідно до підпункту 3 пункту 64 Порядку № 822. 2. Оприлюднити рішення про відхилення пропозиції Переможця відбору запиту пропозицій постачальників щодо Закупівлі в електронній системі закупівель протягом одного робочого дня з дня його прийняття.</t>
        </is>
      </c>
    </row>
    <row r="342">
      <c r="A342" s="4" t="inlineStr">
        <is>
          <t>UA-2025-09-23-001196-a</t>
        </is>
      </c>
      <c r="B342" t="inlineStr">
        <is>
          <t>2025-10-17</t>
        </is>
      </c>
      <c r="C342" t="inlineStr">
        <is>
          <t>ФОП ПРІСИЧ ДМИТРО МИКОЛАЙОВИЧ</t>
        </is>
      </c>
      <c r="D342" t="inlineStr">
        <is>
          <t>3248805838</t>
        </is>
      </c>
      <c r="E342" t="inlineStr">
        <is>
          <t>Виконавчий комітет Луцької міської ради</t>
        </is>
      </c>
      <c r="F342" s="13" t="n">
        <v>95600</v>
      </c>
      <c r="G342" t="inlineStr">
        <is>
          <t>Не підписав договір у строк</t>
        </is>
      </c>
      <c r="H342" t="inlineStr">
        <is>
          <t>Переможець не підписав договір у строк, визначений абзацом першим пункту 66 цього Порядку</t>
        </is>
      </c>
      <c r="I342" t="inlineStr">
        <is>
          <t>Переможець не підписав договір у строк, визначений абзацом першим пункту 66 цього Порядку</t>
        </is>
      </c>
    </row>
    <row r="343">
      <c r="A343" s="4" t="inlineStr">
        <is>
          <t>UA-2025-11-26-016214-a</t>
        </is>
      </c>
      <c r="B343" t="inlineStr">
        <is>
          <t>2025-12-03</t>
        </is>
      </c>
      <c r="C343" t="inlineStr">
        <is>
          <t>ТОВ "ДІСТРІ ІНВАЙТ ІТ"</t>
        </is>
      </c>
      <c r="D343" t="inlineStr">
        <is>
          <t>40955533</t>
        </is>
      </c>
      <c r="E343" t="inlineStr">
        <is>
          <t>Ківерцівський фаховий медичний коледж Волинської обласної ради</t>
        </is>
      </c>
      <c r="F343" s="13" t="n">
        <v>95220</v>
      </c>
      <c r="G343" t="inlineStr">
        <is>
          <t>Відмова від договору</t>
        </is>
      </c>
      <c r="H343" t="inlineStr">
        <is>
          <t>письмово відмовився від укладання договору на умовах, визначених у запиті пропозицій постачальників</t>
        </is>
      </c>
      <c r="I343" t="inlineStr">
        <is>
          <t>письмово відмовився від укладання договору на умовах, визначених у запиті пропозицій постачальників</t>
        </is>
      </c>
    </row>
    <row r="344">
      <c r="A344" s="4" t="inlineStr">
        <is>
          <t>UA-2026-04-17-005811-a</t>
        </is>
      </c>
      <c r="B344" t="inlineStr">
        <is>
          <t>2026-04-22</t>
        </is>
      </c>
      <c r="C344" t="inlineStr">
        <is>
          <t>ТОВ "ТІНОС-Д"</t>
        </is>
      </c>
      <c r="D344" t="inlineStr">
        <is>
          <t>42289645</t>
        </is>
      </c>
      <c r="E344" t="inlineStr">
        <is>
          <t>Любомльська міська рада</t>
        </is>
      </c>
      <c r="F344" s="13" t="n">
        <v>94440</v>
      </c>
      <c r="G344" t="inlineStr">
        <is>
          <t>Відмова від договору</t>
        </is>
      </c>
      <c r="H344" t="inlineStr">
        <is>
          <t>Письмово відмовився від укладення договору на умовах, визначених замовником у запиті пропозицій постачальників, шляхом заповнення електронних форм з окремими полями та у проекті договору, що є складовою частиною запиту пропозицій постачальників</t>
        </is>
      </c>
      <c r="I344" t="inlineStr"/>
    </row>
    <row r="345">
      <c r="A345" s="4" t="inlineStr">
        <is>
          <t>UA-2025-10-13-007358-a</t>
        </is>
      </c>
      <c r="B345" t="inlineStr">
        <is>
          <t>2025-10-17</t>
        </is>
      </c>
      <c r="C345" t="inlineStr">
        <is>
          <t>ФОП Рибак Евеліна Василівна</t>
        </is>
      </c>
      <c r="D345" t="inlineStr">
        <is>
          <t>3701802602</t>
        </is>
      </c>
      <c r="E345" t="inlineStr">
        <is>
          <t>Нововолинський ліцей № 5 Нововолинської міської ради Волинської області</t>
        </is>
      </c>
      <c r="F345" s="13" t="n">
        <v>90000</v>
      </c>
      <c r="G345" t="inlineStr">
        <is>
          <t>Не надав документи</t>
        </is>
      </c>
      <c r="H345" t="inlineStr">
        <is>
          <t>Переможець не надав документ про реєстрацію у прийнятній країні та/або інформацію про те, що до переможця відбору, його кінцевих бенефіціарних власників, членів або учасників (акціонерів) не застосовано обмежувальні заходи у вигляді санкцій Європейського Союзу та/або про те, що не знаходяться у санкційному списку Європейського Союзу. Або зазначена інформація надана з порушенням вимог</t>
        </is>
      </c>
      <c r="I345" t="inlineStr">
        <is>
          <t>Учасником не були надані документи, які підтверджують країну реєстрації постачальника, з яким укладено договір (Сертифікат про походження товару, засвідчений Торгово-промисловою палатою, декларація про походження товару, засвідчену декларацію про походження товару, сертифікат про регіональне найменування товару).</t>
        </is>
      </c>
    </row>
    <row r="346">
      <c r="A346" s="4" t="inlineStr">
        <is>
          <t>UA-2025-10-02-010895-a</t>
        </is>
      </c>
      <c r="B346" t="inlineStr">
        <is>
          <t>2025-10-10</t>
        </is>
      </c>
      <c r="C346" t="inlineStr">
        <is>
          <t>ТОВ "МОБАЙЛ АЙТІ"</t>
        </is>
      </c>
      <c r="D346" t="inlineStr">
        <is>
          <t>39759248</t>
        </is>
      </c>
      <c r="E346" t="inlineStr">
        <is>
          <t>КП "Медичне об'єднання Луцької міської територіальної громади"</t>
        </is>
      </c>
      <c r="F346" s="13" t="n">
        <v>90000</v>
      </c>
      <c r="G346" t="inlineStr">
        <is>
          <t>Відмова від договору</t>
        </is>
      </c>
      <c r="H346" t="inlineStr">
        <is>
          <t>письмово відмовився від укладання договору на умовах, визначених у запиті пропозицій постачальників</t>
        </is>
      </c>
      <c r="I346" t="inlineStr">
        <is>
          <t>письмово відмовився від укладання договору на умовах, визначених у запиті пропозицій постачальників</t>
        </is>
      </c>
    </row>
    <row r="347">
      <c r="A347" s="4" t="inlineStr">
        <is>
          <t>UA-2025-10-02-010895-a</t>
        </is>
      </c>
      <c r="B347" t="inlineStr">
        <is>
          <t>2025-10-10</t>
        </is>
      </c>
      <c r="C347" t="inlineStr">
        <is>
          <t>ФОП ПРІСИЧ ДМИТРО МИКОЛАЙОВИЧ</t>
        </is>
      </c>
      <c r="D347" t="inlineStr">
        <is>
          <t>3248805838</t>
        </is>
      </c>
      <c r="E347" t="inlineStr">
        <is>
          <t>КП "Медичне об'єднання Луцької міської територіальної громади"</t>
        </is>
      </c>
      <c r="F347" s="13" t="n">
        <v>89900</v>
      </c>
      <c r="G347" t="inlineStr">
        <is>
          <t>Відмова від договору</t>
        </is>
      </c>
      <c r="H347" t="inlineStr">
        <is>
          <t>письмово відмовився від укладання договору на умовах, визначених у запиті пропозицій постачальників</t>
        </is>
      </c>
      <c r="I347" t="inlineStr">
        <is>
          <t>письмово відмовився від укладання договору на умовах, визначених у запиті пропозицій постачальників</t>
        </is>
      </c>
    </row>
    <row r="348">
      <c r="A348" s="4" t="inlineStr">
        <is>
          <t>UA-2025-11-05-009156-a</t>
        </is>
      </c>
      <c r="B348" t="inlineStr">
        <is>
          <t>2025-11-17</t>
        </is>
      </c>
      <c r="C348" t="inlineStr">
        <is>
          <t>ТОВ «ПБГ19»</t>
        </is>
      </c>
      <c r="D348" t="inlineStr">
        <is>
          <t>45701274</t>
        </is>
      </c>
      <c r="E348" t="inlineStr">
        <is>
          <t>Військова частина А 0959</t>
        </is>
      </c>
      <c r="F348" s="13" t="n">
        <v>89574</v>
      </c>
      <c r="G348" t="inlineStr">
        <is>
          <t>Невідповідність вимогам документації</t>
        </is>
      </c>
      <c r="H348" t="inlineStr">
        <is>
          <t>Пропозиція учасника не відповідає умовам, визначеним в оголошенні про проведення спрощеної закупівлі, та вимогам до предмета закупівлі</t>
        </is>
      </c>
      <c r="I348" t="inlineStr">
        <is>
          <t>Пропозиція учасника не відповідає умовам, визначеним в оголошенні про проведення спрощеної закупівлі, та вимогам до предмета закупівлі</t>
        </is>
      </c>
    </row>
    <row r="349">
      <c r="A349" s="4" t="inlineStr">
        <is>
          <t>UA-2025-10-27-014765-a</t>
        </is>
      </c>
      <c r="B349" t="inlineStr">
        <is>
          <t>2025-11-11</t>
        </is>
      </c>
      <c r="C349" t="inlineStr">
        <is>
          <t>ТОВ "СИСТЕМАТИКА УКРАЇНА"</t>
        </is>
      </c>
      <c r="D349" t="inlineStr">
        <is>
          <t>40175293</t>
        </is>
      </c>
      <c r="E349" t="inlineStr">
        <is>
          <t>Виконавчий комітет Луцької міської ради</t>
        </is>
      </c>
      <c r="F349" s="13" t="n">
        <v>89130</v>
      </c>
      <c r="G349" t="inlineStr">
        <is>
          <t>Не підписав договір у строк</t>
        </is>
      </c>
      <c r="H349" t="inlineStr">
        <is>
          <t>Переможець не підписав договір у строк, визначений абзацом першим пункту 66 цього Порядку</t>
        </is>
      </c>
      <c r="I349" t="inlineStr">
        <is>
          <t>Переможець не підписав договір у строк, визначений абзацом першим пункту 66 цього Порядку</t>
        </is>
      </c>
    </row>
    <row r="350">
      <c r="A350" s="4" t="inlineStr">
        <is>
          <t>UA-2026-03-16-002706-a</t>
        </is>
      </c>
      <c r="B350" t="inlineStr">
        <is>
          <t>2026-04-06</t>
        </is>
      </c>
      <c r="C350" t="inlineStr">
        <is>
          <t>ФОП МІЩЕНКО ОЛЕНА АНАТОЛІЇВНА</t>
        </is>
      </c>
      <c r="D350" t="inlineStr">
        <is>
          <t>2978900762</t>
        </is>
      </c>
      <c r="E350" t="inlineStr">
        <is>
          <t>КП "Медичне об'єднання Луцької міської територіальної громади"</t>
        </is>
      </c>
      <c r="F350" s="13" t="n">
        <v>88998</v>
      </c>
      <c r="G350" t="inlineStr">
        <is>
          <t>Відмова від договору</t>
        </is>
      </c>
      <c r="H350" t="inlineStr">
        <is>
          <t>письмово відмовився від укладення договору на умовах, визначених замовником у запиті пропозицій постачальників, шляхом заповнення електронних форм з окремими полями та у проекті договору, що є складовою частиною запиту пропозицій постачальників.</t>
        </is>
      </c>
      <c r="I350" t="inlineStr">
        <is>
          <t>письмово відмовився від укладення договору</t>
        </is>
      </c>
    </row>
    <row r="351">
      <c r="A351" s="4" t="inlineStr">
        <is>
          <t>UA-2026-03-16-002706-a</t>
        </is>
      </c>
      <c r="B351" t="inlineStr">
        <is>
          <t>2026-04-02</t>
        </is>
      </c>
      <c r="C351" t="inlineStr">
        <is>
          <t>ФОП "Кізима Олександра Ярославівна"</t>
        </is>
      </c>
      <c r="D351" t="inlineStr">
        <is>
          <t>2377111025</t>
        </is>
      </c>
      <c r="E351" t="inlineStr">
        <is>
          <t>КП "Медичне об'єднання Луцької міської територіальної громади"</t>
        </is>
      </c>
      <c r="F351" s="13" t="n">
        <v>88110</v>
      </c>
      <c r="G351" t="inlineStr">
        <is>
          <t>Відмова від договору</t>
        </is>
      </c>
      <c r="H351" t="inlineStr">
        <is>
          <t>письмово відмовився від укладення договору на умовах, визначених замовником у запиті пропозицій постачальників, шляхом заповнення електронних форм з окремими полями та у проекті договору, що є складовою частиною запиту пропозицій постачальників.</t>
        </is>
      </c>
      <c r="I351" t="inlineStr">
        <is>
          <t>письмово відмовився від укладення договору на умовах, визначених замовником у запиті пропозицій постачальників, шляхом заповнення електронних форм з окремими полями та у проекті договору, що є складовою частиною запиту пропозицій постачальників.</t>
        </is>
      </c>
    </row>
    <row r="352">
      <c r="A352" s="4" t="inlineStr">
        <is>
          <t>UA-2025-11-12-015823-a</t>
        </is>
      </c>
      <c r="B352" t="inlineStr">
        <is>
          <t>2025-11-19</t>
        </is>
      </c>
      <c r="C352" t="inlineStr">
        <is>
          <t>ФОП "КОВАЛЬ ЮРІЙ МИХАЙЛОВИЧ"</t>
        </is>
      </c>
      <c r="D352" t="inlineStr">
        <is>
          <t>2971806211</t>
        </is>
      </c>
      <c r="E352" t="inlineStr">
        <is>
          <t>Нововолинський ліцей № 5 Нововолинської міської ради Волинської області</t>
        </is>
      </c>
      <c r="F352" s="13" t="n">
        <v>88000</v>
      </c>
      <c r="G352" t="inlineStr">
        <is>
          <t>Не надав документи</t>
        </is>
      </c>
      <c r="H352" t="inlineStr">
        <is>
          <t>Переможець не надав документ про реєстрацію у прийнятній країні та/або інформацію про те, що до переможця відбору, його кінцевих бенефіціарних власників, членів або учасників (акціонерів) не застосовано обмежувальні заходи у вигляді санкцій Європейського Союзу та/або про те, що не знаходяться у санкційному списку Європейського Союзу. Або зазначена інформація надана з порушенням вимог</t>
        </is>
      </c>
      <c r="I352" t="inlineStr">
        <is>
          <t>Переможець не надав документ про реєстрацію у прийнятній країні та/або інформацію про те, що до переможця відбору, його кінцевих бенефіціарних власників, членів або учасників (акціонерів) не застосовано обмежувальні заходи у вигляді санкцій Європейського Союзу та/або про те, що не знаходяться у санкційному списку Європейського Союзу.</t>
        </is>
      </c>
    </row>
    <row r="353">
      <c r="A353" s="4" t="inlineStr">
        <is>
          <t>UA-2025-10-24-010296-a</t>
        </is>
      </c>
      <c r="B353" t="inlineStr">
        <is>
          <t>2025-11-17</t>
        </is>
      </c>
      <c r="C353" t="inlineStr">
        <is>
          <t>ТОВ "КУБІК ГРУП"</t>
        </is>
      </c>
      <c r="D353" t="inlineStr">
        <is>
          <t>44554976</t>
        </is>
      </c>
      <c r="E353" t="inlineStr">
        <is>
          <t>Територіальне управління Державної судової адміністрації України в Волинській області</t>
        </is>
      </c>
      <c r="F353" s="13" t="n">
        <v>83709</v>
      </c>
      <c r="G353" t="inlineStr">
        <is>
          <t>Не підписав договір у строк</t>
        </is>
      </c>
      <c r="H353" t="inlineStr">
        <is>
          <t>Переможець не підписав договір у строк, визначений абзацом першим пункту 66 цього Порядку</t>
        </is>
      </c>
      <c r="I353" t="inlineStr">
        <is>
          <t>У зв’язку з тим, що ТОВАРИСТВО З ОБМЕЖЕНОЮ ВІДПОВІДАЛЬНІСТЮ "КУБІК ГРУП" (код ЄДРПОУ 44554976), визначена переможцем 10.11.2025, станом на 17.11.2025 не вийшли на зв’язок для підписання договору, виникла необхідність відхилення її пропозиції у зв’язку з не підписанням договору у встановлений строк, відповідно до абзацу першого пункту 66 Порядку.</t>
        </is>
      </c>
    </row>
    <row r="354">
      <c r="A354" s="4" t="inlineStr">
        <is>
          <t>UA-2026-04-29-004887-a</t>
        </is>
      </c>
      <c r="B354" t="inlineStr">
        <is>
          <t>2026-05-05</t>
        </is>
      </c>
      <c r="C354" t="inlineStr">
        <is>
          <t>ФОП "Андріюк Тетяна Анатоліївна"</t>
        </is>
      </c>
      <c r="D354" t="inlineStr">
        <is>
          <t>2900121460</t>
        </is>
      </c>
      <c r="E354" t="inlineStr">
        <is>
          <t>Територіальне управління Державної судової адміністрації України в Волинській області</t>
        </is>
      </c>
      <c r="F354" s="13" t="n">
        <v>82119</v>
      </c>
      <c r="G354" t="inlineStr">
        <is>
          <t>Відмова від договору</t>
        </is>
      </c>
      <c r="H354" t="inlineStr">
        <is>
          <t>Переможець письмово відмовився від укладення договору на умовах, визначених замовником у запиті пропозицій постачальників, шляхом заповнення електронних форм з окремими полями та у проекті договору, що є складовою частиною запиту пропозицій постачальників</t>
        </is>
      </c>
      <c r="I354" t="inlineStr">
        <is>
          <t>З огляду на зазначене, у зв’язку з тим, що надійшло повідомлення про відмову підписання договору від Фізичної особи-підприємця Андріюк Т.А. (ІПН 2900121460) від 05.05.2026 №05/05/26-01 , в якому Учасник відмовляється від підписання договору у зв’язку з тим, що пропозиція не відповідає визначеним вимогам закупівлі. Враховуючи викладене, пропозиція Переможця відбору підлягає відхиленню відповідно до підпункту 3 пункту 64 Порядку № 822.</t>
        </is>
      </c>
    </row>
    <row r="355">
      <c r="A355" s="4" t="inlineStr">
        <is>
          <t>UA-2026-03-16-002706-a</t>
        </is>
      </c>
      <c r="B355" t="inlineStr">
        <is>
          <t>2026-03-24</t>
        </is>
      </c>
      <c r="C355" t="inlineStr">
        <is>
          <t>ТОВ "СИСТЕМАТИКА УКРАЇНА"</t>
        </is>
      </c>
      <c r="D355" t="inlineStr">
        <is>
          <t>40175293</t>
        </is>
      </c>
      <c r="E355" t="inlineStr">
        <is>
          <t>КП "Медичне об'єднання Луцької міської територіальної громади"</t>
        </is>
      </c>
      <c r="F355" s="13" t="n">
        <v>81927</v>
      </c>
      <c r="G355" t="inlineStr">
        <is>
          <t>Відмова від договору</t>
        </is>
      </c>
      <c r="H355" t="inlineStr">
        <is>
          <t>письмово відмовився від укладення договору на умовах, визначених замовником у запиті пропозицій постачальників, шляхом заповнення електронних форм з окремими полями та у проекті договору, що є складовою частиною запиту пропозицій постачальників.</t>
        </is>
      </c>
      <c r="I355" t="inlineStr">
        <is>
          <t>письмово відмовився від укладення договору на умовах, визначених замовником у запиті пропозицій постачальників, шляхом заповнення електронних форм з окремими полями та у проекті договору, що є складовою частиною запиту пропозицій постачальників.</t>
        </is>
      </c>
    </row>
    <row r="356">
      <c r="A356" s="4" t="inlineStr">
        <is>
          <t>UA-2026-08-19-010837-a</t>
        </is>
      </c>
      <c r="B356" t="inlineStr">
        <is>
          <t>2026-08-26</t>
        </is>
      </c>
      <c r="C356" t="inlineStr">
        <is>
          <t>ФОП "СРИВКІН СЕРГІЙ БОРИСОВИЧ"</t>
        </is>
      </c>
      <c r="D356" t="inlineStr">
        <is>
          <t>2874302850</t>
        </is>
      </c>
      <c r="E356" t="inlineStr">
        <is>
          <t>Любомльська міська рада</t>
        </is>
      </c>
      <c r="F356" s="13" t="n">
        <v>81900</v>
      </c>
      <c r="G356" t="inlineStr">
        <is>
          <t>Відмова від договору</t>
        </is>
      </c>
      <c r="H356" t="inlineStr">
        <is>
          <t>Письмово відмовився від укладення договору на умовах, визначених замовником у запиті пропозицій постачальників, шляхом заповнення електронних форм з окремими полями та у проекті договору, що є складовою частиною запиту пропозицій постачальників</t>
        </is>
      </c>
      <c r="I356" t="inlineStr"/>
    </row>
    <row r="357">
      <c r="A357" s="4" t="inlineStr">
        <is>
          <t>UA-2026-08-19-010837-a</t>
        </is>
      </c>
      <c r="B357" t="inlineStr">
        <is>
          <t>2026-08-26</t>
        </is>
      </c>
      <c r="C357" t="inlineStr">
        <is>
          <t>ТОВ "КОМПАКОМ"</t>
        </is>
      </c>
      <c r="D357" t="inlineStr">
        <is>
          <t>45596933</t>
        </is>
      </c>
      <c r="E357" t="inlineStr">
        <is>
          <t>Любомльська міська рада</t>
        </is>
      </c>
      <c r="F357" s="13" t="n">
        <v>81000</v>
      </c>
      <c r="G357" t="inlineStr">
        <is>
          <t>Відмова від договору</t>
        </is>
      </c>
      <c r="H357" t="inlineStr">
        <is>
          <t>Письмово відмовився від укладення договору на умовах, визначених замовником у запиті пропозицій постачальників, шляхом заповнення електронних форм з окремими полями та у проекті договору, що є складовою частиною запиту пропозицій постачальників</t>
        </is>
      </c>
      <c r="I357" t="inlineStr"/>
    </row>
    <row r="358">
      <c r="A358" s="4" t="inlineStr">
        <is>
          <t>UA-2026-01-27-008052-a</t>
        </is>
      </c>
      <c r="B358" t="inlineStr">
        <is>
          <t>2026-02-02</t>
        </is>
      </c>
      <c r="C358" t="inlineStr">
        <is>
          <t>ФОП "Гріпіч Тетяна Борисівна"</t>
        </is>
      </c>
      <c r="D358" t="inlineStr">
        <is>
          <t>2850105825</t>
        </is>
      </c>
      <c r="E358" t="inlineStr">
        <is>
          <t>Виконавчий комітет Ратнівської селищної ради</t>
        </is>
      </c>
      <c r="F358" s="13" t="n">
        <v>81000</v>
      </c>
      <c r="G358" t="inlineStr">
        <is>
          <t>Відмова від договору</t>
        </is>
      </c>
      <c r="H358" t="inlineStr">
        <is>
          <t>Переможець письмово відмовився від укладення договору на умовах, визначених замовником у запиті пропозицій постачальників, шляхом заповнення електронних форм з окремими полями та у проекті договору, що є складовою частиною запиту пропозицій постачальників</t>
        </is>
      </c>
      <c r="I358" t="inlineStr">
        <is>
          <t>Переможець письмово відмовився від укладення договору на умовах, визначених замовником у запиті пропозицій постачальників, шляхом заповнення електронних форм з окремими полями та у проекті договору, що є складовою частиною запиту пропозицій постачальників.</t>
        </is>
      </c>
    </row>
    <row r="359">
      <c r="A359" s="4" t="inlineStr">
        <is>
          <t>UA-2026-01-27-008052-a</t>
        </is>
      </c>
      <c r="B359" t="inlineStr">
        <is>
          <t>2026-02-02</t>
        </is>
      </c>
      <c r="C359" t="inlineStr">
        <is>
          <t>ТОВ "КОМПАКОМ"</t>
        </is>
      </c>
      <c r="D359" t="inlineStr">
        <is>
          <t>45596933</t>
        </is>
      </c>
      <c r="E359" t="inlineStr">
        <is>
          <t>Виконавчий комітет Ратнівської селищної ради</t>
        </is>
      </c>
      <c r="F359" s="13" t="n">
        <v>80700</v>
      </c>
      <c r="G359" t="inlineStr">
        <is>
          <t>Відмова від договору</t>
        </is>
      </c>
      <c r="H359" t="inlineStr">
        <is>
          <t>Переможець письмово відмовився від укладення договору на умовах, визначених замовником у запиті пропозицій постачальників, шляхом заповнення електронних форм з окремими полями та у проекті договору, що є складовою частиною запиту пропозицій постачальників</t>
        </is>
      </c>
      <c r="I359" t="inlineStr">
        <is>
          <t>Переможець письмово відмовився від укладення договору на умовах, визначених замовником у запиті пропозицій постачальників, шляхом заповнення електронних форм з окремими полями та у проекті договору, що є складовою частиною запиту пропозицій постачальників.</t>
        </is>
      </c>
    </row>
    <row r="360">
      <c r="A360" s="4" t="inlineStr">
        <is>
          <t>UA-2026-01-27-008052-a</t>
        </is>
      </c>
      <c r="B360" t="inlineStr">
        <is>
          <t>2026-02-02</t>
        </is>
      </c>
      <c r="C360" t="inlineStr">
        <is>
          <t>ТОВ "ТІНОС-Д"</t>
        </is>
      </c>
      <c r="D360" t="inlineStr">
        <is>
          <t>42289645</t>
        </is>
      </c>
      <c r="E360" t="inlineStr">
        <is>
          <t>Виконавчий комітет Ратнівської селищної ради</t>
        </is>
      </c>
      <c r="F360" s="13" t="n">
        <v>80460</v>
      </c>
      <c r="G360" t="inlineStr">
        <is>
          <t>Відмова від договору</t>
        </is>
      </c>
      <c r="H360" t="inlineStr">
        <is>
          <t>Переможець письмово відмовився від укладення договору на умовах, визначених замовником у запиті пропозицій постачальників, шляхом заповнення електронних форм з окремими полями та у проекті договору, що є складовою частиною запиту пропозицій постачальників</t>
        </is>
      </c>
      <c r="I360" t="inlineStr">
        <is>
          <t>Переможець письмово відмовився від укладення договору на умовах, визначених замовником у запиті пропозицій постачальників, шляхом заповнення електронних форм з окремими полями та у проекті договору, що є складовою частиною запиту пропозицій постачальників.</t>
        </is>
      </c>
    </row>
    <row r="361">
      <c r="A361" s="4" t="inlineStr">
        <is>
          <t>UA-2026-03-17-006352-a</t>
        </is>
      </c>
      <c r="B361" t="inlineStr">
        <is>
          <t>2026-03-27</t>
        </is>
      </c>
      <c r="C361" t="inlineStr">
        <is>
          <t>ТОВ "ДІСТРІ ІНВАЙТ ІТ"</t>
        </is>
      </c>
      <c r="D361" t="inlineStr">
        <is>
          <t>40955533</t>
        </is>
      </c>
      <c r="E361" t="inlineStr">
        <is>
          <t>ВОЛОДИМИРСЬКИЙ ПЕДАГОГІЧНИЙ ФАХОВИЙ КОЛЕДЖ ІМЕНІ АГАТАНГЕЛА КРИМСЬКОГО ВОЛИНСЬКОЇ ОБЛАСНОЇ РАДИ</t>
        </is>
      </c>
      <c r="F361" s="13" t="n">
        <v>80183.03999999999</v>
      </c>
      <c r="G361" t="inlineStr">
        <is>
          <t>Невідповідність технічним вимогам</t>
        </is>
      </c>
      <c r="H361" t="inlineStr">
        <is>
          <t>не відповідає умовам технічної специфікації та іншим вимогам щодо предмета закупівлі тендерної документації, крім невідповідності в інформації та/або документах, що може бути усунена учасником процедури закупівлі відповідно до пункту 43 Особливостей;</t>
        </is>
      </c>
      <c r="I361" t="inlineStr">
        <is>
          <t>не відповідає умовам технічної специфікації та іншим вимогам щодо предмета закупівлі тендерної документації, крім невідповідності в інформації та/або документах, що може бути усунена учасником процедури закупівлі відповідно до пункту 43 Особливостей;</t>
        </is>
      </c>
    </row>
    <row r="362">
      <c r="A362" s="4" t="inlineStr">
        <is>
          <t>UA-2025-10-24-010296-a</t>
        </is>
      </c>
      <c r="B362" t="inlineStr">
        <is>
          <t>2025-11-10</t>
        </is>
      </c>
      <c r="C362" t="inlineStr">
        <is>
          <t>ТОВ "ЮДІТРЕЙД"</t>
        </is>
      </c>
      <c r="D362" t="inlineStr">
        <is>
          <t>42036301</t>
        </is>
      </c>
      <c r="E362" t="inlineStr">
        <is>
          <t>Територіальне управління Державної судової адміністрації України в Волинській області</t>
        </is>
      </c>
      <c r="F362" s="13" t="n">
        <v>79938.89999999999</v>
      </c>
      <c r="G362" t="inlineStr">
        <is>
          <t>Відмова від договору</t>
        </is>
      </c>
      <c r="H362" t="inlineStr">
        <is>
          <t>Переможець письмово відмовився від укладання договору на умовах, визначених у запиті пропозицій постачальників</t>
        </is>
      </c>
      <c r="I362" t="inlineStr">
        <is>
          <t>У зв’язку з тим, що ТОВ "ЮДІТРЕЙД" (код ЄДРПОУ 42036301), визначена переможцем 04.11.2025, станом на 10.11.2025 не вийшли на зв’язок для підписання договору, виникла необхідність відхилення її пропозиції у зв’язку з не підписанням договору у встановлений строк, відповідно до абзацу першого пункту 66 Порядку.</t>
        </is>
      </c>
    </row>
    <row r="363">
      <c r="A363" s="4" t="inlineStr">
        <is>
          <t>UA-2026-01-27-008052-a</t>
        </is>
      </c>
      <c r="B363" t="inlineStr">
        <is>
          <t>2026-01-30</t>
        </is>
      </c>
      <c r="C363" t="inlineStr">
        <is>
          <t>ТОВ "ДІАВЕСТЕНД КОМПЛЕКСНІ РІШЕННЯ"</t>
        </is>
      </c>
      <c r="D363" t="inlineStr">
        <is>
          <t>30256061</t>
        </is>
      </c>
      <c r="E363" t="inlineStr">
        <is>
          <t>Виконавчий комітет Ратнівської селищної ради</t>
        </is>
      </c>
      <c r="F363" s="13" t="n">
        <v>79560</v>
      </c>
      <c r="G363" t="inlineStr">
        <is>
          <t>Відмова від договору</t>
        </is>
      </c>
      <c r="H363" t="inlineStr">
        <is>
          <t>Переможець письмово відмовився від укладення договору на умовах, визначених замовником у запиті пропозицій постачальників, шляхом заповнення електронних форм з окремими полями та у проекті договору, що є складовою частиною запиту пропозицій постачальників</t>
        </is>
      </c>
      <c r="I363" t="inlineStr">
        <is>
          <t>Переможець письмово відмовився від укладення договору на умовах, визначених замовником у запиті пропозицій постачальників, шляхом заповнення електронних форм з окремими полями та у проекті договору, що є складовою частиною запиту пропозицій постачальників.</t>
        </is>
      </c>
    </row>
    <row r="364">
      <c r="A364" s="4" t="inlineStr">
        <is>
          <t>UA-2026-04-06-002585-a</t>
        </is>
      </c>
      <c r="B364" t="inlineStr">
        <is>
          <t>2026-04-10</t>
        </is>
      </c>
      <c r="C364" t="inlineStr">
        <is>
          <t>ТОВ "ПАВЕРТРЕЙД"</t>
        </is>
      </c>
      <c r="D364" t="inlineStr">
        <is>
          <t>43120417</t>
        </is>
      </c>
      <c r="E364" t="inlineStr">
        <is>
          <t>КП «ВОЛИНСЬКЕ ОБЛАСНЕ ТЕРИТОРІАЛЬНЕ МЕДИЧНЕ ОБ’ЄДНАНННЯ ЗАХИСТУ МАТЕРИНСТВА І ДИТИНСТВА» ВОЛИНСЬКОЇ ОБЛАСНОЇ РАДИ</t>
        </is>
      </c>
      <c r="F364" s="13" t="n">
        <v>77976</v>
      </c>
      <c r="G364" t="inlineStr">
        <is>
          <t>Відмова від договору</t>
        </is>
      </c>
      <c r="H364" t="inlineStr">
        <is>
          <t>Переможець письмово відмовився від укладення договору на умовах, визначених замовником у запиті пропозицій постачальників, шляхом заповнення електронних форм з окремими полями та у проекті договору, що є складовою частиною запиту пропозицій постачальників</t>
        </is>
      </c>
      <c r="I364" t="inlineStr">
        <is>
          <t>Переможець письмово відмовився від укладення договору</t>
        </is>
      </c>
    </row>
    <row r="365">
      <c r="A365" s="4" t="inlineStr">
        <is>
          <t>UA-2026-04-06-002585-a</t>
        </is>
      </c>
      <c r="B365" t="inlineStr">
        <is>
          <t>2026-04-09</t>
        </is>
      </c>
      <c r="C365" t="inlineStr">
        <is>
          <t>ТОВ "ТІНОС-Д"</t>
        </is>
      </c>
      <c r="D365" t="inlineStr">
        <is>
          <t>42289645</t>
        </is>
      </c>
      <c r="E365" t="inlineStr">
        <is>
          <t>КП «ВОЛИНСЬКЕ ОБЛАСНЕ ТЕРИТОРІАЛЬНЕ МЕДИЧНЕ ОБ’ЄДНАНННЯ ЗАХИСТУ МАТЕРИНСТВА І ДИТИНСТВА» ВОЛИНСЬКОЇ ОБЛАСНОЇ РАДИ</t>
        </is>
      </c>
      <c r="F365" s="13" t="n">
        <v>75960</v>
      </c>
      <c r="G365" t="inlineStr">
        <is>
          <t>Відмова від договору</t>
        </is>
      </c>
      <c r="H365" t="inlineStr">
        <is>
          <t>Переможець письмово відмовився від укладення договору на умовах, визначених замовником у запиті пропозицій постачальників, шляхом заповнення електронних форм з окремими полями та у проекті договору, що є складовою частиною запиту пропозицій постачальників</t>
        </is>
      </c>
      <c r="I365" t="inlineStr">
        <is>
          <t>Переможець письмово відмовився від укладення договору</t>
        </is>
      </c>
    </row>
    <row r="366">
      <c r="A366" s="4" t="inlineStr">
        <is>
          <t>UA-2025-10-24-010296-a</t>
        </is>
      </c>
      <c r="B366" t="inlineStr">
        <is>
          <t>2025-11-04</t>
        </is>
      </c>
      <c r="C366" t="inlineStr">
        <is>
          <t>ТОВ "СІНТ-ДНІПРОПЕТРОВСЬК"</t>
        </is>
      </c>
      <c r="D366" t="inlineStr">
        <is>
          <t>38199744</t>
        </is>
      </c>
      <c r="E366" t="inlineStr">
        <is>
          <t>Територіальне управління Державної судової адміністрації України в Волинській області</t>
        </is>
      </c>
      <c r="F366" s="13" t="n">
        <v>75402</v>
      </c>
      <c r="G366" t="inlineStr">
        <is>
          <t>Не підписав договір у строк</t>
        </is>
      </c>
      <c r="H366" t="inlineStr">
        <is>
          <t>Переможець не підписав договір у строк, визначений абзацом першим пункту 66 цього Порядку</t>
        </is>
      </c>
      <c r="I366" t="inlineStr">
        <is>
          <t>у зв’язку з тим, що ТОВ "СІНТ-ДНІПРОПЕТРОВСЬК", визначені переможцем 29.10.2025, станом на 04.11.2025 не вийшли на зв’язок для підписання договору, виникла необхідність відхилення її пропозиції у зв’язку з не підписанням договору у встановлений строк, відповідно до абзацу першого пункту 66 Порядку.</t>
        </is>
      </c>
    </row>
    <row r="367">
      <c r="A367" s="4" t="inlineStr">
        <is>
          <t>UA-2025-12-16-022042-a</t>
        </is>
      </c>
      <c r="B367" t="inlineStr">
        <is>
          <t>2025-12-22</t>
        </is>
      </c>
      <c r="C367" t="inlineStr">
        <is>
          <t>ТОВ "АРТЛАЙН ІНТЕГРАЦІЯ"</t>
        </is>
      </c>
      <c r="D367" t="inlineStr">
        <is>
          <t>40733799</t>
        </is>
      </c>
      <c r="E367" t="inlineStr">
        <is>
          <t>КНП «Камінь-Каширська центральна районна лікарня» Камінь-Каширської міської ради Волинської області</t>
        </is>
      </c>
      <c r="F367" s="13" t="n">
        <v>74970</v>
      </c>
      <c r="G367" t="inlineStr">
        <is>
          <t>Відмова від договору</t>
        </is>
      </c>
      <c r="H367" t="inlineStr">
        <is>
          <t>письмово відмовився від укладання договору на умовах, визначених у запиті пропозицій постачальників</t>
        </is>
      </c>
      <c r="I367" t="inlineStr">
        <is>
          <t>Учасник письмово відмовився від укладання договору на умовах, визначених у запиті пропозицій постачальників</t>
        </is>
      </c>
    </row>
    <row r="368">
      <c r="A368" s="4" t="inlineStr">
        <is>
          <t>UA-2026-03-16-002706-a</t>
        </is>
      </c>
      <c r="B368" t="inlineStr">
        <is>
          <t>2026-03-19</t>
        </is>
      </c>
      <c r="C368" t="inlineStr">
        <is>
          <t>ТОВ "КУБІК ГРУП"</t>
        </is>
      </c>
      <c r="D368" t="inlineStr">
        <is>
          <t>44554976</t>
        </is>
      </c>
      <c r="E368" t="inlineStr">
        <is>
          <t>КП "Медичне об'єднання Луцької міської територіальної громади"</t>
        </is>
      </c>
      <c r="F368" s="13" t="n">
        <v>73800</v>
      </c>
      <c r="G368" t="inlineStr">
        <is>
          <t>Відмова від договору</t>
        </is>
      </c>
      <c r="H368" t="inlineStr">
        <is>
          <t>письмово відмовився від укладення договору на умовах, визначених замовником у запиті пропозицій постачальників, шляхом заповнення електронних форм з окремими полями та у проекті договору, що є складовою частиною запиту пропозицій постачальників.</t>
        </is>
      </c>
      <c r="I368" t="inlineStr">
        <is>
          <t>письмово відмовився від укладення договору на умовах, визначених замовником у запиті пропозицій постачальників, шляхом заповнення електронних форм з окремими полями та у проекті договору, що є складовою частиною запиту пропозицій постачальників.</t>
        </is>
      </c>
    </row>
    <row r="369">
      <c r="A369" s="4" t="inlineStr">
        <is>
          <t>UA-2025-10-24-010296-a</t>
        </is>
      </c>
      <c r="B369" t="inlineStr">
        <is>
          <t>2025-10-29</t>
        </is>
      </c>
      <c r="C369" t="inlineStr">
        <is>
          <t>ФОП Лисенко Михайло Миколайович</t>
        </is>
      </c>
      <c r="D369" t="inlineStr">
        <is>
          <t>2322513639</t>
        </is>
      </c>
      <c r="E369" t="inlineStr">
        <is>
          <t>Територіальне управління Державної судової адміністрації України в Волинській області</t>
        </is>
      </c>
      <c r="F369" s="13" t="n">
        <v>72846</v>
      </c>
      <c r="G369" t="inlineStr">
        <is>
          <t>Відмова від договору</t>
        </is>
      </c>
      <c r="H369" t="inlineStr">
        <is>
          <t>Переможець письмово відмовився від укладання договору на умовах, визначених у запиті пропозицій постачальників</t>
        </is>
      </c>
      <c r="I369" t="inlineStr">
        <is>
          <t>Переможець письмово відмовився від укладання договору на умовах, визначених у запиті пропозицій постачальників</t>
        </is>
      </c>
    </row>
    <row r="370">
      <c r="A370" s="4" t="inlineStr">
        <is>
          <t>UA-2025-10-02-010895-a</t>
        </is>
      </c>
      <c r="B370" t="inlineStr">
        <is>
          <t>2025-10-09</t>
        </is>
      </c>
      <c r="C370" t="inlineStr">
        <is>
          <t>ФОП Козловський Сергій Павлович</t>
        </is>
      </c>
      <c r="D370" t="inlineStr">
        <is>
          <t>2948314313</t>
        </is>
      </c>
      <c r="E370" t="inlineStr">
        <is>
          <t>КП "Медичне об'єднання Луцької міської територіальної громади"</t>
        </is>
      </c>
      <c r="F370" s="13" t="n">
        <v>72776.10000000001</v>
      </c>
      <c r="G370" t="inlineStr">
        <is>
          <t>Відмова від договору</t>
        </is>
      </c>
      <c r="H370" t="inlineStr">
        <is>
          <t>письмово відмовився від укладання договору на умовах, визначених у запиті пропозицій постачальників</t>
        </is>
      </c>
      <c r="I370" t="inlineStr">
        <is>
          <t>письмово відмовився від укладання договору на умовах, визначених у запиті пропозицій постачальників</t>
        </is>
      </c>
    </row>
    <row r="371">
      <c r="A371" s="4" t="inlineStr">
        <is>
          <t>UA-2025-09-25-014419-a</t>
        </is>
      </c>
      <c r="B371" t="inlineStr">
        <is>
          <t>2025-09-30</t>
        </is>
      </c>
      <c r="C371" t="inlineStr">
        <is>
          <t>ТОВ "КПІ-МАРКЕТ"</t>
        </is>
      </c>
      <c r="D371" t="inlineStr">
        <is>
          <t>41351235</t>
        </is>
      </c>
      <c r="E371" t="inlineStr">
        <is>
          <t>ВОЛИНСЬКА ОБЛАСНА ПРОКУРАТУРА</t>
        </is>
      </c>
      <c r="F371" s="13" t="n">
        <v>71682.48</v>
      </c>
      <c r="G371" t="inlineStr">
        <is>
          <t>Відмова від договору</t>
        </is>
      </c>
      <c r="H371" t="inlineStr">
        <is>
          <t>письмово відмовився від укладання договору на умовах, визначених у запиті пропозицій постачальників</t>
        </is>
      </c>
      <c r="I371" t="inlineStr">
        <is>
          <t>Учасник письмово відмовився від укладання договору на умовах, визначених у запиті пропозицій постачальників</t>
        </is>
      </c>
    </row>
    <row r="372">
      <c r="A372" s="4" t="inlineStr">
        <is>
          <t>UA-2025-10-24-010296-a</t>
        </is>
      </c>
      <c r="B372" t="inlineStr">
        <is>
          <t>2025-10-29</t>
        </is>
      </c>
      <c r="C372" t="inlineStr">
        <is>
          <t>ТОВ "ІДІДЖІ ГРУП"</t>
        </is>
      </c>
      <c r="D372" t="inlineStr">
        <is>
          <t>39776389</t>
        </is>
      </c>
      <c r="E372" t="inlineStr">
        <is>
          <t>Територіальне управління Державної судової адміністрації України в Волинській області</t>
        </is>
      </c>
      <c r="F372" s="13" t="n">
        <v>70583.94</v>
      </c>
      <c r="G372" t="inlineStr">
        <is>
          <t>Відмова від договору</t>
        </is>
      </c>
      <c r="H372" t="inlineStr">
        <is>
          <t>Переможець письмово відмовився від укладання договору на умовах, визначених у запиті пропозицій постачальників</t>
        </is>
      </c>
      <c r="I372" t="inlineStr">
        <is>
          <t>Переможець письмово відмовився від укладання договору на умовах, визначених у запиті пропозицій постачальників</t>
        </is>
      </c>
    </row>
    <row r="373">
      <c r="A373" s="4" t="inlineStr">
        <is>
          <t>UA-2026-08-19-010837-a</t>
        </is>
      </c>
      <c r="B373" t="inlineStr">
        <is>
          <t>2026-08-25</t>
        </is>
      </c>
      <c r="C373" t="inlineStr">
        <is>
          <t>ТОВ "ТІНОС-Д"</t>
        </is>
      </c>
      <c r="D373" t="inlineStr">
        <is>
          <t>42289645</t>
        </is>
      </c>
      <c r="E373" t="inlineStr">
        <is>
          <t>Любомльська міська рада</t>
        </is>
      </c>
      <c r="F373" s="13" t="n">
        <v>69120</v>
      </c>
      <c r="G373" t="inlineStr">
        <is>
          <t>Відмова від договору</t>
        </is>
      </c>
      <c r="H373" t="inlineStr">
        <is>
          <t>Письмово відмовився від укладення договору на умовах, визначених замовником у запиті пропозицій постачальників, шляхом заповнення електронних форм з окремими полями та у проекті договору, що є складовою частиною запиту пропозицій постачальників</t>
        </is>
      </c>
      <c r="I373" t="inlineStr"/>
    </row>
    <row r="374">
      <c r="A374" s="4" t="inlineStr">
        <is>
          <t>UA-2026-08-19-010837-a</t>
        </is>
      </c>
      <c r="B374" t="inlineStr">
        <is>
          <t>2026-08-25</t>
        </is>
      </c>
      <c r="C374" t="inlineStr">
        <is>
          <t>ТОВ "ОСТРІВ 1"</t>
        </is>
      </c>
      <c r="D374" t="inlineStr">
        <is>
          <t>44996712</t>
        </is>
      </c>
      <c r="E374" t="inlineStr">
        <is>
          <t>Любомльська міська рада</t>
        </is>
      </c>
      <c r="F374" s="13" t="n">
        <v>66907.5</v>
      </c>
      <c r="G374" t="inlineStr">
        <is>
          <t>Відмова від договору</t>
        </is>
      </c>
      <c r="H374" t="inlineStr">
        <is>
          <t>Письмово відмовився від укладення договору на умовах, визначених замовником у запиті пропозицій постачальників, шляхом заповнення електронних форм з окремими полями та у проекті договору, що є складовою частиною запиту пропозицій постачальників</t>
        </is>
      </c>
      <c r="I374" t="inlineStr"/>
    </row>
    <row r="375">
      <c r="A375" s="4" t="inlineStr">
        <is>
          <t>UA-2026-04-29-011229-a</t>
        </is>
      </c>
      <c r="B375" t="inlineStr">
        <is>
          <t>2026-05-05</t>
        </is>
      </c>
      <c r="C375" t="inlineStr">
        <is>
          <t>ТОВ "ТІНОС-Д"</t>
        </is>
      </c>
      <c r="D375" t="inlineStr">
        <is>
          <t>42289645</t>
        </is>
      </c>
      <c r="E375" t="inlineStr">
        <is>
          <t>ВИРОБНИЧЕ УПРАВЛІННЯ КОМУНАЛЬНОГО ГОСПОДАРСТВА НОВОВОЛИНСКОЇ МІСЬКОЇ РАДИ</t>
        </is>
      </c>
      <c r="F375" s="13" t="n">
        <v>65940</v>
      </c>
      <c r="G375" t="inlineStr">
        <is>
          <t>Відмова від договору</t>
        </is>
      </c>
      <c r="H375" t="inlineStr">
        <is>
          <t>Переможець письмово відмовився від укладення договору на умовах, визначених замовником у запиті пропозицій постачальників, шляхом заповнення електронних форм з окремими полями та у проекті договору, що є складовою частиною запиту пропозицій постачальників</t>
        </is>
      </c>
      <c r="I375" t="inlineStr">
        <is>
          <t>Переможець відмовився від підписання договору, згідно листа (вих.№412:53 від 05.05.2026р.), в зв'язку з відсутністю товару на складах,</t>
        </is>
      </c>
    </row>
    <row r="376">
      <c r="A376" s="4" t="inlineStr">
        <is>
          <t>UA-2025-11-21-016116-a</t>
        </is>
      </c>
      <c r="B376" t="inlineStr">
        <is>
          <t>2025-12-02</t>
        </is>
      </c>
      <c r="C376" t="inlineStr">
        <is>
          <t>ТОВ "КОМПАКОМ"</t>
        </is>
      </c>
      <c r="D376" t="inlineStr">
        <is>
          <t>45596933</t>
        </is>
      </c>
      <c r="E376" t="inlineStr">
        <is>
          <t>Старовижівський професійний ліцей</t>
        </is>
      </c>
      <c r="F376" s="13" t="n">
        <v>64000</v>
      </c>
      <c r="G376" t="inlineStr">
        <is>
          <t>Відмова від договору</t>
        </is>
      </c>
      <c r="H376" t="inlineStr">
        <is>
          <t>Переможець письмово відмовився від укладання договору на умовах, визначених у запиті пропозицій постачальників</t>
        </is>
      </c>
      <c r="I376" t="inlineStr">
        <is>
          <t>Переможець письмово відмовився від укладання договору на умовах, визначених у запиті пропозицій постачальників</t>
        </is>
      </c>
    </row>
    <row r="377">
      <c r="A377" s="4" t="inlineStr">
        <is>
          <t>UA-2026-05-18-012093-a</t>
        </is>
      </c>
      <c r="B377" t="inlineStr">
        <is>
          <t>2026-05-27</t>
        </is>
      </c>
      <c r="C377" t="inlineStr">
        <is>
          <t>ТОВ "ТІНОС-Д"</t>
        </is>
      </c>
      <c r="D377" t="inlineStr">
        <is>
          <t>42289645</t>
        </is>
      </c>
      <c r="E377" t="inlineStr">
        <is>
          <t>ВИРОБНИЧЕ УПРАВЛІННЯ КОМУНАЛЬНОГО ГОСПОДАРСТВА НОВОВОЛИНСКОЇ МІСЬКОЇ РАДИ</t>
        </is>
      </c>
      <c r="F377" s="13" t="n">
        <v>62232</v>
      </c>
      <c r="G377" t="inlineStr">
        <is>
          <t>Відмова від договору</t>
        </is>
      </c>
      <c r="H377" t="inlineStr">
        <is>
          <t>Переможець письмово відмовився від укладення договору на умовах, визначених замовником у запиті пропозицій постачальників, шляхом заповнення електронних форм з окремими полями та у проекті договору, що є складовою частиною запиту пропозицій постачальників</t>
        </is>
      </c>
      <c r="I377" t="inlineStr">
        <is>
          <t>Переможець письмово відмовився від укладення договору (Лист-відмова №44:15 від 26.05.2026р.) на умовах, визначених замовником у запиті пропозицій постачальників, шляхом заповнення електронних форм з окремими полями та у проекті договору, що є складовою частиною запиту пропозицій постачальників</t>
        </is>
      </c>
    </row>
    <row r="378">
      <c r="A378" s="4" t="inlineStr">
        <is>
          <t>UA-2025-09-16-014691-a</t>
        </is>
      </c>
      <c r="B378" t="inlineStr">
        <is>
          <t>2025-09-29</t>
        </is>
      </c>
      <c r="C378" t="inlineStr">
        <is>
          <t>ФОП Кофан Дмитро Юрійович</t>
        </is>
      </c>
      <c r="D378" t="inlineStr">
        <is>
          <t>3467108376</t>
        </is>
      </c>
      <c r="E378" t="inlineStr">
        <is>
          <t>НОВОВОЛИНСЬКИЙ ЛІЦЕЙ № 7 НОВОВОЛИНСЬКОЇ МІСЬКОЇ РАДИ ВОЛИНСЬКОЇ ОБЛАСТІ</t>
        </is>
      </c>
      <c r="F378" s="13" t="n">
        <v>60450</v>
      </c>
      <c r="G378" t="inlineStr">
        <is>
          <t>Відмова від договору</t>
        </is>
      </c>
      <c r="H378" t="inlineStr">
        <is>
          <t>Переможець письмово відмовився від укладання договору на умовах, визначених у запиті пропозицій постачальників</t>
        </is>
      </c>
      <c r="I378" t="inlineStr">
        <is>
          <t>Станом на “29” вересня 2025р. від ФІЗИЧНА ОСОБА-ПІДПРИЄМЕЦЬ Кофан Дмитро Юрійович, ІПН – 3467108376 отримано лист від 29.09.2025р. з повідомленням про відмову від підписання договору на умовах, визначених замовником у запиті пропозицій постачальників, зокрема у проекті договору, що є складовою частиною запиту пропозицій постачальників; Керуючись підпунктом 2 пункту 64 Порядку «Замовник відхиляє тендерну пропозицію із зазначенням аргументації в електронній системі закупівель у разі, коли переможе</t>
        </is>
      </c>
    </row>
    <row r="379">
      <c r="A379" s="4" t="inlineStr">
        <is>
          <t>UA-2025-11-21-016116-a</t>
        </is>
      </c>
      <c r="B379" t="inlineStr">
        <is>
          <t>2025-12-02</t>
        </is>
      </c>
      <c r="C379" t="inlineStr">
        <is>
          <t>ТОВ «ПБГ19»</t>
        </is>
      </c>
      <c r="D379" t="inlineStr">
        <is>
          <t>45701274</t>
        </is>
      </c>
      <c r="E379" t="inlineStr">
        <is>
          <t>Старовижівський професійний ліцей</t>
        </is>
      </c>
      <c r="F379" s="13" t="n">
        <v>60000</v>
      </c>
      <c r="G379" t="inlineStr">
        <is>
          <t>Не підписав договір у строк</t>
        </is>
      </c>
      <c r="H379" t="inlineStr">
        <is>
          <t>Переможець не підписав договір у строк, визначений абзацом першим пункту 66 цього Порядку</t>
        </is>
      </c>
      <c r="I379" t="inlineStr">
        <is>
          <t>Станом на 01 грудня 2025р. переможець процедури ТОВ "ПБГ19", ЄДРПОУ- 45701274 не підписав договір у строк, визначений абзацом першим пункту 66 Порядку № 822, а саме: не надав підписаний договір у строк визначений абзацом першим пункту 66 цього Порядку, а отже вважається таким, що не підписав договір у строк визначений абзацом першим пункту 66 цього Порядку. Враховуючи викладене, пропозиція Переможця відбору підлягає відхиленню відповідно до підпункту 1 пункту 64 Порядку № 822.</t>
        </is>
      </c>
    </row>
    <row r="380">
      <c r="A380" s="4" t="inlineStr">
        <is>
          <t>UA-2025-11-26-016793-a</t>
        </is>
      </c>
      <c r="B380" t="inlineStr">
        <is>
          <t>2025-12-12</t>
        </is>
      </c>
      <c r="C380" t="inlineStr">
        <is>
          <t>ФОП "КУЧЕР ВСЕВОЛОД БОРИСОВИЧ"</t>
        </is>
      </c>
      <c r="D380" t="inlineStr">
        <is>
          <t>3077311899</t>
        </is>
      </c>
      <c r="E380" t="inlineStr">
        <is>
          <t>УПРАВЛІННЯ СЛУЖБИ БЕЗПЕКИ УКРАЇНИ У ВОЛИНСЬКІЙ ОБЛАСТІ</t>
        </is>
      </c>
      <c r="F380" s="13" t="n">
        <v>59700</v>
      </c>
      <c r="G380" t="inlineStr">
        <is>
          <t>Відмова від договору</t>
        </is>
      </c>
      <c r="H380" t="inlineStr">
        <is>
          <t>відмовився від підписання договору про закупівлю відповідно до вимог тендерної документації або укладення договору про закупівлю;</t>
        </is>
      </c>
      <c r="I380" t="inlineStr">
        <is>
          <t>відмовився від підписання договору про закупівлю відповідно до вимог тендерної документації або укладення договору про закупівлю;</t>
        </is>
      </c>
    </row>
    <row r="381">
      <c r="A381" s="4" t="inlineStr">
        <is>
          <t>UA-2025-09-16-014691-a</t>
        </is>
      </c>
      <c r="B381" t="inlineStr">
        <is>
          <t>2025-09-25</t>
        </is>
      </c>
      <c r="C381" t="inlineStr">
        <is>
          <t>ФОП ПРІСИЧ ДМИТРО МИКОЛАЙОВИЧ</t>
        </is>
      </c>
      <c r="D381" t="inlineStr">
        <is>
          <t>3248805838</t>
        </is>
      </c>
      <c r="E381" t="inlineStr">
        <is>
          <t>НОВОВОЛИНСЬКИЙ ЛІЦЕЙ № 7 НОВОВОЛИНСЬКОЇ МІСЬКОЇ РАДИ ВОЛИНСЬКОЇ ОБЛАСТІ</t>
        </is>
      </c>
      <c r="F381" s="13" t="n">
        <v>56997</v>
      </c>
      <c r="G381" t="inlineStr">
        <is>
          <t>Відмова від договору</t>
        </is>
      </c>
      <c r="H381" t="inlineStr">
        <is>
          <t>Переможець письмово відмовився від укладання договору на умовах, визначених у запиті пропозицій постачальників</t>
        </is>
      </c>
      <c r="I381" t="inlineStr">
        <is>
          <t>Станом на “25” вересня 2025р. від ФІЗИЧНА ОСОБА-ПІДПРИЄМЕЦЬ ПРІСИЧ ДМИТРО МИКОЛАЙОВИЧ, ІПН – 3248805838 отримано лист від 22.08.2025р. з повідомленням про відмову від підписання договору на умовах, визначених замовником у запиті пропозицій постачальників, зокрема у проекті договору, що є складовою частиною запиту пропозицій постачальників; Керуючись підпунктом 2 пункту 64 Порядку «Замовник відхиляє тендерну пропозицію із зазначенням аргументації в електронній системі закупівель у разі, коли пере</t>
        </is>
      </c>
    </row>
    <row r="382">
      <c r="A382" s="4" t="inlineStr">
        <is>
          <t>UA-2026-06-11-011181-a</t>
        </is>
      </c>
      <c r="B382" t="inlineStr">
        <is>
          <t>2026-06-18</t>
        </is>
      </c>
      <c r="C382" t="inlineStr">
        <is>
          <t>ТОВ "ТІНОС-Д"</t>
        </is>
      </c>
      <c r="D382" t="inlineStr">
        <is>
          <t>42289645</t>
        </is>
      </c>
      <c r="E382" t="inlineStr">
        <is>
          <t>ВИКОНАВЧИЙ КОМІТЕТ НОВОВОЛИНСЬКОЇ МІСЬКОЇ РАДИ</t>
        </is>
      </c>
      <c r="F382" s="13" t="n">
        <v>56760</v>
      </c>
      <c r="G382" t="inlineStr">
        <is>
          <t>Відмова від договору</t>
        </is>
      </c>
      <c r="H382" t="inlineStr">
        <is>
          <t>Переможець письмово відмовився від укладення договору на умовах, визначених замовником у запиті пропозицій постачальників, шляхом заповнення електронних форм з окремими полями та у проекті договору, що є складовою частиною запиту пропозицій постачальників</t>
        </is>
      </c>
      <c r="I382" t="inlineStr">
        <is>
          <t>Переможець письмово відмовився від укладення договору на умовах, визначених замовником у запиті пропозицій постачальників, шляхом заповнення електронних форм з окремими полями та у проекті договору, що є складовою частиною запиту пропозицій постачальників</t>
        </is>
      </c>
    </row>
    <row r="383">
      <c r="A383" s="4" t="inlineStr">
        <is>
          <t>UA-2025-09-16-014691-a</t>
        </is>
      </c>
      <c r="B383" t="inlineStr">
        <is>
          <t>2025-09-25</t>
        </is>
      </c>
      <c r="C383" t="inlineStr">
        <is>
          <t>ТОВ "ТІНОС-Д"</t>
        </is>
      </c>
      <c r="D383" t="inlineStr">
        <is>
          <t>42289645</t>
        </is>
      </c>
      <c r="E383" t="inlineStr">
        <is>
          <t>НОВОВОЛИНСЬКИЙ ЛІЦЕЙ № 7 НОВОВОЛИНСЬКОЇ МІСЬКОЇ РАДИ ВОЛИНСЬКОЇ ОБЛАСТІ</t>
        </is>
      </c>
      <c r="F383" s="13" t="n">
        <v>56718</v>
      </c>
      <c r="G383" t="inlineStr">
        <is>
          <t>Не підписав договір у строк</t>
        </is>
      </c>
      <c r="H383" t="inlineStr">
        <is>
          <t>Переможець не підписав договір у строк, визначений абзацом першим пункту 66 цього Порядку</t>
        </is>
      </c>
      <c r="I383" t="inlineStr">
        <is>
          <t>Станом на “25” вересня 2025р. переможець процедури ТОВ "ТІНОС-Д", ЄДРПОУ - 42289645 не підписав договір у строк, визначений абзацом першим пункту 66 Порядку № 822, а саме: не надав підписаний договір у строк визначений абзацом першим пункту 66 цього Порядку, а отже вважається таким, що не підписав договір у строк визначений абзацом першим пункту 66 цього Порядку. Враховуючи викладене, пропозиція Переможця відбору підлягає відхиленню відповідно до підпункту 1 пункту 64 Порядку № 822.</t>
        </is>
      </c>
    </row>
    <row r="384">
      <c r="A384" s="4" t="inlineStr">
        <is>
          <t>UA-2025-10-10-009139-a</t>
        </is>
      </c>
      <c r="B384" t="inlineStr">
        <is>
          <t>2025-10-20</t>
        </is>
      </c>
      <c r="C384" t="inlineStr">
        <is>
          <t>ТОВ "ТІНОС-Д"</t>
        </is>
      </c>
      <c r="D384" t="inlineStr">
        <is>
          <t>42289645</t>
        </is>
      </c>
      <c r="E384" t="inlineStr">
        <is>
          <t>Поромівська сільська рада</t>
        </is>
      </c>
      <c r="F384" s="13" t="n">
        <v>54612</v>
      </c>
      <c r="G384" t="inlineStr">
        <is>
          <t>Відмова від договору</t>
        </is>
      </c>
      <c r="H384" t="inlineStr">
        <is>
          <t>письмово відмовився від укладання договору на умовах, визначених у запиті пропозицій постачальників</t>
        </is>
      </c>
      <c r="I384" t="inlineStr">
        <is>
          <t>ТОВ «Тінос-Д» в особі директора Малієнко О.С. повідомляє, у зв'язку з відсутністю товару на складах ми відмовляємось від підписання договору по закупівлі UA-2025-10-10-009139-a.</t>
        </is>
      </c>
    </row>
    <row r="385">
      <c r="A385" s="4" t="inlineStr">
        <is>
          <t>UA-2025-10-02-010895-a</t>
        </is>
      </c>
      <c r="B385" t="inlineStr">
        <is>
          <t>2025-10-09</t>
        </is>
      </c>
      <c r="C385" t="inlineStr">
        <is>
          <t>ФОП ВИНИЧУК НАТАЛІЯ ЮРІЇВНА</t>
        </is>
      </c>
      <c r="D385" t="inlineStr">
        <is>
          <t>3755010043</t>
        </is>
      </c>
      <c r="E385" t="inlineStr">
        <is>
          <t>КП "Медичне об'єднання Луцької міської територіальної громади"</t>
        </is>
      </c>
      <c r="F385" s="13" t="n">
        <v>54300</v>
      </c>
      <c r="G385" t="inlineStr">
        <is>
          <t>Відмова від договору</t>
        </is>
      </c>
      <c r="H385" t="inlineStr">
        <is>
          <t>письмово відмовився від укладання договору на умовах, визначених у запиті пропозицій постачальників</t>
        </is>
      </c>
      <c r="I385" t="inlineStr">
        <is>
          <t>В межах визначеної адміністратором специфікації товару, Замовником в проекті договору визначено, що Товар, який планує закупити Замовник є в наступній коплектації 3D принтер Bambu Lab X1 Carbon (європейська версія) в комплектації: -Блок AMS 2Pro для автоматичної заміни філаменту для 3D принтера Bambu Lab; -Хотенд з соплом із нержавіючої сталі 0.2 мм в зборі для 3D принтера Х1 та Х1С Bambu Lab; -Комплект для підключення AMS 2 Pro (AMS 2 Pro Upgrade Kit); -PLA-пластик Basic Bambu Lab Filament Blac</t>
        </is>
      </c>
    </row>
    <row r="386">
      <c r="A386" s="4" t="inlineStr">
        <is>
          <t>UA-2025-10-27-011448-a</t>
        </is>
      </c>
      <c r="B386" t="inlineStr">
        <is>
          <t>2025-10-31</t>
        </is>
      </c>
      <c r="C386" t="inlineStr">
        <is>
          <t>ФОП Козловський Сергій Павлович</t>
        </is>
      </c>
      <c r="D386" t="inlineStr">
        <is>
          <t>2948314313</t>
        </is>
      </c>
      <c r="E386" t="inlineStr">
        <is>
          <t>ВИКОНАВЧИЙ КОМІТЕТ НОВОВОЛИНСЬКОЇ МІСЬКОЇ РАДИ</t>
        </is>
      </c>
      <c r="F386" s="13" t="n">
        <v>53824</v>
      </c>
      <c r="G386" t="inlineStr">
        <is>
          <t>Відмова від договору</t>
        </is>
      </c>
      <c r="H386" t="inlineStr">
        <is>
          <t>Переможець письмово відмовився від укладання договору на умовах, визначених у запиті пропозицій постачальників</t>
        </is>
      </c>
      <c r="I386" t="inlineStr">
        <is>
          <t>Переможець письмово відмовився від укладання договору на умовах, визначених у запиті пропозицій постачальників</t>
        </is>
      </c>
    </row>
    <row r="387">
      <c r="A387" s="4" t="inlineStr">
        <is>
          <t>UA-2026-01-06-005477-a</t>
        </is>
      </c>
      <c r="B387" t="inlineStr">
        <is>
          <t>2026-01-15</t>
        </is>
      </c>
      <c r="C387" t="inlineStr">
        <is>
          <t>ФОП БІЛОЗЕРСЬКИЙ ОЛЕГ МИКОЛАЙОВИЧ</t>
        </is>
      </c>
      <c r="D387" t="inlineStr">
        <is>
          <t>1974306055</t>
        </is>
      </c>
      <c r="E387" t="inlineStr">
        <is>
          <t>ВІДДІЛ ОСВІТИ, МОЛОДІ ТА СПОРТУ МАНЕВИЦЬКОЇ СЕЛИЩНОЇ РАДИ</t>
        </is>
      </c>
      <c r="F387" s="13" t="n">
        <v>53215.65</v>
      </c>
      <c r="G387" t="inlineStr">
        <is>
          <t>Не підписав договір у строк</t>
        </is>
      </c>
      <c r="H387" t="inlineStr">
        <is>
          <t>не підписав договір у строк, визначений абзацом першим пункту 66 цього Порядку</t>
        </is>
      </c>
      <c r="I387" t="inlineStr">
        <is>
          <t>не підписав договір у строк, визначений абзацом першим пункту 66 цього Порядку</t>
        </is>
      </c>
    </row>
    <row r="388">
      <c r="A388" s="4" t="inlineStr">
        <is>
          <t>UA-2026-05-18-012093-a</t>
        </is>
      </c>
      <c r="B388" t="inlineStr">
        <is>
          <t>2026-05-25</t>
        </is>
      </c>
      <c r="C388" t="inlineStr">
        <is>
          <t>ФОП "Гріпіч Тетяна Борисівна"</t>
        </is>
      </c>
      <c r="D388" t="inlineStr">
        <is>
          <t>2850105825</t>
        </is>
      </c>
      <c r="E388" t="inlineStr">
        <is>
          <t>ВИРОБНИЧЕ УПРАВЛІННЯ КОМУНАЛЬНОГО ГОСПОДАРСТВА НОВОВОЛИНСКОЇ МІСЬКОЇ РАДИ</t>
        </is>
      </c>
      <c r="F388" s="13" t="n">
        <v>53100</v>
      </c>
      <c r="G388" t="inlineStr">
        <is>
          <t>Відмова від договору</t>
        </is>
      </c>
      <c r="H388" t="inlineStr">
        <is>
          <t>Переможець письмово відмовився від укладення договору на умовах, визначених замовником у запиті пропозицій постачальників, шляхом заповнення електронних форм з окремими полями та у проекті договору, що є складовою частиною запиту пропозицій постачальників</t>
        </is>
      </c>
      <c r="I388" t="inlineStr">
        <is>
          <t>Переможець письмово відмовився від укладення договору (Лист-відмова б/н від 25.05.2026р.) на умовах, визначених замовником у запиті пропозицій постачальників, шляхом заповнення електронних форм з окремими полями та у проекті договору, що є складовою частиною запиту пропозицій постачальників</t>
        </is>
      </c>
    </row>
    <row r="389">
      <c r="A389" s="4" t="inlineStr">
        <is>
          <t>UA-2025-11-14-014735-a</t>
        </is>
      </c>
      <c r="B389" t="inlineStr">
        <is>
          <t>2025-11-20</t>
        </is>
      </c>
      <c r="C389" t="inlineStr">
        <is>
          <t>ТОВ "КОМПАКОМ"</t>
        </is>
      </c>
      <c r="D389" t="inlineStr">
        <is>
          <t>45596933</t>
        </is>
      </c>
      <c r="E389" t="inlineStr">
        <is>
          <t>ВІЙСЬКОВА ЧАСТИНА 1141 НАЦІОНАЛЬНОЇ ГВАРДІЇ УКРАЇНИ</t>
        </is>
      </c>
      <c r="F389" s="13" t="n">
        <v>52000</v>
      </c>
      <c r="G389" t="inlineStr">
        <is>
          <t>Відмова від договору</t>
        </is>
      </c>
      <c r="H389" t="inlineStr">
        <is>
          <t>Переможець письмово відмовився від укладання договору на умовах, визначених у запиті пропозицій постачальників</t>
        </is>
      </c>
      <c r="I389" t="inlineStr">
        <is>
          <t>Переможець письмово відмовився від укладання договору на умовах, визначених у запиті пропозицій постачальників</t>
        </is>
      </c>
    </row>
    <row r="390">
      <c r="A390" s="4" t="inlineStr">
        <is>
          <t>UA-2026-05-18-012093-a</t>
        </is>
      </c>
      <c r="B390" t="inlineStr">
        <is>
          <t>2026-05-25</t>
        </is>
      </c>
      <c r="C390" t="inlineStr">
        <is>
          <t>ФОП ПРІСИЧ ДМИТРО МИКОЛАЙОВИЧ</t>
        </is>
      </c>
      <c r="D390" t="inlineStr">
        <is>
          <t>3248805838</t>
        </is>
      </c>
      <c r="E390" t="inlineStr">
        <is>
          <t>ВИРОБНИЧЕ УПРАВЛІННЯ КОМУНАЛЬНОГО ГОСПОДАРСТВА НОВОВОЛИНСКОЇ МІСЬКОЇ РАДИ</t>
        </is>
      </c>
      <c r="F390" s="13" t="n">
        <v>49960</v>
      </c>
      <c r="G390" t="inlineStr">
        <is>
          <t>Відмова від договору</t>
        </is>
      </c>
      <c r="H390" t="inlineStr">
        <is>
          <t>Переможець письмово відмовився від укладення договору на умовах, визначених замовником у запиті пропозицій постачальників, шляхом заповнення електронних форм з окремими полями та у проекті договору, що є складовою частиною запиту пропозицій постачальників</t>
        </is>
      </c>
      <c r="I390" t="inlineStr">
        <is>
          <t>Переможець письмово відмовився від укладення договору (лист-відмова б/н від 25.05.2026р.) на умовах, визначених замовником у запиті пропозицій постачальників, шляхом заповнення електронних форм з окремими полями та у проекті договору, що є складовою частиною запиту пропозицій постачальників</t>
        </is>
      </c>
    </row>
    <row r="391">
      <c r="A391" s="4" t="inlineStr">
        <is>
          <t>UA-2025-10-24-002130-a</t>
        </is>
      </c>
      <c r="B391" t="inlineStr">
        <is>
          <t>2025-10-31</t>
        </is>
      </c>
      <c r="C391" t="inlineStr">
        <is>
          <t>ТОВ ПРИВАТЕНЕРГО</t>
        </is>
      </c>
      <c r="D391" t="inlineStr">
        <is>
          <t>36253988</t>
        </is>
      </c>
      <c r="E391" t="inlineStr">
        <is>
          <t>Виконавчий комітет Ковельської міської ради</t>
        </is>
      </c>
      <c r="F391" s="13" t="n">
        <v>48600</v>
      </c>
      <c r="G391" t="inlineStr">
        <is>
          <t>Відмова від договору</t>
        </is>
      </c>
      <c r="H391" t="inlineStr">
        <is>
          <t>письмово відмовився від укладання договору на умовах, визначених у запиті пропозицій постачальників</t>
        </is>
      </c>
      <c r="I391" t="inlineStr"/>
    </row>
    <row r="392">
      <c r="A392" s="4" t="inlineStr">
        <is>
          <t>UA-2026-02-09-016135-a</t>
        </is>
      </c>
      <c r="B392" t="inlineStr">
        <is>
          <t>2026-02-18</t>
        </is>
      </c>
      <c r="C392" t="inlineStr">
        <is>
          <t>ФОП "ЩЕСНЯК ЄВГЕН АНАТОЛІЙОВИЧ"</t>
        </is>
      </c>
      <c r="D392" t="inlineStr">
        <is>
          <t>3136508474</t>
        </is>
      </c>
      <c r="E392" t="inlineStr">
        <is>
          <t>ВІЙСЬКОВА ЧАСТИНА 1141 НАЦІОНАЛЬНОЇ ГВАРДІЇ УКРАЇНИ</t>
        </is>
      </c>
      <c r="F392" s="13" t="n">
        <v>47500</v>
      </c>
      <c r="G392" t="inlineStr">
        <is>
          <t>Відмова від договору</t>
        </is>
      </c>
      <c r="H392" t="inlineStr">
        <is>
          <t>Переможець письмово відмовився від укладення договору на умовах, визначених замовником у запиті пропозицій постачальників, шляхом заповнення електронних форм з окремими полями та у проекті договору, що є складовою частиною запиту пропозицій постачальників</t>
        </is>
      </c>
      <c r="I392" t="inlineStr">
        <is>
          <t>Переможець письмово відмовився від укладення договору на умовах, визначених замовником у запиті пропозицій постачальників, шляхом заповнення електронних форм з окремими полями та у проекті договору, що є складовою частиною запиту пропозицій постачальників</t>
        </is>
      </c>
    </row>
    <row r="393">
      <c r="A393" s="4" t="inlineStr">
        <is>
          <t>UA-2025-10-21-017581-a</t>
        </is>
      </c>
      <c r="B393" t="inlineStr">
        <is>
          <t>2025-11-03</t>
        </is>
      </c>
      <c r="C393" t="inlineStr">
        <is>
          <t>ФОП Чернявська Анастасія Юріївна</t>
        </is>
      </c>
      <c r="D393" t="inlineStr">
        <is>
          <t>3383703724</t>
        </is>
      </c>
      <c r="E393" t="inlineStr">
        <is>
          <t>НОВОВОЛИНСЬКИЙ ЛІЦЕЙ №9 НОВОВОЛИНСЬКОЇ МІСЬКОЇ РАДИ ВОЛИНСЬКОЇ ОБЛАСТІ</t>
        </is>
      </c>
      <c r="F393" s="13" t="n">
        <v>47000</v>
      </c>
      <c r="G393" t="inlineStr">
        <is>
          <t>Відмова від договору</t>
        </is>
      </c>
      <c r="H393" t="inlineStr">
        <is>
          <t>Переможець письмово відмовився від укладання договору на умовах, визначених у запиті пропозицій постачальників</t>
        </is>
      </c>
      <c r="I393" t="inlineStr">
        <is>
          <t>Переможець письмово відмовився від укладання договору у зв'язку із допущенням арифметичної помилки в розрахунку вартості.</t>
        </is>
      </c>
    </row>
    <row r="394">
      <c r="A394" s="4" t="inlineStr">
        <is>
          <t>UA-2026-06-12-000135-a</t>
        </is>
      </c>
      <c r="B394" t="inlineStr">
        <is>
          <t>2026-06-18</t>
        </is>
      </c>
      <c r="C394" t="inlineStr">
        <is>
          <t>ТОВ "ТІНОС-Д"</t>
        </is>
      </c>
      <c r="D394" t="inlineStr">
        <is>
          <t>42289645</t>
        </is>
      </c>
      <c r="E394" t="inlineStr">
        <is>
          <t>ВІЙСЬКОВА ЧАСТИНА 1141 НАЦІОНАЛЬНОЇ ГВАРДІЇ УКРАЇНИ</t>
        </is>
      </c>
      <c r="F394" s="13" t="n">
        <v>46824</v>
      </c>
      <c r="G394" t="inlineStr">
        <is>
          <t>Відмова від договору</t>
        </is>
      </c>
      <c r="H394" t="inlineStr">
        <is>
          <t>Переможець письмово відмовився від укладення договору на умовах, визначених замовником у запиті пропозицій постачальників, шляхом заповнення електронних форм з окремими полями та у проекті договору, що є складовою частиною запиту пропозицій постачальників</t>
        </is>
      </c>
      <c r="I394" t="inlineStr">
        <is>
          <t>18.06.2026 року на офіційну електронну пошту уповноваженої особи було отримано лист від переможця закупівлі ТОВ "ТІНОС-Д". В даному листі переможець письмово повідомив , що у зв’язку з відсутністю товару на складах відмовляється від підписання договору по закупівлі.</t>
        </is>
      </c>
    </row>
    <row r="395">
      <c r="A395" s="4" t="inlineStr">
        <is>
          <t>UA-2026-02-09-016135-a</t>
        </is>
      </c>
      <c r="B395" t="inlineStr">
        <is>
          <t>2026-02-14</t>
        </is>
      </c>
      <c r="C395" t="inlineStr">
        <is>
          <t>ФОП "Гріпіч Тетяна Борисівна"</t>
        </is>
      </c>
      <c r="D395" t="inlineStr">
        <is>
          <t>2850105825</t>
        </is>
      </c>
      <c r="E395" t="inlineStr">
        <is>
          <t>ВІЙСЬКОВА ЧАСТИНА 1141 НАЦІОНАЛЬНОЇ ГВАРДІЇ УКРАЇНИ</t>
        </is>
      </c>
      <c r="F395" s="13" t="n">
        <v>45300</v>
      </c>
      <c r="G395" t="inlineStr">
        <is>
          <t>Відмова від договору</t>
        </is>
      </c>
      <c r="H395" t="inlineStr">
        <is>
          <t>Переможець письмово відмовився від укладення договору на умовах, визначених замовником у запиті пропозицій постачальників, шляхом заповнення електронних форм з окремими полями та у проекті договору, що є складовою частиною запиту пропозицій постачальників</t>
        </is>
      </c>
      <c r="I395" t="inlineStr">
        <is>
          <t>Переможець письмово відмовився від укладення договору на умовах, визначених замовником у запиті пропозицій постачальників, шляхом заповнення електронних форм з окремими полями та у проекті договору, що є складовою частиною запиту пропозицій постачальників</t>
        </is>
      </c>
    </row>
    <row r="396">
      <c r="A396" s="4" t="inlineStr">
        <is>
          <t>UA-2025-11-06-016679-a</t>
        </is>
      </c>
      <c r="B396" t="inlineStr">
        <is>
          <t>2025-11-19</t>
        </is>
      </c>
      <c r="C396" t="inlineStr">
        <is>
          <t>ФОП Кушнір Віктор Вікторович</t>
        </is>
      </c>
      <c r="D396" t="inlineStr">
        <is>
          <t>3193710139</t>
        </is>
      </c>
      <c r="E396" t="inlineStr">
        <is>
          <t>Старовижівський професійний ліцей</t>
        </is>
      </c>
      <c r="F396" s="13" t="n">
        <v>44000</v>
      </c>
      <c r="G396" t="inlineStr">
        <is>
          <t>Відмова від договору</t>
        </is>
      </c>
      <c r="H396" t="inlineStr">
        <is>
          <t>Переможець письмово відмовився від укладання договору на умовах, визначених у запиті пропозицій постачальників</t>
        </is>
      </c>
      <c r="I396" t="inlineStr">
        <is>
          <t>Переможець письмово відмовився від укладання договору на умовах, визначених у запиті пропозицій постачальників</t>
        </is>
      </c>
    </row>
    <row r="397">
      <c r="A397" s="4" t="inlineStr">
        <is>
          <t>UA-2026-05-27-012781-a</t>
        </is>
      </c>
      <c r="B397" t="inlineStr">
        <is>
          <t>2026-06-08</t>
        </is>
      </c>
      <c r="C397" t="inlineStr">
        <is>
          <t>ТОВ "ПАВЕРТРЕЙД"</t>
        </is>
      </c>
      <c r="D397" t="inlineStr">
        <is>
          <t>43120417</t>
        </is>
      </c>
      <c r="E397" t="inlineStr">
        <is>
          <t>ВИКОНАВЧИЙ КОМІТЕТ НОВОВОЛИНСЬКОЇ МІСЬКОЇ РАДИ</t>
        </is>
      </c>
      <c r="F397" s="13" t="n">
        <v>43776</v>
      </c>
      <c r="G397" t="inlineStr">
        <is>
          <t>Не підписав договір у строк</t>
        </is>
      </c>
      <c r="H397" t="inlineStr">
        <is>
          <t>Переможець не підписав договір, на умовах, визначених замовником у запиті пропозицій постачальників шляхом заповнення електронних форм із окремими полями та у проекті договору, що є складовою частиною запиту пропозицій постачальників у строк, визначений пунктом 66 цього Порядку</t>
        </is>
      </c>
      <c r="I397" t="inlineStr">
        <is>
          <t>Переможець не підписав договір, на умовах, визначених замовником у запиті пропозицій постачальників шляхом заповнення електронних форм із окремими полями та у проекті договору, що є складовою частиною запиту пропозицій постачальників у строк, визначений пунктом 66 цього Порядку</t>
        </is>
      </c>
    </row>
    <row r="398">
      <c r="A398" s="4" t="inlineStr">
        <is>
          <t>UA-2025-11-06-016679-a</t>
        </is>
      </c>
      <c r="B398" t="inlineStr">
        <is>
          <t>2025-11-11</t>
        </is>
      </c>
      <c r="C398" t="inlineStr">
        <is>
          <t>ТОВ "ТК "АСАНАРА"</t>
        </is>
      </c>
      <c r="D398" t="inlineStr">
        <is>
          <t>45344614</t>
        </is>
      </c>
      <c r="E398" t="inlineStr">
        <is>
          <t>Старовижівський професійний ліцей</t>
        </is>
      </c>
      <c r="F398" s="13" t="n">
        <v>43206</v>
      </c>
      <c r="G398" t="inlineStr">
        <is>
          <t>Відмова від договору</t>
        </is>
      </c>
      <c r="H398" t="inlineStr">
        <is>
          <t>Переможець письмово відмовився від укладання договору на умовах, визначених у запиті пропозицій постачальників</t>
        </is>
      </c>
      <c r="I398" t="inlineStr">
        <is>
          <t>Переможець письмово відмовився від укладання договору на умовах, визначених у запиті пропозицій постачальників</t>
        </is>
      </c>
    </row>
    <row r="399">
      <c r="A399" s="4" t="inlineStr">
        <is>
          <t>UA-2025-11-17-003689-a</t>
        </is>
      </c>
      <c r="B399" t="inlineStr">
        <is>
          <t>2025-11-21</t>
        </is>
      </c>
      <c r="C399" t="inlineStr">
        <is>
          <t>ФОП "КОВАЛЬ ЮРІЙ МИХАЙЛОВИЧ"</t>
        </is>
      </c>
      <c r="D399" t="inlineStr">
        <is>
          <t>2971806211</t>
        </is>
      </c>
      <c r="E399" t="inlineStr">
        <is>
          <t>НОВОВОЛИНСЬКИЙ ЛІЦЕЙ №3 НОВОВОЛИНСЬКОЇ МІСЬКОЇ РАДИ ВОЛИНСЬКОЇ ОБЛАСТІ</t>
        </is>
      </c>
      <c r="F399" s="13" t="n">
        <v>42000</v>
      </c>
      <c r="G399" t="inlineStr">
        <is>
          <t>Не надав документи</t>
        </is>
      </c>
      <c r="H399" t="inlineStr">
        <is>
          <t>Переможець не надав документ про реєстрацію у прийнятній країні та/або інформацію про те, що до переможця відбору, його кінцевих бенефіціарних власників, членів або учасників (акціонерів) не застосовано обмежувальні заходи у вигляді санкцій Європейського Союзу та/або про те, що не знаходяться у санкційному списку Європейського Союзу. Або зазначена інформація надана з порушенням вимог</t>
        </is>
      </c>
      <c r="I399" t="inlineStr">
        <is>
          <t>Для забезпечення поставки товару із прийнятних країн, які фінансуються та закуповуються Україною або суб’єктами під її контролем для реалізації заходів Плану, Постачальник під час укладення договору надає інформацію, в якій зазначає країну походження товару, який закуповується та документ, який підтверджує країну реєстрації постачальника, з яким укладено договір (Сертифікат про походження товару, засвідчений Торгово-промисловою палатою, декларація походження товару, сертифікат про регіональне на</t>
        </is>
      </c>
    </row>
    <row r="400">
      <c r="A400" s="4" t="inlineStr">
        <is>
          <t>UA-2025-10-15-014540-a</t>
        </is>
      </c>
      <c r="B400" t="inlineStr">
        <is>
          <t>2025-10-23</t>
        </is>
      </c>
      <c r="C400" t="inlineStr">
        <is>
          <t>ФОП Рибак Евеліна Василівна</t>
        </is>
      </c>
      <c r="D400" t="inlineStr">
        <is>
          <t>3701802602</t>
        </is>
      </c>
      <c r="E400" t="inlineStr">
        <is>
          <t>НОВОВОЛИНСЬКИЙ ЛІЦЕЙ №3 НОВОВОЛИНСЬКОЇ МІСЬКОЇ РАДИ ВОЛИНСЬКОЇ ОБЛАСТІ</t>
        </is>
      </c>
      <c r="F400" s="13" t="n">
        <v>42000</v>
      </c>
      <c r="G400" t="inlineStr">
        <is>
          <t>Відмова від договору</t>
        </is>
      </c>
      <c r="H400" t="inlineStr">
        <is>
          <t>Переможець письмово відмовився від укладання договору на умовах, визначених у запиті пропозицій постачальників</t>
        </is>
      </c>
      <c r="I400" t="inlineStr">
        <is>
          <t>Для забезпечення поставки товару із прийнятних країн, які фінансуються та закуповуються Україною або суб’єктами під її контролем для реалізації заходів Плану, Постачальник під час укладення договору надає інформацію, в якій зазначає країну походження товару, який закуповується та документ, який підтверджує країну реєстрації постачальника, з яким укладено договір (Сертифікат про походження товару, засвідчений Торгово-промисловою палатою, декларація походження товару, сертифікат про регіональне на</t>
        </is>
      </c>
    </row>
    <row r="401">
      <c r="A401" s="4" t="inlineStr">
        <is>
          <t>UA-2025-10-07-014418-a</t>
        </is>
      </c>
      <c r="B401" t="inlineStr">
        <is>
          <t>2025-10-27</t>
        </is>
      </c>
      <c r="C401" t="inlineStr">
        <is>
          <t>ТОВ «ПБГ19»</t>
        </is>
      </c>
      <c r="D401" t="inlineStr">
        <is>
          <t>45701274</t>
        </is>
      </c>
      <c r="E401" t="inlineStr">
        <is>
          <t>Державний професійно-технічний навчальний заклад "Камінь-Каширське вище професійне училище"</t>
        </is>
      </c>
      <c r="F401" s="13" t="n">
        <v>41796</v>
      </c>
      <c r="G401" t="inlineStr">
        <is>
          <t>Не надав забезпечення</t>
        </is>
      </c>
      <c r="H401" t="inlineStr">
        <is>
          <t>не надав забезпечення тендерної пропозиції, якщо таке забезпечення вимагалося замовником;</t>
        </is>
      </c>
      <c r="I401" t="inlineStr">
        <is>
          <t>не надав забезпечення тендерної пропозиції, якщо таке забезпечення вимагалося замовником;</t>
        </is>
      </c>
    </row>
    <row r="402">
      <c r="A402" s="4" t="inlineStr">
        <is>
          <t>UA-2026-06-04-010998-a</t>
        </is>
      </c>
      <c r="B402" t="inlineStr">
        <is>
          <t>2026-06-22</t>
        </is>
      </c>
      <c r="C402" t="inlineStr">
        <is>
          <t>ТОВ "ПАВЕРТРЕЙД"</t>
        </is>
      </c>
      <c r="D402" t="inlineStr">
        <is>
          <t>43120417</t>
        </is>
      </c>
      <c r="E402" t="inlineStr">
        <is>
          <t>Виконавчий комітет Ковельської міської ради</t>
        </is>
      </c>
      <c r="F402" s="13" t="n">
        <v>40704</v>
      </c>
      <c r="G402" t="inlineStr">
        <is>
          <t>Відмова від договору</t>
        </is>
      </c>
      <c r="H402" t="inlineStr">
        <is>
          <t>письмово відмовився від укладення договору на умовах, визначених замовником у запиті пропозицій постачальників, шляхом заповнення електронних форм з окремими полями та у проекті договору, що є складовою частиною запиту пропозицій постачальників.</t>
        </is>
      </c>
      <c r="I402" t="inlineStr"/>
    </row>
    <row r="403">
      <c r="A403" s="4" t="inlineStr">
        <is>
          <t>UA-2026-06-24-009852-a</t>
        </is>
      </c>
      <c r="B403" t="inlineStr">
        <is>
          <t>2026-07-14</t>
        </is>
      </c>
      <c r="C403" t="inlineStr">
        <is>
          <t>ФОП "СРИВКІН СЕРГІЙ БОРИСОВИЧ"</t>
        </is>
      </c>
      <c r="D403" t="inlineStr">
        <is>
          <t>2874302850</t>
        </is>
      </c>
      <c r="E403" t="inlineStr">
        <is>
          <t>Гуманітарний відділ Рожищенської міської ради</t>
        </is>
      </c>
      <c r="F403" s="13" t="n">
        <v>39000</v>
      </c>
      <c r="G403" t="inlineStr">
        <is>
          <t>Не підписав договір у строк</t>
        </is>
      </c>
      <c r="H403" t="inlineStr">
        <is>
          <t>не підписав договір, на умовах, визначених замовником у запиті пропозицій постачальників шляхом заповнення електронних форм із окремими полями та у проекті договору, що є складовою частиною запиту пропозицій постачальників у строк, визначений пунктом 66 цього Порядку; письмово відмовився від укладення договору на умовах, визначених замовником у запиті пропозицій постачальників, шляхом заповнення електронних форм з окремими полями та у проекті договору, що є складовою частиною запиту пропозицій п</t>
        </is>
      </c>
      <c r="I403" t="inlineStr">
        <is>
          <t>письмово відмовився від укладення договору на умовах, визначених замовником у запиті пропозицій постачальників, шляхом заповнення електронних форм з окремими полями та у проекті договору, що є складовою частиною запиту пропозицій постачальників</t>
        </is>
      </c>
    </row>
    <row r="404">
      <c r="A404" s="4" t="inlineStr">
        <is>
          <t>UA-2026-06-04-010998-a</t>
        </is>
      </c>
      <c r="B404" t="inlineStr">
        <is>
          <t>2026-06-15</t>
        </is>
      </c>
      <c r="C404" t="inlineStr">
        <is>
          <t>ФОП "Гріпіч Тетяна Борисівна"</t>
        </is>
      </c>
      <c r="D404" t="inlineStr">
        <is>
          <t>2850105825</t>
        </is>
      </c>
      <c r="E404" t="inlineStr">
        <is>
          <t>Виконавчий комітет Ковельської міської ради</t>
        </is>
      </c>
      <c r="F404" s="13" t="n">
        <v>38700</v>
      </c>
      <c r="G404" t="inlineStr">
        <is>
          <t>Відмова від договору</t>
        </is>
      </c>
      <c r="H404" t="inlineStr">
        <is>
          <t>письмово відмовився від укладення договору на умовах, визначених замовником у запиті пропозицій постачальників, шляхом заповнення електронних форм з окремими полями та у проекті договору, що є складовою частиною запиту пропозицій постачальників.</t>
        </is>
      </c>
      <c r="I404" t="inlineStr"/>
    </row>
    <row r="405">
      <c r="A405" s="4" t="inlineStr">
        <is>
          <t>UA-2025-10-17-008340-a</t>
        </is>
      </c>
      <c r="B405" t="inlineStr">
        <is>
          <t>2025-10-29</t>
        </is>
      </c>
      <c r="C405" t="inlineStr">
        <is>
          <t>ФОП "СРИВКІН СЕРГІЙ БОРИСОВИЧ"</t>
        </is>
      </c>
      <c r="D405" t="inlineStr">
        <is>
          <t>2874302850</t>
        </is>
      </c>
      <c r="E405" t="inlineStr">
        <is>
          <t>Департамент "Центр надання адміністративних послуг у місті Луцьку" Луцької міської ради</t>
        </is>
      </c>
      <c r="F405" s="13" t="n">
        <v>37500</v>
      </c>
      <c r="G405" t="inlineStr">
        <is>
          <t>Не підписав договір у строк</t>
        </is>
      </c>
      <c r="H405" t="inlineStr">
        <is>
          <t>Переможець не підписав договір у строк, визначений абзацом першим пункту 66 цього Порядку</t>
        </is>
      </c>
      <c r="I405" t="inlineStr">
        <is>
          <t>Переможцем відбору 22.10.2025 визначено ФОП "СРИВКІН СЕРГІЙ БОРИСОВИЧ". На вимогу абзацу 1 пункту 66 Порядку ФОП "СРИВКІН СЕРГІЙ БОРИСОВИЧ" мав підписати договір не пізніше ніж через 5 календарних днів з дня визначення електронною системою закупівель цього постачальника переможцем відбору, а саме до 27.10.2025 року. Станом на 29.10.2025, ФОП "СРИВКІН СЕРГІЙ БОРИСОВИЧ" не підписав договір на постачання товарів. З огляду на зазначене наявні причини для відхилення пропозиції переможця на підставі п</t>
        </is>
      </c>
    </row>
    <row r="406">
      <c r="A406" s="4" t="inlineStr">
        <is>
          <t>UA-2026-08-19-008008-a</t>
        </is>
      </c>
      <c r="B406" t="inlineStr">
        <is>
          <t>2026-08-31</t>
        </is>
      </c>
      <c r="C406" t="inlineStr">
        <is>
          <t>ТОВ "ТІНОС-Д"</t>
        </is>
      </c>
      <c r="D406" t="inlineStr">
        <is>
          <t>42289645</t>
        </is>
      </c>
      <c r="E406" t="inlineStr">
        <is>
          <t>Заболоттівська селищна рада</t>
        </is>
      </c>
      <c r="F406" s="13" t="n">
        <v>36580</v>
      </c>
      <c r="G406" t="inlineStr">
        <is>
          <t>Відмова від договору</t>
        </is>
      </c>
      <c r="H406" t="inlineStr">
        <is>
          <t>письмово відмовився від укладення договору на умовах, визначених замовником у запиті пропозицій постачальників, шляхом заповнення електронних форм з окремими полями та у проекті договору, що є складовою частиною запиту пропозицій постачальників.</t>
        </is>
      </c>
      <c r="I406" t="inlineStr">
        <is>
          <t>письмово відмовився від укладення договору на умовах, визначених замовником у запиті пропозицій постачальників, шляхом заповнення електронних форм з окремими полями та у проекті договору, що є складовою частиною запиту пропозицій постачальників.</t>
        </is>
      </c>
    </row>
    <row r="407">
      <c r="A407" s="4" t="inlineStr">
        <is>
          <t>UA-2025-11-03-001599-a</t>
        </is>
      </c>
      <c r="B407" t="inlineStr">
        <is>
          <t>2025-11-17</t>
        </is>
      </c>
      <c r="C407" t="inlineStr">
        <is>
          <t>ТОВ "КОМПАКОМ"</t>
        </is>
      </c>
      <c r="D407" t="inlineStr">
        <is>
          <t>45596933</t>
        </is>
      </c>
      <c r="E407" t="inlineStr">
        <is>
          <t>НМЦ ЦЗ та БЖД Волинської області</t>
        </is>
      </c>
      <c r="F407" s="13" t="n">
        <v>36000</v>
      </c>
      <c r="G407" t="inlineStr">
        <is>
          <t>Недостовірна інформація</t>
        </is>
      </c>
      <c r="H407" t="inlineStr">
        <is>
          <t>зазначив у тендерній пропозиції недостовірну інформацію, що є суттєвою для визначення результатів відкритих торгів, яку замовником виявлено згідно з абзацом першим пункту 42 Особливостей;. не виправив виявлені після розкриття нев-ей в інф. та/або документах, що подані ним, та/або змінив предмет закупівлі під час виправлення нев-ей, протягом 24г з моменту розміщення в електр. сис-мі закупівель повідомлення з вимогою про усунення нев-ей;</t>
        </is>
      </c>
      <c r="I407" t="inlineStr">
        <is>
          <t>зазначив у тендерній пропозиції недостовірну інформацію, що є суттєвою для визначення результатів відкритих торгів, яку замовником виявлено згідно з абзацом першим пункту 42 Особливостей;. не виправив виявлені після розкриття нев-ей в інф. та/або документах, що подані ним, та/або змінив предмет закупівлі під час виправлення нев-ей, протягом 24г з моменту розміщення в електр. сис-мі закупівель повідомлення з вимогою про усунення нев-ей;</t>
        </is>
      </c>
    </row>
    <row r="408">
      <c r="A408" s="4" t="inlineStr">
        <is>
          <t>UA-2025-12-11-002565-a</t>
        </is>
      </c>
      <c r="B408" t="inlineStr">
        <is>
          <t>2025-12-19</t>
        </is>
      </c>
      <c r="C408" t="inlineStr">
        <is>
          <t>ТОВ "КПІ-МАРКЕТ"</t>
        </is>
      </c>
      <c r="D408" t="inlineStr">
        <is>
          <t>41351235</t>
        </is>
      </c>
      <c r="E408" t="inlineStr">
        <is>
          <t>Виконавчий комітет Луцької міської ради</t>
        </is>
      </c>
      <c r="F408" s="13" t="n">
        <v>35640.9</v>
      </c>
      <c r="G408" t="inlineStr">
        <is>
          <t>Відмова від договору</t>
        </is>
      </c>
      <c r="H408" t="inlineStr">
        <is>
          <t>Переможець письмово відмовився від укладання договору на умовах, визначених у запиті пропозицій постачальників</t>
        </is>
      </c>
      <c r="I408" t="inlineStr">
        <is>
          <t>Переможець письмово відмовився від укладання договору на умовах, визначених у запиті пропозицій постачальників</t>
        </is>
      </c>
    </row>
    <row r="409">
      <c r="A409" s="4" t="inlineStr">
        <is>
          <t>UA-2025-12-11-002565-a</t>
        </is>
      </c>
      <c r="B409" t="inlineStr">
        <is>
          <t>2025-12-18</t>
        </is>
      </c>
      <c r="C409" t="inlineStr">
        <is>
          <t>ФОП Козловський Сергій Павлович</t>
        </is>
      </c>
      <c r="D409" t="inlineStr">
        <is>
          <t>2948314313</t>
        </is>
      </c>
      <c r="E409" t="inlineStr">
        <is>
          <t>Виконавчий комітет Луцької міської ради</t>
        </is>
      </c>
      <c r="F409" s="13" t="n">
        <v>35247.12</v>
      </c>
      <c r="G409" t="inlineStr">
        <is>
          <t>Відмова від договору</t>
        </is>
      </c>
      <c r="H409" t="inlineStr">
        <is>
          <t>Переможець письмово відмовився від укладання договору на умовах, визначених у запиті пропозицій постачальників</t>
        </is>
      </c>
      <c r="I409" t="inlineStr">
        <is>
          <t>Переможець письмово відмовився від укладання договору на умовах, визначених у запиті пропозицій постачальників</t>
        </is>
      </c>
    </row>
    <row r="410">
      <c r="A410" s="4" t="inlineStr">
        <is>
          <t>UA-2026-06-24-002709-a</t>
        </is>
      </c>
      <c r="B410" t="inlineStr">
        <is>
          <t>2026-06-30</t>
        </is>
      </c>
      <c r="C410" t="inlineStr">
        <is>
          <t>ФОП "Пасічник Ніна Іванівна"</t>
        </is>
      </c>
      <c r="D410" t="inlineStr">
        <is>
          <t>2418218905</t>
        </is>
      </c>
      <c r="E410" t="inlineStr">
        <is>
          <t>Виконавчий комітет Ратнівської селищної ради</t>
        </is>
      </c>
      <c r="F410" s="13" t="n">
        <v>32900</v>
      </c>
      <c r="G410" t="inlineStr">
        <is>
          <t>Відмова від договору</t>
        </is>
      </c>
      <c r="H410" t="inlineStr">
        <is>
          <t>Переможець письмово відмовився від укладення договору на умовах, визначених замовником у запиті пропозицій постачальників, шляхом заповнення електронних форм з окремими полями та у проекті договору, що є складовою частиною запиту пропозицій постачальників</t>
        </is>
      </c>
      <c r="I410" t="inlineStr">
        <is>
          <t>У зв’язку з відсутністю зазначеного товару у постачальника.</t>
        </is>
      </c>
    </row>
    <row r="411">
      <c r="A411" s="4" t="inlineStr">
        <is>
          <t>UA-2026-06-24-009852-a</t>
        </is>
      </c>
      <c r="B411" t="inlineStr">
        <is>
          <t>2026-07-10</t>
        </is>
      </c>
      <c r="C411" t="inlineStr">
        <is>
          <t>ФОП "Пасічник Ніна Іванівна"</t>
        </is>
      </c>
      <c r="D411" t="inlineStr">
        <is>
          <t>2418218905</t>
        </is>
      </c>
      <c r="E411" t="inlineStr">
        <is>
          <t>Гуманітарний відділ Рожищенської міської ради</t>
        </is>
      </c>
      <c r="F411" s="13" t="n">
        <v>32000</v>
      </c>
      <c r="G411" t="inlineStr">
        <is>
          <t>Не підписав договір у строк</t>
        </is>
      </c>
      <c r="H411" t="inlineStr">
        <is>
          <t>не підписав договір, на умовах, визначених замовником у запиті пропозицій постачальників шляхом заповнення електронних форм із окремими полями та у проекті договору, що є складовою частиною запиту пропозицій постачальників у строк, визначений пунктом 66 цього Порядку</t>
        </is>
      </c>
      <c r="I411" t="inlineStr">
        <is>
          <t>не підписав договір, на умовах, визначених замовником</t>
        </is>
      </c>
    </row>
    <row r="412">
      <c r="A412" s="4" t="inlineStr">
        <is>
          <t>UA-2026-06-09-010646-a</t>
        </is>
      </c>
      <c r="B412" t="inlineStr">
        <is>
          <t>2026-06-18</t>
        </is>
      </c>
      <c r="C412" t="inlineStr">
        <is>
          <t>ТОВ "КОМПАКОМ"</t>
        </is>
      </c>
      <c r="D412" t="inlineStr">
        <is>
          <t>45596933</t>
        </is>
      </c>
      <c r="E412" t="inlineStr">
        <is>
          <t>Любомльська міська рада</t>
        </is>
      </c>
      <c r="F412" s="13" t="n">
        <v>31500</v>
      </c>
      <c r="G412" t="inlineStr">
        <is>
          <t>Відмова від договору</t>
        </is>
      </c>
      <c r="H412" t="inlineStr">
        <is>
          <t>Письмово відмовився від укладення договору на умовах, визначених замовником у запиті пропозицій постачальників, шляхом заповнення електронних форм з окремими полями та у проекті договору, що є складовою частиною запиту пропозицій постачальників</t>
        </is>
      </c>
      <c r="I412" t="inlineStr"/>
    </row>
    <row r="413">
      <c r="A413" s="4" t="inlineStr">
        <is>
          <t>UA-2025-11-21-012893-a</t>
        </is>
      </c>
      <c r="B413" t="inlineStr">
        <is>
          <t>2025-12-09</t>
        </is>
      </c>
      <c r="C413" t="inlineStr">
        <is>
          <t>ТОВ "Ю ЕНД ТІ ТРЕЙДІНГ КОМПАНІ"</t>
        </is>
      </c>
      <c r="D413" t="inlineStr">
        <is>
          <t>30370549</t>
        </is>
      </c>
      <c r="E413" t="inlineStr">
        <is>
          <t>Виконавчий комітет Ковельської міської ради</t>
        </is>
      </c>
      <c r="F413" s="13" t="n">
        <v>31050</v>
      </c>
      <c r="G413" t="inlineStr">
        <is>
          <t>Невідповідність технічним вимогам</t>
        </is>
      </c>
      <c r="H413" t="inlineStr">
        <is>
          <t>не відповідає умовам технічної специфікації та іншим вимогам щодо предмета закупівлі тендерної документації, крім невідповідності в інформації та/або документах, що може бути усунена учасником процедури закупівлі відповідно до пункту 43 Особливостей;</t>
        </is>
      </c>
      <c r="I413" t="inlineStr">
        <is>
          <t>не відповідає умовам технічної специфікації та іншим вимогам щодо предмета закупівлі тендерної документації, крім невідповідності в інформації та/або документах, що може бути усунена учасником процедури закупівлі відповідно до пункту 43 Особливостей;</t>
        </is>
      </c>
    </row>
    <row r="414">
      <c r="A414" s="4" t="inlineStr">
        <is>
          <t>UA-2025-10-17-007212-a</t>
        </is>
      </c>
      <c r="B414" t="inlineStr">
        <is>
          <t>2025-10-29</t>
        </is>
      </c>
      <c r="C414" t="inlineStr">
        <is>
          <t>ТОВ "НК СЕКЬЮРАЙТІ"</t>
        </is>
      </c>
      <c r="D414" t="inlineStr">
        <is>
          <t>44518865</t>
        </is>
      </c>
      <c r="E414" t="inlineStr">
        <is>
          <t>Департамент "Центр надання адміністративних послуг у місті Луцьку" Луцької міської ради</t>
        </is>
      </c>
      <c r="F414" s="13" t="n">
        <v>29890.8</v>
      </c>
      <c r="G414" t="inlineStr">
        <is>
          <t>Відмова від договору</t>
        </is>
      </c>
      <c r="H414" t="inlineStr">
        <is>
          <t>Переможець письмово відмовився від укладання договору на умовах, визначених у запиті пропозицій постачальників</t>
        </is>
      </c>
      <c r="I414" t="inlineStr">
        <is>
          <t>24.10.2025 року замовник отримав лист-повідомлення від ТОВ "НК СЕКЬЮРАЙТІ" про відмову підписувати договір про закупівлю на умовах, визначених у запиті пропозицій постачальників, що додається.</t>
        </is>
      </c>
    </row>
    <row r="415">
      <c r="A415" s="4" t="inlineStr">
        <is>
          <t>UA-2025-12-02-019796-a</t>
        </is>
      </c>
      <c r="B415" t="inlineStr">
        <is>
          <t>2025-12-15</t>
        </is>
      </c>
      <c r="C415" t="inlineStr">
        <is>
          <t>ТОВ "ТК "АСАНАРА"</t>
        </is>
      </c>
      <c r="D415" t="inlineStr">
        <is>
          <t>45344614</t>
        </is>
      </c>
      <c r="E415" t="inlineStr">
        <is>
          <t>ВІДОКРЕМЛЕНИЙ СТРУКТУРНИЙ ПІДРОЗДІЛ "ВОЛИНСЬКИЙ ФАХОВИЙ КОЛЕДЖ НАЦІОНАЛЬНОГО УНІВЕРСИТЕТУ ХАРЧОВИХ ТЕХНОЛОГІЙ"</t>
        </is>
      </c>
      <c r="F415" s="13" t="n">
        <v>28264.43</v>
      </c>
      <c r="G415" t="inlineStr">
        <is>
          <t>Не підписав договір у строк</t>
        </is>
      </c>
      <c r="H415" t="inlineStr">
        <is>
          <t>Переможець не підписав договір у строк, визначений абзацом першим пункту 66 цього Порядку</t>
        </is>
      </c>
      <c r="I415" t="inlineStr">
        <is>
          <t>ВИРІШИЛА: 1. Відхилити пропозицію Переможця відбору запиту пропозицій постачальників щодо Закупівлі відповідно до підпункту 1 пункту 64 Порядку № 822. 2. Оприлюднити рішення про відхилення пропозиції Переможця відбору запиту пропозицій постачальників щодо Закупівлі в електронній системі закупівель протягом одного робочого дня з дня його прийняття.</t>
        </is>
      </c>
    </row>
    <row r="416">
      <c r="A416" s="4" t="inlineStr">
        <is>
          <t>UA-2026-02-11-004991-a</t>
        </is>
      </c>
      <c r="B416" t="inlineStr">
        <is>
          <t>2026-02-18</t>
        </is>
      </c>
      <c r="C416" t="inlineStr">
        <is>
          <t>ФОП "ЩЕСНЯК ЄВГЕН АНАТОЛІЙОВИЧ"</t>
        </is>
      </c>
      <c r="D416" t="inlineStr">
        <is>
          <t>3136508474</t>
        </is>
      </c>
      <c r="E416" t="inlineStr">
        <is>
          <t>ВІЙСЬКОВА ЧАСТИНА 1141 НАЦІОНАЛЬНОЇ ГВАРДІЇ УКРАЇНИ</t>
        </is>
      </c>
      <c r="F416" s="13" t="n">
        <v>28000</v>
      </c>
      <c r="G416" t="inlineStr">
        <is>
          <t>Відмова від договору</t>
        </is>
      </c>
      <c r="H416" t="inlineStr">
        <is>
          <t>Переможець письмово відмовився від укладення договору на умовах, визначених замовником у запиті пропозицій постачальників, шляхом заповнення електронних форм з окремими полями та у проекті договору, що є складовою частиною запиту пропозицій постачальників</t>
        </is>
      </c>
      <c r="I416" t="inlineStr">
        <is>
          <t>Переможець письмово відмовився від укладення договору на умовах, визначених замовником у запиті пропозицій постачальників, шляхом заповнення електронних форм з окремими полями та у проекті договору, що є складовою частиною запиту пропозицій постачальників</t>
        </is>
      </c>
    </row>
    <row r="417">
      <c r="A417" s="4" t="inlineStr">
        <is>
          <t>UA-2026-03-04-010049-a</t>
        </is>
      </c>
      <c r="B417" t="inlineStr">
        <is>
          <t>2026-03-13</t>
        </is>
      </c>
      <c r="C417" t="inlineStr">
        <is>
          <t>ТОВ "КОМПАКОМ"</t>
        </is>
      </c>
      <c r="D417" t="inlineStr">
        <is>
          <t>45596933</t>
        </is>
      </c>
      <c r="E417" t="inlineStr">
        <is>
          <t>КП ""Луцькводоканал""</t>
        </is>
      </c>
      <c r="F417" s="13" t="n">
        <v>27000</v>
      </c>
      <c r="G417" t="inlineStr">
        <is>
          <t>Відмова від договору</t>
        </is>
      </c>
      <c r="H417" t="inlineStr">
        <is>
          <t>письмово відмовився від укладення договору на умовах, визначених замовником у запиті пропозицій постачальників, шляхом заповнення електронних форм з окремими полями та у проекті договору, що є складовою частиною запиту пропозицій постачальників.</t>
        </is>
      </c>
      <c r="I417" t="inlineStr">
        <is>
          <t>Учасник письмово відмовився від укладення договору</t>
        </is>
      </c>
    </row>
    <row r="418">
      <c r="A418" s="4" t="inlineStr">
        <is>
          <t>UA-2026-03-04-010049-a</t>
        </is>
      </c>
      <c r="B418" t="inlineStr">
        <is>
          <t>2026-03-11</t>
        </is>
      </c>
      <c r="C418" t="inlineStr">
        <is>
          <t>ФОП ІВАНЧЕНКО МАР'ЯНА МИКОЛАЇВНА</t>
        </is>
      </c>
      <c r="D418" t="inlineStr">
        <is>
          <t>3394407864</t>
        </is>
      </c>
      <c r="E418" t="inlineStr">
        <is>
          <t>КП ""Луцькводоканал""</t>
        </is>
      </c>
      <c r="F418" s="13" t="n">
        <v>26999</v>
      </c>
      <c r="G418" t="inlineStr">
        <is>
          <t>Відмова від договору</t>
        </is>
      </c>
      <c r="H418" t="inlineStr">
        <is>
          <t>письмово відмовився від укладення договору на умовах, визначених замовником у запиті пропозицій постачальників, шляхом заповнення електронних форм з окремими полями та у проекті договору, що є складовою частиною запиту пропозицій постачальників.</t>
        </is>
      </c>
      <c r="I418" t="inlineStr">
        <is>
          <t>Учасник письмово відмовився від укладення договору</t>
        </is>
      </c>
    </row>
    <row r="419">
      <c r="A419" s="4" t="inlineStr">
        <is>
          <t>UA-2025-12-02-019796-a</t>
        </is>
      </c>
      <c r="B419" t="inlineStr">
        <is>
          <t>2025-12-08</t>
        </is>
      </c>
      <c r="C419" t="inlineStr">
        <is>
          <t>ФОП ПРІСИЧ ДМИТРО МИКОЛАЙОВИЧ</t>
        </is>
      </c>
      <c r="D419" t="inlineStr">
        <is>
          <t>3248805838</t>
        </is>
      </c>
      <c r="E419" t="inlineStr">
        <is>
          <t>ВІДОКРЕМЛЕНИЙ СТРУКТУРНИЙ ПІДРОЗДІЛ "ВОЛИНСЬКИЙ ФАХОВИЙ КОЛЕДЖ НАЦІОНАЛЬНОГО УНІВЕРСИТЕТУ ХАРЧОВИХ ТЕХНОЛОГІЙ"</t>
        </is>
      </c>
      <c r="F419" s="13" t="n">
        <v>26477</v>
      </c>
      <c r="G419" t="inlineStr">
        <is>
          <t>Відмова від договору</t>
        </is>
      </c>
      <c r="H419" t="inlineStr">
        <is>
          <t>Переможець письмово відмовився від укладання договору на умовах, визначених у запиті пропозицій постачальників</t>
        </is>
      </c>
      <c r="I419" t="inlineStr">
        <is>
          <t>ВИРІШИЛА: 1. Дискваліфікувати Учасника ФІЗИЧНА ОСОБА-ПІДПРИЄМЕЦЬ ПРІСИЧ ДМИТРО МИКОЛАЙОВИЧ (3248805838), якого було автоматично визначено переможцем Закупівлі. 2. Оприлюднити рішення про дискваліфікацію Учасника в електронній системі закупівель.</t>
        </is>
      </c>
    </row>
    <row r="420">
      <c r="A420" s="4" t="inlineStr">
        <is>
          <t>UA-2026-03-13-013024-a</t>
        </is>
      </c>
      <c r="B420" t="inlineStr">
        <is>
          <t>2026-03-27</t>
        </is>
      </c>
      <c r="C420" t="inlineStr">
        <is>
          <t>ФОП "Павлюк Леся Миколаївна"</t>
        </is>
      </c>
      <c r="D420" t="inlineStr">
        <is>
          <t>2182417109</t>
        </is>
      </c>
      <c r="E420" t="inlineStr">
        <is>
          <t>ВІЙСЬКОВА ЧАСТИНА 1141 НАЦІОНАЛЬНОЇ ГВАРДІЇ УКРАЇНИ</t>
        </is>
      </c>
      <c r="F420" s="13" t="n">
        <v>26333.33</v>
      </c>
      <c r="G420" t="inlineStr">
        <is>
          <t>Невідповідність вимогам документації</t>
        </is>
      </c>
      <c r="H420" t="inlineStr">
        <is>
          <t>Пропозиція учасника не відповідає умовам, визначеним в оголошенні про проведення спрощеної закупівлі, та вимогам до предмета закупівлі</t>
        </is>
      </c>
      <c r="I420" t="inlineStr">
        <is>
          <t>Державний замовник відхиляє пропозицію учасника спрощеної закупівлі у разі, коли учасник спрощеної закупівлі не виправив виявлені державним замовником після розкриття пропозицій невідповідності в інформації та/або документах, що подані ним у складі своєї пропозиції, та/або змінив предмет закупівлі (його найменування, марку, модель тощо) під час виправлення виявлених державним замовником невідповідностей протягом 24 годин з моменту розміщення замовником в електронній системі закупівель повідомлен</t>
        </is>
      </c>
    </row>
    <row r="421">
      <c r="A421" s="4" t="inlineStr">
        <is>
          <t>UA-2026-04-28-010499-a</t>
        </is>
      </c>
      <c r="B421" t="inlineStr">
        <is>
          <t>2026-05-04</t>
        </is>
      </c>
      <c r="C421" t="inlineStr">
        <is>
          <t>ТОВ "КУБІК ГРУП"</t>
        </is>
      </c>
      <c r="D421" t="inlineStr">
        <is>
          <t>44554976</t>
        </is>
      </c>
      <c r="E421" t="inlineStr">
        <is>
          <t>Виконавчий комітет Луцької міської ради</t>
        </is>
      </c>
      <c r="F421" s="13" t="n">
        <v>25980</v>
      </c>
      <c r="G421" t="inlineStr">
        <is>
          <t>Відмова від договору</t>
        </is>
      </c>
      <c r="H421" t="inlineStr">
        <is>
          <t>Переможець письмово відмовився від укладення договору на умовах, визначених замовником у запиті пропозицій постачальників, шляхом заповнення електронних форм з окремими полями та у проекті договору, що є складовою частиною запиту пропозицій постачальників</t>
        </is>
      </c>
      <c r="I421" t="inlineStr">
        <is>
          <t>Переможець письмово відмовився від укладення договору на умовах, визначених замовником у запиті пропозицій постачальників, шляхом заповнення електронних форм з окремими полями та у проекті договору, що є складовою частиною запиту пропозицій постачальників</t>
        </is>
      </c>
    </row>
    <row r="422">
      <c r="A422" s="4" t="inlineStr">
        <is>
          <t>UA-2026-05-18-012091-a</t>
        </is>
      </c>
      <c r="B422" t="inlineStr">
        <is>
          <t>2026-05-29</t>
        </is>
      </c>
      <c r="C422" t="inlineStr">
        <is>
          <t>ТОВ "ТІНОС-Д"</t>
        </is>
      </c>
      <c r="D422" t="inlineStr">
        <is>
          <t>42289645</t>
        </is>
      </c>
      <c r="E422" t="inlineStr">
        <is>
          <t>Виконавчий комітет Луцької міської ради</t>
        </is>
      </c>
      <c r="F422" s="13" t="n">
        <v>25632</v>
      </c>
      <c r="G422" t="inlineStr">
        <is>
          <t>Відмова від договору</t>
        </is>
      </c>
      <c r="H422" t="inlineStr">
        <is>
          <t>Переможець письмово відмовився від укладення договору на умовах, визначених замовником у запиті пропозицій постачальників, шляхом заповнення електронних форм з окремими полями та у проекті договору, що є складовою частиною запиту пропозицій постачальників</t>
        </is>
      </c>
      <c r="I422" t="inlineStr">
        <is>
          <t>Переможець письмово відмовився від укладення договору на умовах, визначених замовником у запиті пропозицій постачальників, шляхом заповнення електронних форм з окремими полями та у проекті договору, що є складовою частиною запиту пропозицій постачальників</t>
        </is>
      </c>
    </row>
    <row r="423">
      <c r="A423" s="4" t="inlineStr">
        <is>
          <t>UA-2025-11-21-015712-a</t>
        </is>
      </c>
      <c r="B423" t="inlineStr">
        <is>
          <t>2025-12-08</t>
        </is>
      </c>
      <c r="C423" t="inlineStr">
        <is>
          <t>ТОВ «ПБГ19»</t>
        </is>
      </c>
      <c r="D423" t="inlineStr">
        <is>
          <t>45701274</t>
        </is>
      </c>
      <c r="E423" t="inlineStr">
        <is>
          <t>ЛЮБЛИНЕЦЬКИЙ ЛІЦЕЙ ВОЛИНСЬКОЇ ОБЛАСНОЇ РАДИ</t>
        </is>
      </c>
      <c r="F423" s="13" t="n">
        <v>25200</v>
      </c>
      <c r="G423" t="inlineStr">
        <is>
          <t>Не підписав договір у строк</t>
        </is>
      </c>
      <c r="H423" t="inlineStr">
        <is>
          <t>не підписав договір у строк, визначений абзацом першим пункту 66 цього Порядку</t>
        </is>
      </c>
      <c r="I423" t="inlineStr">
        <is>
          <t>Відповідно до підпункт 1 пункту 64 “Порядку формування та використання електронного каталогу” затвердженого постановою КМУ № 822, замовник відхиляє пропозицію переможця відбору, якщо постачальникне підписав договір у строк, визначений абзацом першим пункту 66 цього Порядку</t>
        </is>
      </c>
    </row>
    <row r="424">
      <c r="A424" s="4" t="inlineStr">
        <is>
          <t>UA-2026-04-06-009248-a</t>
        </is>
      </c>
      <c r="B424" t="inlineStr">
        <is>
          <t>2026-04-14</t>
        </is>
      </c>
      <c r="C424" t="inlineStr">
        <is>
          <t>ФОП "КУЧЕРЯВИЙ КОСТЯНТИН ГРИГОРОВИЧ"</t>
        </is>
      </c>
      <c r="D424" t="inlineStr">
        <is>
          <t>3614201379</t>
        </is>
      </c>
      <c r="E424" t="inlineStr">
        <is>
          <t>Департамент молоді та спорту Луцької міської ради</t>
        </is>
      </c>
      <c r="F424" s="13" t="n">
        <v>25000</v>
      </c>
      <c r="G424" t="inlineStr">
        <is>
          <t>Відмова від договору</t>
        </is>
      </c>
      <c r="H424" t="inlineStr">
        <is>
          <t>письмово відмовився від укладення договору на умовах, визначених замовником у запиті пропозицій постачальників, шляхом заповнення електронних форм з окремими полями та у проекті договору, що є складовою частиною запиту пропозицій постачальників.</t>
        </is>
      </c>
      <c r="I424" t="inlineStr">
        <is>
          <t>письмово відмовився від укладення договору на умовах, визначених замовником у запиті пропозицій постачальників, шляхом заповнення електронних форм з окремими полями та у проекті договору, що є складовою частиною запиту пропозицій постачальників.</t>
        </is>
      </c>
    </row>
    <row r="425">
      <c r="A425" s="4" t="inlineStr">
        <is>
          <t>UA-2025-11-21-015712-a</t>
        </is>
      </c>
      <c r="B425" t="inlineStr">
        <is>
          <t>2025-12-02</t>
        </is>
      </c>
      <c r="C425" t="inlineStr">
        <is>
          <t>ТОВ "КОМПАКОМ"</t>
        </is>
      </c>
      <c r="D425" t="inlineStr">
        <is>
          <t>45596933</t>
        </is>
      </c>
      <c r="E425" t="inlineStr">
        <is>
          <t>ЛЮБЛИНЕЦЬКИЙ ЛІЦЕЙ ВОЛИНСЬКОЇ ОБЛАСНОЇ РАДИ</t>
        </is>
      </c>
      <c r="F425" s="13" t="n">
        <v>25000</v>
      </c>
      <c r="G425" t="inlineStr">
        <is>
          <t>Відмова від договору</t>
        </is>
      </c>
      <c r="H425" t="inlineStr">
        <is>
          <t>письмово відмовився від укладання договору на умовах, визначених у запиті пропозицій постачальників</t>
        </is>
      </c>
      <c r="I425" t="inlineStr">
        <is>
          <t>Відповідно до підпункт 2 пункту 64 “Порядку формування та використання електронного каталогу” затвердженого постановою КМУ № 822, замовник відхиляє пропозицію переможця відбору, якщо постачальник письмово відмовився від укладення договору на умовах, визначених замовником у запиті пропозицій постачальників, зокрема у проекті договору, що є складовою частиною запиту пропозицій постачальників</t>
        </is>
      </c>
    </row>
    <row r="426">
      <c r="A426" s="4" t="inlineStr">
        <is>
          <t>UA-2026-06-09-010646-a</t>
        </is>
      </c>
      <c r="B426" t="inlineStr">
        <is>
          <t>2026-06-15</t>
        </is>
      </c>
      <c r="C426" t="inlineStr">
        <is>
          <t>ФОП Кофан Дмитро Юрійович</t>
        </is>
      </c>
      <c r="D426" t="inlineStr">
        <is>
          <t>3467108376</t>
        </is>
      </c>
      <c r="E426" t="inlineStr">
        <is>
          <t>Любомльська міська рада</t>
        </is>
      </c>
      <c r="F426" s="13" t="n">
        <v>24890</v>
      </c>
      <c r="G426" t="inlineStr">
        <is>
          <t>Відмова від договору</t>
        </is>
      </c>
      <c r="H426" t="inlineStr">
        <is>
          <t>Письмово відмовився від укладення договору на умовах, визначених замовником у запиті пропозицій постачальників, шляхом заповнення електронних форм з окремими полями та у проекті договору, що є складовою частиною запиту пропозицій постачальників</t>
        </is>
      </c>
      <c r="I426" t="inlineStr"/>
    </row>
    <row r="427">
      <c r="A427" s="4" t="inlineStr">
        <is>
          <t>UA-2026-01-27-018088-a</t>
        </is>
      </c>
      <c r="B427" t="inlineStr">
        <is>
          <t>2026-02-03</t>
        </is>
      </c>
      <c r="C427" t="inlineStr">
        <is>
          <t>ТОВ "ТІНОС-Д"</t>
        </is>
      </c>
      <c r="D427" t="inlineStr">
        <is>
          <t>42289645</t>
        </is>
      </c>
      <c r="E427" t="inlineStr">
        <is>
          <t>ВІЙСЬКОВА ЧАСТИНА 1141 НАЦІОНАЛЬНОЇ ГВАРДІЇ УКРАЇНИ</t>
        </is>
      </c>
      <c r="F427" s="13" t="n">
        <v>24084</v>
      </c>
      <c r="G427" t="inlineStr">
        <is>
          <t>Відмова від договору</t>
        </is>
      </c>
      <c r="H427" t="inlineStr">
        <is>
          <t>Переможець письмово відмовився від укладення договору на умовах, визначених замовником у запиті пропозицій постачальників, шляхом заповнення електронних форм з окремими полями та у проекті договору, що є складовою частиною запиту пропозицій постачальників</t>
        </is>
      </c>
      <c r="I427" t="inlineStr">
        <is>
          <t>Переможець письмово відмовився від укладення договору на умовах, визначених замовником у запиті пропозицій постачальників, шляхом заповнення електронних форм з окремими полями та у проекті договору, що є складовою частиною запиту пропозицій постачальників</t>
        </is>
      </c>
    </row>
    <row r="428">
      <c r="A428" s="4" t="inlineStr">
        <is>
          <t>UA-2026-01-27-018088-a</t>
        </is>
      </c>
      <c r="B428" t="inlineStr">
        <is>
          <t>2026-02-03</t>
        </is>
      </c>
      <c r="C428" t="inlineStr">
        <is>
          <t>ТОВ "КОМПАКОМ"</t>
        </is>
      </c>
      <c r="D428" t="inlineStr">
        <is>
          <t>45596933</t>
        </is>
      </c>
      <c r="E428" t="inlineStr">
        <is>
          <t>ВІЙСЬКОВА ЧАСТИНА 1141 НАЦІОНАЛЬНОЇ ГВАРДІЇ УКРАЇНИ</t>
        </is>
      </c>
      <c r="F428" s="13" t="n">
        <v>24000</v>
      </c>
      <c r="G428" t="inlineStr">
        <is>
          <t>Відмова від договору</t>
        </is>
      </c>
      <c r="H428" t="inlineStr">
        <is>
          <t>Переможець письмово відмовився від укладення договору на умовах, визначених замовником у запиті пропозицій постачальників, шляхом заповнення електронних форм з окремими полями та у проекті договору, що є складовою частиною запиту пропозицій постачальників</t>
        </is>
      </c>
      <c r="I428" t="inlineStr">
        <is>
          <t>Переможець письмово відмовився від укладення договору на умовах, визначених замовником у запиті пропозицій постачальників, шляхом заповнення електронних форм з окремими полями та у проекті договору, що є складовою частиною запиту пропозицій постачальників</t>
        </is>
      </c>
    </row>
    <row r="429">
      <c r="A429" s="4" t="inlineStr">
        <is>
          <t>UA-2025-10-10-006331-a</t>
        </is>
      </c>
      <c r="B429" t="inlineStr">
        <is>
          <t>2025-10-28</t>
        </is>
      </c>
      <c r="C429" t="inlineStr">
        <is>
          <t>ТОВ "КОМПАКОМ"</t>
        </is>
      </c>
      <c r="D429" t="inlineStr">
        <is>
          <t>45596933</t>
        </is>
      </c>
      <c r="E429" t="inlineStr">
        <is>
          <t>ЛЮБЛИНЕЦЬКИЙ ЛІЦЕЙ ВОЛИНСЬКОЇ ОБЛАСНОЇ РАДИ</t>
        </is>
      </c>
      <c r="F429" s="13" t="n">
        <v>24000</v>
      </c>
      <c r="G429" t="inlineStr">
        <is>
          <t>Не підписав договір у строк</t>
        </is>
      </c>
      <c r="H429" t="inlineStr">
        <is>
          <t>не підписав договір у строк, визначений абзацом першим пункту 66 цього Порядку</t>
        </is>
      </c>
      <c r="I429" t="inlineStr">
        <is>
          <t>20.10.2025 року за вих. № 513/1.29/2025 Люблинецький ліцей звернувся до переможця ТОВ "КОМПАКОМ"код ЄДРПОУ:45596933, з пропозицією підписання договору. Звернення було направлене переможцю на офіційну електронну пошту переможця vit6922@gmail.com, яка вказана учасником у електронній системі (20.10.2025 року – понеділок, 5 календарних днів закінчується 25.10.2025 року – субота). Тому у неробочий час договір укласти неможливо. Станом на 27.102025 року – понеділок, переможцем ТОВ "КОМПАКОМ" код ЄДРПО</t>
        </is>
      </c>
    </row>
    <row r="430">
      <c r="A430" s="4" t="inlineStr">
        <is>
          <t>UA-2025-10-10-006331-a</t>
        </is>
      </c>
      <c r="B430" t="inlineStr">
        <is>
          <t>2025-11-03</t>
        </is>
      </c>
      <c r="C430" t="inlineStr">
        <is>
          <t>ТОВ «ПБГ19»</t>
        </is>
      </c>
      <c r="D430" t="inlineStr">
        <is>
          <t>45701274</t>
        </is>
      </c>
      <c r="E430" t="inlineStr">
        <is>
          <t>ЛЮБЛИНЕЦЬКИЙ ЛІЦЕЙ ВОЛИНСЬКОЇ ОБЛАСНОЇ РАДИ</t>
        </is>
      </c>
      <c r="F430" s="13" t="n">
        <v>24000</v>
      </c>
      <c r="G430" t="inlineStr">
        <is>
          <t>Не підписав договір у строк</t>
        </is>
      </c>
      <c r="H430" t="inlineStr">
        <is>
          <t>не підписав договір у строк, визначений абзацом першим пункту 66 цього Порядку</t>
        </is>
      </c>
      <c r="I430" t="inlineStr">
        <is>
          <t>підпункт 1, 2 пункту 64 “Порядку формування та використання електронного каталогу” затвердженого постановою КМУ № 822, замовник відхиляє пропозицію переможця відбору, якщо постачальник письмово відмовився від укладення договору на умовах, визначених замовником у запиті пропозицій постачальників, зокрема у проекті договору, що є складовою частиною запиту пропозицій постачальників.</t>
        </is>
      </c>
    </row>
    <row r="431">
      <c r="A431" s="4" t="inlineStr">
        <is>
          <t>UA-2026-04-06-009248-a</t>
        </is>
      </c>
      <c r="B431" t="inlineStr">
        <is>
          <t>2026-04-14</t>
        </is>
      </c>
      <c r="C431" t="inlineStr">
        <is>
          <t>ТОВ "ТІНОС-Д"</t>
        </is>
      </c>
      <c r="D431" t="inlineStr">
        <is>
          <t>42289645</t>
        </is>
      </c>
      <c r="E431" t="inlineStr">
        <is>
          <t>Департамент молоді та спорту Луцької міської ради</t>
        </is>
      </c>
      <c r="F431" s="13" t="n">
        <v>23694</v>
      </c>
      <c r="G431" t="inlineStr">
        <is>
          <t>Відмова від договору</t>
        </is>
      </c>
      <c r="H431" t="inlineStr">
        <is>
          <t>письмово відмовився від укладення договору на умовах, визначених замовником у запиті пропозицій постачальників, шляхом заповнення електронних форм з окремими полями та у проекті договору, що є складовою частиною запиту пропозицій постачальників.</t>
        </is>
      </c>
      <c r="I431" t="inlineStr">
        <is>
          <t>письмово відмовився від укладення договору на умовах, визначених замовником у запиті пропозицій постачальників, шляхом заповнення електронних форм з окремими полями та у проекті договору, що є складовою частиною запиту пропозицій постачальників.</t>
        </is>
      </c>
    </row>
    <row r="432">
      <c r="A432" s="4" t="inlineStr">
        <is>
          <t>UA-2026-05-27-000085-a</t>
        </is>
      </c>
      <c r="B432" t="inlineStr">
        <is>
          <t>2026-06-10</t>
        </is>
      </c>
      <c r="C432" t="inlineStr">
        <is>
          <t>ТОВ "КОМПАКОМ"</t>
        </is>
      </c>
      <c r="D432" t="inlineStr">
        <is>
          <t>45596933</t>
        </is>
      </c>
      <c r="E432" t="inlineStr">
        <is>
          <t>ВІЙСЬКОВА ЧАСТИНА 1141 НАЦІОНАЛЬНОЇ ГВАРДІЇ УКРАЇНИ</t>
        </is>
      </c>
      <c r="F432" s="13" t="n">
        <v>23500</v>
      </c>
      <c r="G432" t="inlineStr">
        <is>
          <t>Невідповідність вимогам документації</t>
        </is>
      </c>
      <c r="H432" t="inlineStr">
        <is>
          <t>Пропозиція учасника не відповідає умовам, визначеним в оголошенні про проведення спрощеної закупівлі, та вимогам до предмета закупівлі</t>
        </is>
      </c>
      <c r="I432" t="inlineStr">
        <is>
          <t>Пропозиція учасника не відповідає умовам, визначеним в оголошенні про проведення спрощеної закупівлі, та вимогам до предмета закупівлі</t>
        </is>
      </c>
    </row>
    <row r="433">
      <c r="A433" s="4" t="inlineStr">
        <is>
          <t>UA-2026-06-16-008359-a</t>
        </is>
      </c>
      <c r="B433" t="inlineStr">
        <is>
          <t>2026-06-30</t>
        </is>
      </c>
      <c r="C433" t="inlineStr">
        <is>
          <t>ТОВ "КОМПАКОМ"</t>
        </is>
      </c>
      <c r="D433" t="inlineStr">
        <is>
          <t>45596933</t>
        </is>
      </c>
      <c r="E433" t="inlineStr">
        <is>
          <t>ВІЙСЬКОВА ЧАСТИНА 1141 НАЦІОНАЛЬНОЇ ГВАРДІЇ УКРАЇНИ</t>
        </is>
      </c>
      <c r="F433" s="13" t="n">
        <v>21600</v>
      </c>
      <c r="G433" t="inlineStr">
        <is>
          <t>Невідповідність вимогам документації</t>
        </is>
      </c>
      <c r="H433" t="inlineStr">
        <is>
          <t>Пропозиція учасника не відповідає умовам, визначеним в оголошенні про проведення спрощеної закупівлі, та вимогам до предмета закупівлі</t>
        </is>
      </c>
      <c r="I433" t="inlineStr">
        <is>
          <t>Пропозиція учасника не відповідає умовам, визначеним в оголошенні про проведення спрощеної закупівлі, та вимогам до предмета закупівлі</t>
        </is>
      </c>
    </row>
    <row r="434">
      <c r="A434" s="4" t="inlineStr">
        <is>
          <t>UA-2025-10-10-006331-a</t>
        </is>
      </c>
      <c r="B434" t="inlineStr">
        <is>
          <t>2025-10-17</t>
        </is>
      </c>
      <c r="C434" t="inlineStr">
        <is>
          <t>ФОП "СРИВКІН СЕРГІЙ БОРИСОВИЧ"</t>
        </is>
      </c>
      <c r="D434" t="inlineStr">
        <is>
          <t>2874302850</t>
        </is>
      </c>
      <c r="E434" t="inlineStr">
        <is>
          <t>ЛЮБЛИНЕЦЬКИЙ ЛІЦЕЙ ВОЛИНСЬКОЇ ОБЛАСНОЇ РАДИ</t>
        </is>
      </c>
      <c r="F434" s="13" t="n">
        <v>21300</v>
      </c>
      <c r="G434" t="inlineStr">
        <is>
          <t>Відмова від договору</t>
        </is>
      </c>
      <c r="H434" t="inlineStr">
        <is>
          <t>письмово відмовився від укладання договору на умовах, визначених у запиті пропозицій постачальників</t>
        </is>
      </c>
      <c r="I434" t="inlineStr">
        <is>
          <t>На стадії кваліфікації переможець закупівлі Ідентифікатор закупівлі: UA-2025-10-10-006331-a ФОП "СРИВКІН СЕРГІЙ БОРИСОВИЧ", код ЄДРПОУ: 2874302850, остаточна пропозиція – 21 300,00 грн. з ПДВ, надав особисте звернення про особисте відкликання своєї пропозиції у закупівлі UA-2025-10-10-006331-a Вказане звернення від 16.10.2025 року ФОП "СРИВКІН СЕРГІЙ БОРИСОВИЧ", код ЄДРПОУ: 2874302850 , надійшло до Замовника об 18.15 о 16.10.2025 року. Тому зареєстроване у вхідній кореспонденції Люблинецького лі</t>
        </is>
      </c>
    </row>
    <row r="435">
      <c r="A435" s="4" t="inlineStr">
        <is>
          <t>UA-2025-11-21-015712-a</t>
        </is>
      </c>
      <c r="B435" t="inlineStr">
        <is>
          <t>2025-12-02</t>
        </is>
      </c>
      <c r="C435" t="inlineStr">
        <is>
          <t>ТОВ "ТК "АСАНАРА"</t>
        </is>
      </c>
      <c r="D435" t="inlineStr">
        <is>
          <t>45344614</t>
        </is>
      </c>
      <c r="E435" t="inlineStr">
        <is>
          <t>ЛЮБЛИНЕЦЬКИЙ ЛІЦЕЙ ВОЛИНСЬКОЇ ОБЛАСНОЇ РАДИ</t>
        </is>
      </c>
      <c r="F435" s="13" t="n">
        <v>20164.08</v>
      </c>
      <c r="G435" t="inlineStr">
        <is>
          <t>Не підписав договір у строк</t>
        </is>
      </c>
      <c r="H435" t="inlineStr">
        <is>
          <t>не підписав договір у строк, визначений абзацом першим пункту 66 цього Порядку</t>
        </is>
      </c>
      <c r="I435" t="inlineStr">
        <is>
          <t>Відповідно до підпункт 1 пункту 64 “Порядку формування та використання електронного каталогу” затвердженого постановою КМУ № 822, замовник відхиляє пропозицію переможця відбору, якщо постачальник не підписав договір у строк, визначений абзацом першим пункту 66 цього Порядку</t>
        </is>
      </c>
    </row>
    <row r="436">
      <c r="A436" s="4" t="inlineStr">
        <is>
          <t>UA-2025-10-21-017609-a</t>
        </is>
      </c>
      <c r="B436" t="inlineStr">
        <is>
          <t>2025-11-03</t>
        </is>
      </c>
      <c r="C436" t="inlineStr">
        <is>
          <t>ОСАДЧА ОЛЕНА ЮРІЇВНА</t>
        </is>
      </c>
      <c r="D436" t="inlineStr">
        <is>
          <t>3394506905</t>
        </is>
      </c>
      <c r="E436" t="inlineStr">
        <is>
          <t>НОВОВОЛИНСЬКИЙ ЛІЦЕЙ №9 НОВОВОЛИНСЬКОЇ МІСЬКОЇ РАДИ ВОЛИНСЬКОЇ ОБЛАСТІ</t>
        </is>
      </c>
      <c r="F436" s="13" t="n">
        <v>15155</v>
      </c>
      <c r="G436" t="inlineStr">
        <is>
          <t>Не надав документи</t>
        </is>
      </c>
      <c r="H436" t="inlineStr">
        <is>
          <t>Переможець не надав документ про реєстрацію у прийнятній країні та/або інформацію про те, що до переможця відбору, його кінцевих бенефіціарних власників, членів або учасників (акціонерів) не застосовано обмежувальні заходи у вигляді санкцій Європейського Союзу та/або про те, що не знаходяться у санкційному списку Європейського Союзу. Або зазначена інформація надана з порушенням вимог</t>
        </is>
      </c>
      <c r="I436" t="inlineStr">
        <is>
          <t>Переможець не надав документ про реєстрацію у прийнятній країні та/або інформацію про те, що до переможця відбору, його кінцевих бенефіціарних власників, членів або учасників (акціонерів) не застосовано обмежувальні заходи у вигляді санкцій Європейського Союзу та/або про те, що не знаходяться у санкційному списку Європейського Союзу. Або зазначена інформація надана з порушенням вимог.</t>
        </is>
      </c>
    </row>
    <row r="437">
      <c r="A437" s="4" t="inlineStr">
        <is>
          <t>UA-2026-08-14-011647-a</t>
        </is>
      </c>
      <c r="B437" t="inlineStr">
        <is>
          <t>2026-08-20</t>
        </is>
      </c>
      <c r="C437" t="inlineStr">
        <is>
          <t>ФОП "Гріпіч Тетяна Борисівна"</t>
        </is>
      </c>
      <c r="D437" t="inlineStr">
        <is>
          <t>2850105825</t>
        </is>
      </c>
      <c r="E437" t="inlineStr">
        <is>
          <t>ВІЙСЬКОВА ЧАСТИНА 1141 НАЦІОНАЛЬНОЇ ГВАРДІЇ УКРАЇНИ</t>
        </is>
      </c>
      <c r="F437" s="13" t="n">
        <v>15000</v>
      </c>
      <c r="G437" t="inlineStr">
        <is>
          <t>Відмова від договору</t>
        </is>
      </c>
      <c r="H437" t="inlineStr">
        <is>
          <t>Переможець письмово відмовився від укладення договору на умовах, визначених замовником у запиті пропозицій постачальників, шляхом заповнення електронних форм з окремими полями та у проекті договору, що є складовою частиною запиту пропозицій постачальників</t>
        </is>
      </c>
      <c r="I437" t="inlineStr">
        <is>
          <t>Переможець письмово відмовився від укладення договору на умовах, визначених замовником у запиті пропозицій постачальників, шляхом заповнення електронних форм з окремими полями та у проекті договору, що є складовою частиною запиту пропозицій постачальників</t>
        </is>
      </c>
    </row>
    <row r="438">
      <c r="A438" s="4" t="inlineStr">
        <is>
          <t>UA-2025-09-09-008091-a</t>
        </is>
      </c>
      <c r="B438" t="inlineStr">
        <is>
          <t>2025-09-22</t>
        </is>
      </c>
      <c r="C438" t="inlineStr">
        <is>
          <t>ТОВ "КОМПАКОМ"</t>
        </is>
      </c>
      <c r="D438" t="inlineStr">
        <is>
          <t>45596933</t>
        </is>
      </c>
      <c r="E438" t="inlineStr">
        <is>
          <t>Квартирно - експлуатаційний відділ м. Володимир</t>
        </is>
      </c>
      <c r="F438" s="13" t="n">
        <v>14900</v>
      </c>
      <c r="G438" t="inlineStr">
        <is>
          <t>Не підписав договір у строк</t>
        </is>
      </c>
      <c r="H438" t="inlineStr">
        <is>
          <t>Переможець не підписав договір у строк, визначений абзацом першим пункту 66 цього Порядку</t>
        </is>
      </c>
      <c r="I438" t="inlineStr">
        <is>
          <t>На етапі укладення договору Переможець відбору не підписав договір у строк, визначений абзацом першим пункту 66 Порядку № 822, не надав відповідь на повідомлення замовника від 15.09.2025 р., проігнорувавши його, та не надав підписаний договір, у строк визначений абзацом першим пункту 66 цього Порядку, а отже вважається таким, що не підписав договір у строк визначений абзацом першим пункту 66 цього Порядку / інший варіант).</t>
        </is>
      </c>
    </row>
    <row r="439">
      <c r="A439" s="4" t="inlineStr">
        <is>
          <t>UA-2025-10-27-015405-a</t>
        </is>
      </c>
      <c r="B439" t="inlineStr">
        <is>
          <t>2025-11-12</t>
        </is>
      </c>
      <c r="C439" t="inlineStr">
        <is>
          <t>ФОП ПРІСИЧ ДМИТРО МИКОЛАЙОВИЧ</t>
        </is>
      </c>
      <c r="D439" t="inlineStr">
        <is>
          <t>3248805838</t>
        </is>
      </c>
      <c r="E439" t="inlineStr">
        <is>
          <t>Департамент житлово-комунального господарства Луцької міської ради</t>
        </is>
      </c>
      <c r="F439" s="13" t="n">
        <v>14199</v>
      </c>
      <c r="G439" t="inlineStr">
        <is>
          <t>Відмова від договору</t>
        </is>
      </c>
      <c r="H439" t="inlineStr">
        <is>
          <t>Переможець письмово відмовився від укладання договору на умовах, визначених у запиті пропозицій постачальників</t>
        </is>
      </c>
      <c r="I439" t="inlineStr">
        <is>
          <t>Прийнято рішення про відхилення, оскільки переможець письмово відмовився від укладання договору</t>
        </is>
      </c>
    </row>
    <row r="440">
      <c r="A440" s="4" t="inlineStr">
        <is>
          <t>UA-2025-10-27-015405-a</t>
        </is>
      </c>
      <c r="B440" t="inlineStr">
        <is>
          <t>2025-11-05</t>
        </is>
      </c>
      <c r="C440" t="inlineStr">
        <is>
          <t>ТОВ "КОМПАКОМ"</t>
        </is>
      </c>
      <c r="D440" t="inlineStr">
        <is>
          <t>45596933</t>
        </is>
      </c>
      <c r="E440" t="inlineStr">
        <is>
          <t>Департамент житлово-комунального господарства Луцької міської ради</t>
        </is>
      </c>
      <c r="F440" s="13" t="n">
        <v>14000</v>
      </c>
      <c r="G440" t="inlineStr">
        <is>
          <t>Відмова від договору</t>
        </is>
      </c>
      <c r="H440" t="inlineStr">
        <is>
          <t>Переможець письмово відмовився від укладання договору на умовах, визначених у запиті пропозицій постачальників</t>
        </is>
      </c>
      <c r="I440" t="inlineStr">
        <is>
          <t>Переможець письмово відмовився від укладання договору на умовах, визначених у запиті пропозицій постачальників</t>
        </is>
      </c>
    </row>
    <row r="441">
      <c r="A441" s="4" t="inlineStr">
        <is>
          <t>UA-2025-10-21-017609-a</t>
        </is>
      </c>
      <c r="B441" t="inlineStr">
        <is>
          <t>2025-11-03</t>
        </is>
      </c>
      <c r="C441" t="inlineStr">
        <is>
          <t>ФОП "ЛУКАЧ ЯРОСЛАВ ВАСИЛЬОВИЧ"</t>
        </is>
      </c>
      <c r="D441" t="inlineStr">
        <is>
          <t>2944022810</t>
        </is>
      </c>
      <c r="E441" t="inlineStr">
        <is>
          <t>НОВОВОЛИНСЬКИЙ ЛІЦЕЙ №9 НОВОВОЛИНСЬКОЇ МІСЬКОЇ РАДИ ВОЛИНСЬКОЇ ОБЛАСТІ</t>
        </is>
      </c>
      <c r="F441" s="13" t="n">
        <v>13900</v>
      </c>
      <c r="G441" t="inlineStr">
        <is>
          <t>Відмова від договору</t>
        </is>
      </c>
      <c r="H441" t="inlineStr">
        <is>
          <t>Переможець письмово відмовився від укладання договору на умовах, визначених у запиті пропозицій постачальників</t>
        </is>
      </c>
      <c r="I441" t="inlineStr">
        <is>
          <t>Переможець письмово відмовився від укладання договору у зв'язку з неможливістю поставки товару.</t>
        </is>
      </c>
    </row>
    <row r="442">
      <c r="A442" s="4" t="inlineStr">
        <is>
          <t>UA-2026-02-11-004991-a</t>
        </is>
      </c>
      <c r="B442" t="inlineStr">
        <is>
          <t>2026-02-16</t>
        </is>
      </c>
      <c r="C442" t="inlineStr">
        <is>
          <t>ФОП "Семенюк Наталія Дмитрівна"</t>
        </is>
      </c>
      <c r="D442" t="inlineStr">
        <is>
          <t>2120013021</t>
        </is>
      </c>
      <c r="E442" t="inlineStr">
        <is>
          <t>ВІЙСЬКОВА ЧАСТИНА 1141 НАЦІОНАЛЬНОЇ ГВАРДІЇ УКРАЇНИ</t>
        </is>
      </c>
      <c r="F442" s="13" t="n">
        <v>13130</v>
      </c>
      <c r="G442" t="inlineStr">
        <is>
          <t>Відмова від договору</t>
        </is>
      </c>
      <c r="H442" t="inlineStr">
        <is>
          <t>Переможець письмово відмовився від укладення договору на умовах, визначених замовником у запиті пропозицій постачальників, шляхом заповнення електронних форм з окремими полями та у проекті договору, що є складовою частиною запиту пропозицій постачальників</t>
        </is>
      </c>
      <c r="I442" t="inlineStr">
        <is>
          <t>Переможець письмово відмовився від укладення договору на умовах, визначених замовником у запиті пропозицій постачальників, шляхом заповнення електронних форм з окремими полями та у проекті договору, що є складовою частиною запиту пропозицій постачальників</t>
        </is>
      </c>
    </row>
    <row r="443">
      <c r="A443" s="4" t="inlineStr">
        <is>
          <t>UA-2025-10-22-010276-a</t>
        </is>
      </c>
      <c r="B443" t="inlineStr">
        <is>
          <t>2025-11-11</t>
        </is>
      </c>
      <c r="C443" t="inlineStr">
        <is>
          <t>ТОВ "СІНТ-ДНІПРОПЕТРОВСЬК"</t>
        </is>
      </c>
      <c r="D443" t="inlineStr">
        <is>
          <t>38199744</t>
        </is>
      </c>
      <c r="E443" t="inlineStr">
        <is>
          <t>Виконавчий комітет Луцької міської ради</t>
        </is>
      </c>
      <c r="F443" s="13" t="n">
        <v>13050</v>
      </c>
      <c r="G443" t="inlineStr">
        <is>
          <t>Не підписав договір у строк</t>
        </is>
      </c>
      <c r="H443" t="inlineStr">
        <is>
          <t>Переможець не підписав договір у строк, визначений абзацом першим пункту 66 цього Порядку</t>
        </is>
      </c>
      <c r="I443" t="inlineStr">
        <is>
          <t>Переможець не підписав договір у строк, визначений абзацом першим пункту 66 цього Порядку</t>
        </is>
      </c>
    </row>
    <row r="444">
      <c r="A444" s="4" t="inlineStr">
        <is>
          <t>UA-2025-10-09-011796-a</t>
        </is>
      </c>
      <c r="B444" t="inlineStr">
        <is>
          <t>2025-10-26</t>
        </is>
      </c>
      <c r="C444" t="inlineStr">
        <is>
          <t>ФОП "ЛУКАЧ ЯРОСЛАВ ВАСИЛЬОВИЧ"</t>
        </is>
      </c>
      <c r="D444" t="inlineStr">
        <is>
          <t>2944022810</t>
        </is>
      </c>
      <c r="E444" t="inlineStr">
        <is>
          <t>Карасинська гімназія Прилісненської сільської ради Волинської області</t>
        </is>
      </c>
      <c r="F444" s="13" t="n">
        <v>11150</v>
      </c>
      <c r="G444" t="inlineStr">
        <is>
          <t>Не підписав договір у строк</t>
        </is>
      </c>
      <c r="H444" t="inlineStr">
        <is>
          <t>Переможець не підписав договір у строк, визначений абзацом першим пункту 66 цього Порядку</t>
        </is>
      </c>
      <c r="I444" t="inlineStr">
        <is>
          <t>Договір не підписали протягом 5 календарних днів з дня визначення електронною системою закупівель постачальника переможцем відбору</t>
        </is>
      </c>
    </row>
    <row r="445">
      <c r="A445" s="4" t="inlineStr">
        <is>
          <t>UA-2025-10-09-011796-a</t>
        </is>
      </c>
      <c r="B445" t="inlineStr">
        <is>
          <t>2025-10-20</t>
        </is>
      </c>
      <c r="C445" t="inlineStr">
        <is>
          <t>ТОВ "КОРВЕТ"</t>
        </is>
      </c>
      <c r="D445" t="inlineStr">
        <is>
          <t>21337459</t>
        </is>
      </c>
      <c r="E445" t="inlineStr">
        <is>
          <t>Карасинська гімназія Прилісненської сільської ради Волинської області</t>
        </is>
      </c>
      <c r="F445" s="13" t="n">
        <v>10200</v>
      </c>
      <c r="G445" t="inlineStr">
        <is>
          <t>Не підписав договір у строк</t>
        </is>
      </c>
      <c r="H445" t="inlineStr">
        <is>
          <t>Переможець не підписав договір у строк, визначений абзацом першим пункту 66 цього Порядку</t>
        </is>
      </c>
      <c r="I445" t="inlineStr">
        <is>
          <t>п.1 ст. 64 Порядку формування та використання електронного каталогу</t>
        </is>
      </c>
    </row>
    <row r="446">
      <c r="A446" s="4" t="inlineStr">
        <is>
          <t>UA-2025-10-22-010976-a</t>
        </is>
      </c>
      <c r="B446" t="inlineStr">
        <is>
          <t>2025-10-27</t>
        </is>
      </c>
      <c r="C446" t="inlineStr">
        <is>
          <t>ТОВ "Епіцентр К"</t>
        </is>
      </c>
      <c r="D446" t="inlineStr">
        <is>
          <t>32490244</t>
        </is>
      </c>
      <c r="E446" t="inlineStr">
        <is>
          <t>Виконавчий комітет Луцької міської ради</t>
        </is>
      </c>
      <c r="F446" s="13" t="n">
        <v>9123</v>
      </c>
      <c r="G446" t="inlineStr">
        <is>
          <t>Відмова від договору</t>
        </is>
      </c>
      <c r="H446" t="inlineStr">
        <is>
          <t>Переможець письмово відмовився від укладання договору на умовах, визначених у запиті пропозицій постачальників</t>
        </is>
      </c>
      <c r="I446" t="inlineStr">
        <is>
          <t>Переможець письмово відмовився від укладання договору на умовах, визначених у запиті пропозицій постачальників</t>
        </is>
      </c>
    </row>
    <row r="447">
      <c r="A447" s="4" t="inlineStr">
        <is>
          <t>UA-2026-07-21-003188-a</t>
        </is>
      </c>
      <c r="B447" t="inlineStr">
        <is>
          <t>2026-08-04</t>
        </is>
      </c>
      <c r="C447" t="inlineStr">
        <is>
          <t>ТОВ "САНТАРЕКС"</t>
        </is>
      </c>
      <c r="D447" t="inlineStr">
        <is>
          <t>30126040</t>
        </is>
      </c>
      <c r="E447" t="inlineStr">
        <is>
          <t>Виконавчий комітет Луцької міської ради</t>
        </is>
      </c>
      <c r="F447" s="13" t="n">
        <v>3900</v>
      </c>
      <c r="G447" t="inlineStr">
        <is>
          <t>Не підписав договір у строк</t>
        </is>
      </c>
      <c r="H447" t="inlineStr">
        <is>
          <t>Переможець не підписав договір, на умовах, визначених замовником у запиті пропозицій постачальників шляхом заповнення електронних форм із окремими полями та у проекті договору, що є складовою частиною запиту пропозицій постачальників у строк, визначений пунктом 66 цього Порядку</t>
        </is>
      </c>
      <c r="I447" t="inlineStr">
        <is>
          <t>Переможець не підписав договір, на умовах, визначених замовником у запиті пропозицій постачальників шляхом заповнення електронних форм із окремими полями та у проекті договору, що є складовою частиною запиту пропозицій постачальників у строк, визначений пунктом 66 цього Порядку</t>
        </is>
      </c>
    </row>
    <row r="449">
      <c r="A449" s="7" t="inlineStr">
        <is>
          <t>Відмінені закупівлі</t>
        </is>
      </c>
    </row>
    <row r="450">
      <c r="A450" s="6" t="inlineStr">
        <is>
          <t>Тут перемогу забирає не рішення про учасника, а зникнення самої закупівлі. Підстава відміни — з переліку, тож її не доводиться розпізнавати за текстом.</t>
        </is>
      </c>
    </row>
    <row r="452">
      <c r="A452" s="8" t="inlineStr">
        <is>
          <t>Показники</t>
        </is>
      </c>
    </row>
    <row r="453">
      <c r="A453" s="9" t="inlineStr">
        <is>
          <t>Відмінено закупівель</t>
        </is>
      </c>
      <c r="B453" s="10" t="inlineStr">
        <is>
          <t>33</t>
        </is>
      </c>
    </row>
    <row r="454">
      <c r="A454" s="9" t="inlineStr">
        <is>
          <t>Частка вибірки</t>
        </is>
      </c>
      <c r="B454" s="10" t="inlineStr">
        <is>
          <t>1,7%</t>
        </is>
      </c>
    </row>
    <row r="455">
      <c r="A455" s="9" t="inlineStr">
        <is>
          <t>Очікувана вартість</t>
        </is>
      </c>
      <c r="B455" s="10" t="inlineStr">
        <is>
          <t>8,9 млн грн</t>
        </is>
      </c>
    </row>
    <row r="456">
      <c r="A456" s="9" t="inlineStr">
        <is>
          <t>Головна підстава</t>
        </is>
      </c>
      <c r="B456" s="10" t="inlineStr">
        <is>
          <t>Відсутня потреба в закупівлі</t>
        </is>
      </c>
    </row>
    <row r="458">
      <c r="A458" s="8" t="inlineStr">
        <is>
          <t>Графіки</t>
        </is>
      </c>
    </row>
    <row r="460">
      <c r="A460" s="2" t="inlineStr">
        <is>
          <t>Підстави відміни</t>
        </is>
      </c>
    </row>
    <row r="461">
      <c r="A461" s="3" t="inlineStr">
        <is>
          <t>Категорія</t>
        </is>
      </c>
      <c r="B461" s="3" t="inlineStr">
        <is>
          <t>Закупівель, шт</t>
        </is>
      </c>
    </row>
    <row r="462">
      <c r="A462" t="inlineStr">
        <is>
          <t>Відсутня потреба в закупівлі</t>
        </is>
      </c>
      <c r="B462" s="5" t="n">
        <v>15</v>
      </c>
    </row>
    <row r="463">
      <c r="A463" t="inlineStr">
        <is>
          <t>Неможливо усунути порушення законодавства</t>
        </is>
      </c>
      <c r="B463" s="5" t="n">
        <v>12</v>
      </c>
    </row>
    <row r="464">
      <c r="A464" t="inlineStr">
        <is>
          <t>Обставини непереборної сили</t>
        </is>
      </c>
      <c r="B464" s="5" t="n">
        <v>7</v>
      </c>
    </row>
    <row r="480">
      <c r="A480" s="8" t="inlineStr">
        <is>
          <t>Таблиці</t>
        </is>
      </c>
    </row>
    <row r="482">
      <c r="A482" s="2" t="inlineStr">
        <is>
          <t>Підстави</t>
        </is>
      </c>
    </row>
    <row r="483">
      <c r="A483" s="11" t="inlineStr">
        <is>
          <t>Підстава</t>
        </is>
      </c>
      <c r="B483" s="11" t="inlineStr">
        <is>
          <t>Закупівель</t>
        </is>
      </c>
      <c r="C483" s="11" t="inlineStr">
        <is>
          <t>Очікувана вартість, грн</t>
        </is>
      </c>
    </row>
    <row r="484">
      <c r="A484" t="inlineStr">
        <is>
          <t>Відсутня потреба в закупівлі</t>
        </is>
      </c>
      <c r="B484" s="5" t="n">
        <v>15</v>
      </c>
      <c r="C484" s="13" t="n">
        <v>3643834</v>
      </c>
    </row>
    <row r="485">
      <c r="A485" t="inlineStr">
        <is>
          <t>Неможливо усунути порушення законодавства</t>
        </is>
      </c>
      <c r="B485" s="5" t="n">
        <v>12</v>
      </c>
      <c r="C485" s="13" t="n">
        <v>2742331.58</v>
      </c>
    </row>
    <row r="486">
      <c r="A486" t="inlineStr">
        <is>
          <t>Обставини непереборної сили</t>
        </is>
      </c>
      <c r="B486" s="5" t="n">
        <v>7</v>
      </c>
      <c r="C486" s="13" t="n">
        <v>2513713</v>
      </c>
    </row>
    <row r="488">
      <c r="A488" s="2" t="inlineStr">
        <is>
          <t>Випадки</t>
        </is>
      </c>
    </row>
    <row r="489">
      <c r="A489" s="11" t="inlineStr">
        <is>
          <t>Закупівля</t>
        </is>
      </c>
      <c r="B489" s="11" t="inlineStr">
        <is>
          <t>Дата відміни</t>
        </is>
      </c>
      <c r="C489" s="11" t="inlineStr">
        <is>
          <t>Замовник</t>
        </is>
      </c>
      <c r="D489" s="11" t="inlineStr">
        <is>
          <t>Очікувана вартість, грн</t>
        </is>
      </c>
      <c r="E489" s="11" t="inlineStr">
        <is>
          <t>Підстава</t>
        </is>
      </c>
      <c r="F489" s="11" t="inlineStr">
        <is>
          <t>Обґрунтування</t>
        </is>
      </c>
    </row>
    <row r="490">
      <c r="A490" s="4" t="inlineStr">
        <is>
          <t>UA-2026-08-18-013057-a</t>
        </is>
      </c>
      <c r="B490" t="inlineStr">
        <is>
          <t>2026-08-26</t>
        </is>
      </c>
      <c r="C490" t="inlineStr">
        <is>
          <t>Волинський обласний ліцей з посиленою військово-фізичною підготовкою імені Героїв Небесної Сотні</t>
        </is>
      </c>
      <c r="D490" s="13" t="n">
        <v>1748000</v>
      </c>
      <c r="E490" t="inlineStr">
        <is>
          <t>Обставини непереборної сили</t>
        </is>
      </c>
      <c r="F490" t="inlineStr">
        <is>
          <t>Згідно вимог пункту 65 Порядку Замовник може відмінити запит пропозицій постачальників до укладення договору у разі: якщо здійснення закупівлі стало неможливим внаслідок дії обставин непереборної сили.</t>
        </is>
      </c>
    </row>
    <row r="491">
      <c r="A491" s="4" t="inlineStr">
        <is>
          <t>UA-2026-08-06-005940-a</t>
        </is>
      </c>
      <c r="B491" t="inlineStr">
        <is>
          <t>2026-08-17</t>
        </is>
      </c>
      <c r="C491" t="inlineStr">
        <is>
          <t>Гуманітарний відділ Цуманської селищної ради</t>
        </is>
      </c>
      <c r="D491" s="13" t="n">
        <v>321083.33</v>
      </c>
      <c r="E491" t="inlineStr">
        <is>
          <t>Неможливо усунути порушення законодавства</t>
        </is>
      </c>
      <c r="F491" t="inlineStr">
        <is>
          <t>Виявлено порушення, яке не можливо усунути, а саме – у плані закупівлі не вірно вказаний КЕКВ.</t>
        </is>
      </c>
    </row>
    <row r="492">
      <c r="A492" s="4" t="inlineStr">
        <is>
          <t>UA-2026-08-03-002538-a</t>
        </is>
      </c>
      <c r="B492" t="inlineStr">
        <is>
          <t>2026-08-03</t>
        </is>
      </c>
      <c r="C492" t="inlineStr">
        <is>
          <t>Квартирно - експлуатаційний відділ м. Володимир</t>
        </is>
      </c>
      <c r="D492" s="13" t="n">
        <v>92625</v>
      </c>
      <c r="E492" t="inlineStr">
        <is>
          <t>Неможливо усунути порушення законодавства</t>
        </is>
      </c>
      <c r="F492" t="inlineStr">
        <is>
          <t>невірно зазначено КЕКВ в річному плані закупівлі</t>
        </is>
      </c>
    </row>
    <row r="493">
      <c r="A493" s="4" t="inlineStr">
        <is>
          <t>UA-2026-07-30-006105-a</t>
        </is>
      </c>
      <c r="B493" t="inlineStr">
        <is>
          <t>2026-08-18</t>
        </is>
      </c>
      <c r="C493" t="inlineStr">
        <is>
          <t>КОМУНАЛЬНЕ ПІДПРИЄМСТВО "ВОЛИНСЬКА ОБЛАСНА ПСИХІАТРИЧНА ЛІКАРНЯ М.ЛУЦЬКА" ВОЛИНСЬКОЇ ОБЛАСНОЇ РАДИ</t>
        </is>
      </c>
      <c r="D493" s="13" t="n">
        <v>788200</v>
      </c>
      <c r="E493" t="inlineStr">
        <is>
          <t>Неможливо усунути порушення законодавства</t>
        </is>
      </c>
      <c r="F493" t="inlineStr">
        <is>
          <t>Під час оголошення закупівлі, а саме: Замовником в Додатку 2 Тендерної документації була допущена технічна помилка на 5,6 сторінці розміщена інформація, яка немає відношення до закупівлі № UA2026-07-30-006105-а, оскільки помилка може вплинути на зміст тендерних пропозицій учасників. Усунути дану помилку та привести процедуру закупівлі у відповідність до вимог законодавства у сфері публічних закупівель шляхом редагування не є можливим/оскільки закупівля знаходиться в стадії «Кваліфікація». Відпов</t>
        </is>
      </c>
    </row>
    <row r="494">
      <c r="A494" s="4" t="inlineStr">
        <is>
          <t>UA-2026-06-30-001916-a</t>
        </is>
      </c>
      <c r="B494" t="inlineStr">
        <is>
          <t>2026-07-02</t>
        </is>
      </c>
      <c r="C494" t="inlineStr">
        <is>
          <t>ВІДДІЛ ОСВІТИ КОЛКІВСЬКОЇ СЕЛИЩНОЇ РАДИ ВОЛИНСЬКОЇ ОБЛАСТІ</t>
        </is>
      </c>
      <c r="D494" s="13" t="n">
        <v>165000</v>
      </c>
      <c r="E494" t="inlineStr">
        <is>
          <t>Неможливо усунути порушення законодавства</t>
        </is>
      </c>
      <c r="F494" t="inlineStr">
        <is>
          <t>Відповідно до Граничних сум витрат на придбання легкових автомобілів, меблів, іншого обладнання та устаткування, комп'ютерів, придбання і утримання мобільних телефонів державними органами, а також установами та організаціями, які утримуються за рахунок державного бюджету затверджених постановою Кабінету Міністрів України від 04.04.2001 №332, вартість ноутбука не повинна перевищувати 50000,00 гривень за одиницю (з урахуванням ПДВ)</t>
        </is>
      </c>
    </row>
    <row r="495">
      <c r="A495" s="4" t="inlineStr">
        <is>
          <t>UA-2026-06-19-009380-a</t>
        </is>
      </c>
      <c r="B495" t="inlineStr">
        <is>
          <t>2026-08-13</t>
        </is>
      </c>
      <c r="C495" t="inlineStr">
        <is>
          <t>КОМУНАЛЬНЕ ПІДПРИЄМСТВО "ЛЮБЕШІВСЬКА БАГАТОПРОФІЛЬНА ЛІКАРНЯ" ЛЮБЕШІВСЬКОЇ СЕЛИЩНОЇ РАДИ</t>
        </is>
      </c>
      <c r="D495" s="13" t="n">
        <v>6816</v>
      </c>
      <c r="E495" t="inlineStr">
        <is>
          <t>Обставини непереборної сили</t>
        </is>
      </c>
      <c r="F495" t="inlineStr">
        <is>
          <t>Відповідно до пункту 65 Порядку формування та використання електронного каталогу, затвердженого Постановою КМУ від 14.09.2020 № 822 (зі змінами), замовник може відмінити запит ціни пропозицій до укладення договору у разі відсутності подальшої потреби в закупівлі або якщо здійснення закупівлі стало неможливим внаслідок дії обставин непереборної сили. Оскільки сплив процесуальних строків та не підписання договору учасником унеможливлюють правомірне завершення закупівлі, наявні підстави для її відм</t>
        </is>
      </c>
    </row>
    <row r="496">
      <c r="A496" s="4" t="inlineStr">
        <is>
          <t>UA-2026-05-27-000085-a</t>
        </is>
      </c>
      <c r="B496" t="inlineStr">
        <is>
          <t>2026-06-15</t>
        </is>
      </c>
      <c r="C496" t="inlineStr">
        <is>
          <t>ВІЙСЬКОВА ЧАСТИНА 1141 НАЦІОНАЛЬНОЇ ГВАРДІЇ УКРАЇНИ</t>
        </is>
      </c>
      <c r="D496" s="13" t="n">
        <v>24000</v>
      </c>
      <c r="E496" t="inlineStr">
        <is>
          <t>Неможливо усунути порушення законодавства</t>
        </is>
      </c>
      <c r="F496" t="inlineStr">
        <is>
          <t>в резузльтаті виявленого порушення в межах проведення цієї спрощеної закупівлі є неможливим, з метою дотримання принципів публічних закупівель, Замовником було прийняте рішення про відміну спрощеної закупівлі, у зв’язку з неможливістю усунути виявленні порушення в межах її проведення.</t>
        </is>
      </c>
    </row>
    <row r="497">
      <c r="A497" s="4" t="inlineStr">
        <is>
          <t>UA-2026-05-15-002411-a</t>
        </is>
      </c>
      <c r="B497" t="inlineStr">
        <is>
          <t>2026-05-15</t>
        </is>
      </c>
      <c r="C497" t="inlineStr">
        <is>
          <t>Волинський краєзнавчий музей</t>
        </is>
      </c>
      <c r="D497" s="13" t="n">
        <v>7800</v>
      </c>
      <c r="E497" t="inlineStr">
        <is>
          <t>Відсутня потреба в закупівлі</t>
        </is>
      </c>
      <c r="F497" t="inlineStr">
        <is>
          <t>Помилково не вірно вказано КПКВК</t>
        </is>
      </c>
    </row>
    <row r="498">
      <c r="A498" s="4" t="inlineStr">
        <is>
          <t>UA-2026-04-30-009739-a</t>
        </is>
      </c>
      <c r="B498" t="inlineStr">
        <is>
          <t>2026-07-31</t>
        </is>
      </c>
      <c r="C498" t="inlineStr">
        <is>
          <t>Виконавчий комітет Луцької міської ради</t>
        </is>
      </c>
      <c r="D498" s="13" t="n">
        <v>350000</v>
      </c>
      <c r="E498" t="inlineStr">
        <is>
          <t>Відсутня потреба в закупівлі</t>
        </is>
      </c>
      <c r="F498" t="inlineStr">
        <is>
          <t>Відсутність подальшої потреби в закупівлі товарів</t>
        </is>
      </c>
    </row>
    <row r="499">
      <c r="A499" s="4" t="inlineStr">
        <is>
          <t>UA-2026-04-28-011396-a</t>
        </is>
      </c>
      <c r="B499" t="inlineStr">
        <is>
          <t>2026-05-01</t>
        </is>
      </c>
      <c r="C499" t="inlineStr">
        <is>
          <t>Військова частина А 1008</t>
        </is>
      </c>
      <c r="D499" s="13" t="n">
        <v>459000</v>
      </c>
      <c r="E499" t="inlineStr">
        <is>
          <t>Відсутня потреба в закупівлі</t>
        </is>
      </c>
      <c r="F499" t="inlineStr">
        <is>
          <t>У зв'язку з тим, що ноутбук Lenovo IdeaPad Slim 3 15IAH8 (83ER00MERA) Arctic Grey/ Win11Pro (з сумкою та безпровідною мишкою в комплекті) більш не виробляється виробником.</t>
        </is>
      </c>
    </row>
    <row r="500">
      <c r="A500" s="4" t="inlineStr">
        <is>
          <t>UA-2026-04-25-000062-a</t>
        </is>
      </c>
      <c r="B500" t="inlineStr">
        <is>
          <t>2026-05-01</t>
        </is>
      </c>
      <c r="C500" t="inlineStr">
        <is>
          <t>Військова частина А 1008</t>
        </is>
      </c>
      <c r="D500" s="13" t="n">
        <v>378000</v>
      </c>
      <c r="E500" t="inlineStr">
        <is>
          <t>Відсутня потреба в закупівлі</t>
        </is>
      </c>
      <c r="F500" t="inlineStr">
        <is>
          <t>У зв'язку з тим, що ноутбук Lenovo IdeaPad Slim 3 15IAH8 (83ER00MERA) Arctic Grey/ Win11Pro (з сумкою та безпровідною мишкою в комплекті) більш не виробляється виробником</t>
        </is>
      </c>
    </row>
    <row r="501">
      <c r="A501" s="4" t="inlineStr">
        <is>
          <t>UA-2026-04-21-002861-a</t>
        </is>
      </c>
      <c r="B501" t="inlineStr">
        <is>
          <t>2026-04-21</t>
        </is>
      </c>
      <c r="C501" t="inlineStr">
        <is>
          <t>Військова частина Т0430</t>
        </is>
      </c>
      <c r="D501" s="13" t="n">
        <v>269223.25</v>
      </c>
      <c r="E501" t="inlineStr">
        <is>
          <t>Неможливо усунути порушення законодавства</t>
        </is>
      </c>
      <c r="F501" t="inlineStr">
        <is>
          <t>Виявлено технічну помилку в описі предмета закупівлі, яку не можна виправити не скасувавши закупівлю</t>
        </is>
      </c>
    </row>
    <row r="502">
      <c r="A502" s="4" t="inlineStr">
        <is>
          <t>UA-2026-04-02-002676-a</t>
        </is>
      </c>
      <c r="B502" t="inlineStr">
        <is>
          <t>2026-04-18</t>
        </is>
      </c>
      <c r="C502" t="inlineStr">
        <is>
          <t>Луцький національний технічний університет</t>
        </is>
      </c>
      <c r="D502" s="13" t="n">
        <v>247500</v>
      </c>
      <c r="E502" t="inlineStr">
        <is>
          <t>Неможливо усунути порушення законодавства</t>
        </is>
      </c>
      <c r="F502" t="inlineStr">
        <is>
          <t>На підставі підпункту 2 пункту 50 Особливостей замовник відміняє відкриті торги у разі неможливості усунення порушень, що виникли через виявлені порушення вимог законодавства у сфері публічних закупівель, з описом таких порушень. Замовник виявив у Закупівлі порушення законодавства з питань публічних закупівель. Опис порушень: У ході проведення процедури, на підставі звернення учасника від 03.04.2026 р. а саме: «Шановний Замовник. Ви впевнені, що предмет закупівлі вказаний вірно, а саме : "ДК 021</t>
        </is>
      </c>
    </row>
    <row r="503">
      <c r="A503" s="4" t="inlineStr">
        <is>
          <t>UA-2026-03-27-002552-a</t>
        </is>
      </c>
      <c r="B503" t="inlineStr">
        <is>
          <t>2026-03-31</t>
        </is>
      </c>
      <c r="C503" t="inlineStr">
        <is>
          <t>НОВОВОЛИНСЬКИЙ ЛІЦЕЙ №3 НОВОВОЛИНСЬКОЇ МІСЬКОЇ РАДИ ВОЛИНСЬКОЇ ОБЛАСТІ</t>
        </is>
      </c>
      <c r="D503" s="13" t="n">
        <v>350000</v>
      </c>
      <c r="E503" t="inlineStr">
        <is>
          <t>Неможливо усунути порушення законодавства</t>
        </is>
      </c>
      <c r="F503" t="inlineStr">
        <is>
          <t>Уповноваженою особою виявлено порушення вимог законодавства у сфері публічних закупівель, а саме: помилки в необхідній кількості придбаних товарів, які призвели до невідповідності з планом закупівлі, UA-P-2026-03-27-001620-a. Усунення виявлених порушень неможливе, оскільки процедура вже оголошена та виправити помилку неможливо.</t>
        </is>
      </c>
    </row>
    <row r="504">
      <c r="A504" s="4" t="inlineStr">
        <is>
          <t>UA-2025-12-11-002243-a</t>
        </is>
      </c>
      <c r="B504" t="inlineStr">
        <is>
          <t>2026-07-31</t>
        </is>
      </c>
      <c r="C504" t="inlineStr">
        <is>
          <t>Виконавчий комітет Луцької міської ради</t>
        </is>
      </c>
      <c r="D504" s="13" t="n">
        <v>150000</v>
      </c>
      <c r="E504" t="inlineStr">
        <is>
          <t>Відсутня потреба в закупівлі</t>
        </is>
      </c>
      <c r="F504" t="inlineStr">
        <is>
          <t>Відсутність подальшої потреби в закупівлі товарів</t>
        </is>
      </c>
    </row>
    <row r="505">
      <c r="A505" s="4" t="inlineStr">
        <is>
          <t>UA-2025-12-04-007447-a</t>
        </is>
      </c>
      <c r="B505" t="inlineStr">
        <is>
          <t>2025-12-09</t>
        </is>
      </c>
      <c r="C505" t="inlineStr">
        <is>
          <t>КОПАЧІВСЬКА СІЛЬСЬКА РАДА</t>
        </is>
      </c>
      <c r="D505" s="13" t="n">
        <v>204000</v>
      </c>
      <c r="E505" t="inlineStr">
        <is>
          <t>Відсутня потреба в закупівлі</t>
        </is>
      </c>
      <c r="F505" t="inlineStr">
        <is>
          <t>У зв’язку із відсутністю подальшої потреби в закупівлі товару з обраною характеристикою.</t>
        </is>
      </c>
    </row>
    <row r="506">
      <c r="A506" s="4" t="inlineStr">
        <is>
          <t>UA-2025-11-27-013291-a</t>
        </is>
      </c>
      <c r="B506" t="inlineStr">
        <is>
          <t>2025-12-16</t>
        </is>
      </c>
      <c r="C506" t="inlineStr">
        <is>
          <t>Департамент "Центр надання адміністративних послуг у місті Луцьку" Луцької міської ради</t>
        </is>
      </c>
      <c r="D506" s="13" t="n">
        <v>268000</v>
      </c>
      <c r="E506" t="inlineStr">
        <is>
          <t>Обставини непереборної сили</t>
        </is>
      </c>
      <c r="F506" t="inlineStr">
        <is>
          <t>Відповідно до підпункту 3 пункту 65 Порядку замовник може відмінити запит пропозицій постачальників до укладення договору якщо здійснення закупівлі стало неможливим внаслідок дії обставин непереборної сили. У разі відміни запиту пропозицій постачальників замовник обов’язково зазначає причину такої відміни. У разі відміни запиту пропозицій постачальників замовник оприлюднює таке рішення в електронній системі закупівель протягом одного робочого дня з дня його прийняття. Станом на 16.12.2025, поста</t>
        </is>
      </c>
    </row>
    <row r="507">
      <c r="A507" s="4" t="inlineStr">
        <is>
          <t>UA-2025-11-21-012893-a</t>
        </is>
      </c>
      <c r="B507" t="inlineStr">
        <is>
          <t>2026-01-02</t>
        </is>
      </c>
      <c r="C507" t="inlineStr">
        <is>
          <t>Виконавчий комітет Ковельської міської ради</t>
        </is>
      </c>
      <c r="D507" s="13" t="n">
        <v>81000</v>
      </c>
      <c r="E507" t="inlineStr">
        <is>
          <t>Неможливо усунути порушення законодавства</t>
        </is>
      </c>
      <c r="F507" t="inlineStr">
        <is>
          <t>неможливість усунення виявлених порушень законодавства у сфері публічних закупівель</t>
        </is>
      </c>
    </row>
    <row r="508">
      <c r="A508" s="4" t="inlineStr">
        <is>
          <t>UA-2025-11-19-016090-a</t>
        </is>
      </c>
      <c r="B508" t="inlineStr">
        <is>
          <t>2025-11-25</t>
        </is>
      </c>
      <c r="C508" t="inlineStr">
        <is>
          <t>Військова частина А4825</t>
        </is>
      </c>
      <c r="D508" s="13" t="n">
        <v>122800</v>
      </c>
      <c r="E508" t="inlineStr">
        <is>
          <t>Відсутня потреба в закупівлі</t>
        </is>
      </c>
      <c r="F508" t="inlineStr">
        <is>
          <t>при автоматичному формуванні проекту договору неправильно вказаний предмет закупівлі, а саме: програмне забезпечення, хоча при оприлюдненні тендерної пропозиції у специфікації номенклатура предмета закупівлі вказана «Ноутбуки»</t>
        </is>
      </c>
    </row>
    <row r="509">
      <c r="A509" s="4" t="inlineStr">
        <is>
          <t>UA-2025-11-17-017661-a</t>
        </is>
      </c>
      <c r="B509" t="inlineStr">
        <is>
          <t>2025-11-19</t>
        </is>
      </c>
      <c r="C509" t="inlineStr">
        <is>
          <t>Департамент житлово-комунального господарства Луцької міської ради</t>
        </is>
      </c>
      <c r="D509" s="13" t="n">
        <v>14200</v>
      </c>
      <c r="E509" t="inlineStr">
        <is>
          <t>Відсутня потреба в закупівлі</t>
        </is>
      </c>
      <c r="F509" t="inlineStr">
        <is>
          <t>Відсутність подальшої потреби в закупівлі комп'ютера настільного</t>
        </is>
      </c>
    </row>
    <row r="510">
      <c r="A510" s="4" t="inlineStr">
        <is>
          <t>UA-2025-10-29-002461-a</t>
        </is>
      </c>
      <c r="B510" t="inlineStr">
        <is>
          <t>2025-10-29</t>
        </is>
      </c>
      <c r="C510" t="inlineStr">
        <is>
          <t>Виконавчий комітет Луцької міської ради</t>
        </is>
      </c>
      <c r="D510" s="13" t="n">
        <v>240000</v>
      </c>
      <c r="E510" t="inlineStr">
        <is>
          <t>Обставини непереборної сили</t>
        </is>
      </c>
      <c r="F510" t="inlineStr">
        <is>
          <t>Враховуючи те, що під час проведення запиту ціни пропозицій щодо закупівлі UA-2025-10-29-002461-a виникли обставини, за яких здійснення закупівлі стало неможливим внаслідок дії обставин непереборної сили (вказана некоректна очікувана вартість закупівлі) потрібно прийняти рішення про відміну запиту ціни пропозицій щодо Закупівлі.</t>
        </is>
      </c>
    </row>
    <row r="511">
      <c r="A511" s="4" t="inlineStr">
        <is>
          <t>UA-2025-10-27-014765-a</t>
        </is>
      </c>
      <c r="B511" t="inlineStr">
        <is>
          <t>2025-12-18</t>
        </is>
      </c>
      <c r="C511" t="inlineStr">
        <is>
          <t>Виконавчий комітет Луцької міської ради</t>
        </is>
      </c>
      <c r="D511" s="13" t="n">
        <v>100000</v>
      </c>
      <c r="E511" t="inlineStr">
        <is>
          <t>Відсутня потреба в закупівлі</t>
        </is>
      </c>
      <c r="F511" t="inlineStr">
        <is>
          <t>Під час проведення запиту пропозицій постачальників в електронному каталозі щодо Закупівлі ноутбуків Lenovo ThinkPad L16 Black Gen 1 військова частина, для якої планувалося придбання зазначеного товару, повідомила про відсутність подальшої потреби в його закупівлі.</t>
        </is>
      </c>
    </row>
    <row r="512">
      <c r="A512" s="4" t="inlineStr">
        <is>
          <t>UA-2025-10-23-005027-a</t>
        </is>
      </c>
      <c r="B512" t="inlineStr">
        <is>
          <t>2025-10-31</t>
        </is>
      </c>
      <c r="C512" t="inlineStr">
        <is>
          <t>КЗ ЗЗСО №31</t>
        </is>
      </c>
      <c r="D512" s="13" t="n">
        <v>19850</v>
      </c>
      <c r="E512" t="inlineStr">
        <is>
          <t>Неможливо усунути порушення законодавства</t>
        </is>
      </c>
      <c r="F512" t="inlineStr">
        <is>
          <t>23 жовтня 2025 року при оприлюдненні звіту про договір про закупівлю, укладений без використання електронної системи закупівель), щодо закупівлі за предметом: «Багатофункціональний пристрій Canon i-SENSYS MF752Cdw з Wi-Fi (5455C012)» мною було допущено технічну (механічну) помилку, а саме – завантажено план та оголошено закупівлю, помилково обравши акант не того замовника ВИРІШИЛА: Задля виправлення даної технічної (механічної) помилки вирішено відмінити закупівлю.</t>
        </is>
      </c>
    </row>
    <row r="513">
      <c r="A513" s="4" t="inlineStr">
        <is>
          <t>UA-2025-10-23-005027-a</t>
        </is>
      </c>
      <c r="B513" t="inlineStr">
        <is>
          <t>2025-10-31</t>
        </is>
      </c>
      <c r="C513" t="inlineStr">
        <is>
          <t>КЗ ЗЗСО №31</t>
        </is>
      </c>
      <c r="D513" s="13" t="n">
        <v>19850</v>
      </c>
      <c r="E513" t="inlineStr">
        <is>
          <t>Неможливо усунути порушення законодавства</t>
        </is>
      </c>
      <c r="F513" t="inlineStr">
        <is>
          <t>23 жовтня 2025 року при оприлюдненні звіту про договір про закупівлю, укладений без використання електронної системи закупівель), щодо закупівлі за предметом: «Багатофункціональний пристрій Canon i-SENSYS MF752Cdw з Wi-Fi (5455C012)» мною було допущено технічну (механічну) помилку, а саме – завантажено план та оголошено закупівлю, помилково обравши акант не того замовника ВИРІШИЛА: Задля виправлення даної технічної (механічної) помилки вирішено відмінити закупівлю.</t>
        </is>
      </c>
    </row>
    <row r="514">
      <c r="A514" s="4" t="inlineStr">
        <is>
          <t>UA-2025-10-22-010276-a</t>
        </is>
      </c>
      <c r="B514" t="inlineStr">
        <is>
          <t>2026-07-31</t>
        </is>
      </c>
      <c r="C514" t="inlineStr">
        <is>
          <t>Виконавчий комітет Луцької міської ради</t>
        </is>
      </c>
      <c r="D514" s="13" t="n">
        <v>15000</v>
      </c>
      <c r="E514" t="inlineStr">
        <is>
          <t>Відсутня потреба в закупівлі</t>
        </is>
      </c>
      <c r="F514" t="inlineStr">
        <is>
          <t>Відсутність подальшої потреби в закупівлі товарів</t>
        </is>
      </c>
    </row>
    <row r="515">
      <c r="A515" s="4" t="inlineStr">
        <is>
          <t>UA-2025-10-17-006787-a</t>
        </is>
      </c>
      <c r="B515" t="inlineStr">
        <is>
          <t>2025-10-22</t>
        </is>
      </c>
      <c r="C515" t="inlineStr">
        <is>
          <t>Виконавчий комітет Луцької міської ради</t>
        </is>
      </c>
      <c r="D515" s="13" t="n">
        <v>75000</v>
      </c>
      <c r="E515" t="inlineStr">
        <is>
          <t>Обставини непереборної сили</t>
        </is>
      </c>
      <c r="F515" t="inlineStr">
        <is>
          <t>Під час проведення запиту ціни пропозицій щодо закупівлі UA2025-10-17-006787-a виникли обставини, за яких здійснення закупівлі стало неможливим внаслідок дії обставин непереборної сили ( прикріплений некоректний проєкт договору )</t>
        </is>
      </c>
    </row>
    <row r="516">
      <c r="A516" s="4" t="inlineStr">
        <is>
          <t>UA-2025-10-16-004447-a</t>
        </is>
      </c>
      <c r="B516" t="inlineStr">
        <is>
          <t>2025-10-24</t>
        </is>
      </c>
      <c r="C516" t="inlineStr">
        <is>
          <t>Управління гуманітарної сфери виконавчого комітету Люблинецької селищної ради</t>
        </is>
      </c>
      <c r="D516" s="13" t="n">
        <v>75897</v>
      </c>
      <c r="E516" t="inlineStr">
        <is>
          <t>Обставини непереборної сили</t>
        </is>
      </c>
      <c r="F516" t="inlineStr">
        <is>
          <t>У Замовника є потреба у відміні закупівлі у зв’язку з неможливістю здійснення закупівлі унаслідок непереборної сили за предметом закупівлі «Ноутбук для здобувача освіти середнього рівня: екран - 15.6", Intel Core i3 12(13) Gen /AMD Ryzen 3, ОЗУ - 16 Гб, SSD - 256 Гб, миша, ОС - Windows 11» за кодом ДК - 30210000-4 Машини для обробки даних (апаратна частина) номер закупівлі UA-2025-10-16-004447-a, оскільки помилково було не вибрано що це є донорські кошти.</t>
        </is>
      </c>
    </row>
    <row r="517">
      <c r="A517" s="4" t="inlineStr">
        <is>
          <t>UA-2025-10-03-003224-a</t>
        </is>
      </c>
      <c r="B517" t="inlineStr">
        <is>
          <t>2025-10-27</t>
        </is>
      </c>
      <c r="C517" t="inlineStr">
        <is>
          <t>Нововолинський електромеханічний фаховий коледж</t>
        </is>
      </c>
      <c r="D517" s="13" t="n">
        <v>364000</v>
      </c>
      <c r="E517" t="inlineStr">
        <is>
          <t>Неможливо усунути порушення законодавства</t>
        </is>
      </c>
      <c r="F517" t="inlineStr">
        <is>
          <t>Рішенням уповноваженої особи від 03 жовтня 2025 року згідно річного плану закупівель оголошено проведення відкритих торгів (з особливостями) за предметом закупівлі: код ДК 021:2015: 30210000-4 Машини для обробки даних (апаратна частина) (Персональний комп’ютер), ідентифікатор закупівлі: UA-2025-10-03-003224-a (далі — Закупівля). Відповідно до підпункту 2 пункту 50 Особливостей замовник відміняє відкриті торги у разі неможливості усунення порушень, що виникли через виявлені порушення вимог законо</t>
        </is>
      </c>
    </row>
    <row r="518">
      <c r="A518" s="4" t="inlineStr">
        <is>
          <t>UA-2025-09-30-007363-a</t>
        </is>
      </c>
      <c r="B518" t="inlineStr">
        <is>
          <t>2025-10-01</t>
        </is>
      </c>
      <c r="C518" t="inlineStr">
        <is>
          <t>НОВОВОЛИНСЬКИЙ ЛІЦЕЙ №6 НОВОВОЛИНСЬКОЇ МІСЬКОЇ РАДИ ВОЛИНСЬКОЇ ОБЛАСТІ</t>
        </is>
      </c>
      <c r="D518" s="13" t="n">
        <v>385534</v>
      </c>
      <c r="E518" t="inlineStr">
        <is>
          <t>Відсутня потреба в закупівлі</t>
        </is>
      </c>
      <c r="F518" t="inlineStr">
        <is>
          <t>встановлено, що пройшли збої на платформі Prozorro Market ,і не підтянулись всі технічні показники -оголошеного товару</t>
        </is>
      </c>
    </row>
    <row r="519">
      <c r="A519" s="4" t="inlineStr">
        <is>
          <t>UA-2025-09-24-004344-a</t>
        </is>
      </c>
      <c r="B519" t="inlineStr">
        <is>
          <t>2025-09-25</t>
        </is>
      </c>
      <c r="C519" t="inlineStr">
        <is>
          <t>КАМІНЬ-КАШИРСЬКА МІСЬКА РАДА</t>
        </is>
      </c>
      <c r="D519" s="13" t="n">
        <v>42500</v>
      </c>
      <c r="E519" t="inlineStr">
        <is>
          <t>Відсутня потреба в закупівлі</t>
        </is>
      </c>
      <c r="F519" t="inlineStr">
        <is>
          <t>Невірний вибір УО профілю прозоро маркету.</t>
        </is>
      </c>
    </row>
    <row r="520">
      <c r="A520" s="4" t="inlineStr">
        <is>
          <t>UA-2025-09-15-006830-a</t>
        </is>
      </c>
      <c r="B520" t="inlineStr">
        <is>
          <t>2025-09-16</t>
        </is>
      </c>
      <c r="C520" t="inlineStr">
        <is>
          <t>Територіальне управління Державної судової адміністрації України в Волинській області</t>
        </is>
      </c>
      <c r="D520" s="13" t="n">
        <v>315000</v>
      </c>
      <c r="E520" t="inlineStr">
        <is>
          <t>Відсутня потреба в закупівлі</t>
        </is>
      </c>
      <c r="F520" t="inlineStr">
        <is>
          <t>Відповідно до частини тринадцятої статті 14 Закону України «Про публічні закупівлі» та пункту 65 Порядку, Замовник має право відмінити запит пропозицій постачальників до укладення договору. У разі відміни запиту пропозицій постачальників замовник оприлюднює таке рішення в електронній системі закупівель протягом одного робочого дня з дня його прийняття З огляду на зазначене, у зв’язку з необхідністю внесення змін до істотних умов договору відповідно до Особливостей, що унеможливлює укладення дого</t>
        </is>
      </c>
    </row>
    <row r="521">
      <c r="A521" s="4" t="inlineStr">
        <is>
          <t>UA-2025-09-15-002159-a</t>
        </is>
      </c>
      <c r="B521" t="inlineStr">
        <is>
          <t>2025-09-15</t>
        </is>
      </c>
      <c r="C521" t="inlineStr">
        <is>
          <t>ВИКОНАВЧИЙ КОМІТЕТ НОВОВОЛИНСЬКОЇ МІСЬКОЇ РАДИ</t>
        </is>
      </c>
      <c r="D521" s="13" t="n">
        <v>100000</v>
      </c>
      <c r="E521" t="inlineStr">
        <is>
          <t>Обставини непереборної сили</t>
        </is>
      </c>
      <c r="F521" t="inlineStr">
        <is>
          <t>у зв’язку з технічною помилкою під час публікації оголошення про проведення запиту пропозицій постачальників, а саме не прив’язано річний план закупівлі, згідно якого вона здійснюється</t>
        </is>
      </c>
    </row>
    <row r="522">
      <c r="A522" s="4" t="inlineStr">
        <is>
          <t>UA-2025-09-10-011386-a</t>
        </is>
      </c>
      <c r="B522" t="inlineStr">
        <is>
          <t>2026-07-31</t>
        </is>
      </c>
      <c r="C522" t="inlineStr">
        <is>
          <t>Виконавчий комітет Луцької міської ради</t>
        </is>
      </c>
      <c r="D522" s="13" t="n">
        <v>60000</v>
      </c>
      <c r="E522" t="inlineStr">
        <is>
          <t>Відсутня потреба в закупівлі</t>
        </is>
      </c>
      <c r="F522" t="inlineStr">
        <is>
          <t>Відсутність подальшої потреби в закупівлі товарів</t>
        </is>
      </c>
    </row>
    <row r="523">
      <c r="A523" s="4" t="inlineStr">
        <is>
          <t>UA-2025-09-03-000817-a</t>
        </is>
      </c>
      <c r="B523" t="inlineStr">
        <is>
          <t>2025-09-16</t>
        </is>
      </c>
      <c r="C523" t="inlineStr">
        <is>
          <t>Територіальне управління Державної судової адміністрації України в Волинській області</t>
        </is>
      </c>
      <c r="D523" s="13" t="n">
        <v>1040000</v>
      </c>
      <c r="E523" t="inlineStr">
        <is>
          <t>Відсутня потреба в закупівлі</t>
        </is>
      </c>
      <c r="F523" t="inlineStr">
        <is>
          <t>Відповідно до частини тринадцятої статті 14 Закону України «Про публічні закупівлі» та пункту 65 Порядку, Замовник має право відмінити запит пропозицій постачальників до укладення договору. У разі відміни запиту пропозицій постачальників замовник оприлюднює таке рішення в електронній системі закупівель протягом одного робочого дня з дня його прийняття З огляду на зазначене, у зв’язку з необхідністю внесення змін до істотних умов договору відповідно до Особливостей, що унеможливлює укладення дого</t>
        </is>
      </c>
    </row>
  </sheetData>
  <hyperlinks>
    <hyperlink xmlns:r="http://schemas.openxmlformats.org/officeDocument/2006/relationships" ref="A239" r:id="rId1"/>
    <hyperlink xmlns:r="http://schemas.openxmlformats.org/officeDocument/2006/relationships" ref="A240" r:id="rId2"/>
    <hyperlink xmlns:r="http://schemas.openxmlformats.org/officeDocument/2006/relationships" ref="A241" r:id="rId3"/>
    <hyperlink xmlns:r="http://schemas.openxmlformats.org/officeDocument/2006/relationships" ref="A242" r:id="rId4"/>
    <hyperlink xmlns:r="http://schemas.openxmlformats.org/officeDocument/2006/relationships" ref="A243" r:id="rId5"/>
    <hyperlink xmlns:r="http://schemas.openxmlformats.org/officeDocument/2006/relationships" ref="A244" r:id="rId6"/>
    <hyperlink xmlns:r="http://schemas.openxmlformats.org/officeDocument/2006/relationships" ref="A245" r:id="rId7"/>
    <hyperlink xmlns:r="http://schemas.openxmlformats.org/officeDocument/2006/relationships" ref="A246" r:id="rId8"/>
    <hyperlink xmlns:r="http://schemas.openxmlformats.org/officeDocument/2006/relationships" ref="A247" r:id="rId9"/>
    <hyperlink xmlns:r="http://schemas.openxmlformats.org/officeDocument/2006/relationships" ref="A248" r:id="rId10"/>
    <hyperlink xmlns:r="http://schemas.openxmlformats.org/officeDocument/2006/relationships" ref="A249" r:id="rId11"/>
    <hyperlink xmlns:r="http://schemas.openxmlformats.org/officeDocument/2006/relationships" ref="A250" r:id="rId12"/>
    <hyperlink xmlns:r="http://schemas.openxmlformats.org/officeDocument/2006/relationships" ref="A251" r:id="rId13"/>
    <hyperlink xmlns:r="http://schemas.openxmlformats.org/officeDocument/2006/relationships" ref="A252" r:id="rId14"/>
    <hyperlink xmlns:r="http://schemas.openxmlformats.org/officeDocument/2006/relationships" ref="A253" r:id="rId15"/>
    <hyperlink xmlns:r="http://schemas.openxmlformats.org/officeDocument/2006/relationships" ref="A254" r:id="rId16"/>
    <hyperlink xmlns:r="http://schemas.openxmlformats.org/officeDocument/2006/relationships" ref="A255" r:id="rId17"/>
    <hyperlink xmlns:r="http://schemas.openxmlformats.org/officeDocument/2006/relationships" ref="A256" r:id="rId18"/>
    <hyperlink xmlns:r="http://schemas.openxmlformats.org/officeDocument/2006/relationships" ref="A257" r:id="rId19"/>
    <hyperlink xmlns:r="http://schemas.openxmlformats.org/officeDocument/2006/relationships" ref="A258" r:id="rId20"/>
    <hyperlink xmlns:r="http://schemas.openxmlformats.org/officeDocument/2006/relationships" ref="A259" r:id="rId21"/>
    <hyperlink xmlns:r="http://schemas.openxmlformats.org/officeDocument/2006/relationships" ref="A260" r:id="rId22"/>
    <hyperlink xmlns:r="http://schemas.openxmlformats.org/officeDocument/2006/relationships" ref="A261" r:id="rId23"/>
    <hyperlink xmlns:r="http://schemas.openxmlformats.org/officeDocument/2006/relationships" ref="A262" r:id="rId24"/>
    <hyperlink xmlns:r="http://schemas.openxmlformats.org/officeDocument/2006/relationships" ref="A263" r:id="rId25"/>
    <hyperlink xmlns:r="http://schemas.openxmlformats.org/officeDocument/2006/relationships" ref="A264" r:id="rId26"/>
    <hyperlink xmlns:r="http://schemas.openxmlformats.org/officeDocument/2006/relationships" ref="A265" r:id="rId27"/>
    <hyperlink xmlns:r="http://schemas.openxmlformats.org/officeDocument/2006/relationships" ref="A266" r:id="rId28"/>
    <hyperlink xmlns:r="http://schemas.openxmlformats.org/officeDocument/2006/relationships" ref="A267" r:id="rId29"/>
    <hyperlink xmlns:r="http://schemas.openxmlformats.org/officeDocument/2006/relationships" ref="A268" r:id="rId30"/>
    <hyperlink xmlns:r="http://schemas.openxmlformats.org/officeDocument/2006/relationships" ref="A269" r:id="rId31"/>
    <hyperlink xmlns:r="http://schemas.openxmlformats.org/officeDocument/2006/relationships" ref="A270" r:id="rId32"/>
    <hyperlink xmlns:r="http://schemas.openxmlformats.org/officeDocument/2006/relationships" ref="A271" r:id="rId33"/>
    <hyperlink xmlns:r="http://schemas.openxmlformats.org/officeDocument/2006/relationships" ref="A272" r:id="rId34"/>
    <hyperlink xmlns:r="http://schemas.openxmlformats.org/officeDocument/2006/relationships" ref="A273" r:id="rId35"/>
    <hyperlink xmlns:r="http://schemas.openxmlformats.org/officeDocument/2006/relationships" ref="A274" r:id="rId36"/>
    <hyperlink xmlns:r="http://schemas.openxmlformats.org/officeDocument/2006/relationships" ref="A275" r:id="rId37"/>
    <hyperlink xmlns:r="http://schemas.openxmlformats.org/officeDocument/2006/relationships" ref="A276" r:id="rId38"/>
    <hyperlink xmlns:r="http://schemas.openxmlformats.org/officeDocument/2006/relationships" ref="A277" r:id="rId39"/>
    <hyperlink xmlns:r="http://schemas.openxmlformats.org/officeDocument/2006/relationships" ref="A278" r:id="rId40"/>
    <hyperlink xmlns:r="http://schemas.openxmlformats.org/officeDocument/2006/relationships" ref="A279" r:id="rId41"/>
    <hyperlink xmlns:r="http://schemas.openxmlformats.org/officeDocument/2006/relationships" ref="A280" r:id="rId42"/>
    <hyperlink xmlns:r="http://schemas.openxmlformats.org/officeDocument/2006/relationships" ref="A281" r:id="rId43"/>
    <hyperlink xmlns:r="http://schemas.openxmlformats.org/officeDocument/2006/relationships" ref="A282" r:id="rId44"/>
    <hyperlink xmlns:r="http://schemas.openxmlformats.org/officeDocument/2006/relationships" ref="A283" r:id="rId45"/>
    <hyperlink xmlns:r="http://schemas.openxmlformats.org/officeDocument/2006/relationships" ref="A284" r:id="rId46"/>
    <hyperlink xmlns:r="http://schemas.openxmlformats.org/officeDocument/2006/relationships" ref="A285" r:id="rId47"/>
    <hyperlink xmlns:r="http://schemas.openxmlformats.org/officeDocument/2006/relationships" ref="A286" r:id="rId48"/>
    <hyperlink xmlns:r="http://schemas.openxmlformats.org/officeDocument/2006/relationships" ref="A287" r:id="rId49"/>
    <hyperlink xmlns:r="http://schemas.openxmlformats.org/officeDocument/2006/relationships" ref="A288" r:id="rId50"/>
    <hyperlink xmlns:r="http://schemas.openxmlformats.org/officeDocument/2006/relationships" ref="A289" r:id="rId51"/>
    <hyperlink xmlns:r="http://schemas.openxmlformats.org/officeDocument/2006/relationships" ref="A290" r:id="rId52"/>
    <hyperlink xmlns:r="http://schemas.openxmlformats.org/officeDocument/2006/relationships" ref="A291" r:id="rId53"/>
    <hyperlink xmlns:r="http://schemas.openxmlformats.org/officeDocument/2006/relationships" ref="A292" r:id="rId54"/>
    <hyperlink xmlns:r="http://schemas.openxmlformats.org/officeDocument/2006/relationships" ref="A293" r:id="rId55"/>
    <hyperlink xmlns:r="http://schemas.openxmlformats.org/officeDocument/2006/relationships" ref="A294" r:id="rId56"/>
    <hyperlink xmlns:r="http://schemas.openxmlformats.org/officeDocument/2006/relationships" ref="A295" r:id="rId57"/>
    <hyperlink xmlns:r="http://schemas.openxmlformats.org/officeDocument/2006/relationships" ref="A296" r:id="rId58"/>
    <hyperlink xmlns:r="http://schemas.openxmlformats.org/officeDocument/2006/relationships" ref="A297" r:id="rId59"/>
    <hyperlink xmlns:r="http://schemas.openxmlformats.org/officeDocument/2006/relationships" ref="A298" r:id="rId60"/>
    <hyperlink xmlns:r="http://schemas.openxmlformats.org/officeDocument/2006/relationships" ref="A299" r:id="rId61"/>
    <hyperlink xmlns:r="http://schemas.openxmlformats.org/officeDocument/2006/relationships" ref="A300" r:id="rId62"/>
    <hyperlink xmlns:r="http://schemas.openxmlformats.org/officeDocument/2006/relationships" ref="A301" r:id="rId63"/>
    <hyperlink xmlns:r="http://schemas.openxmlformats.org/officeDocument/2006/relationships" ref="A302" r:id="rId64"/>
    <hyperlink xmlns:r="http://schemas.openxmlformats.org/officeDocument/2006/relationships" ref="A303" r:id="rId65"/>
    <hyperlink xmlns:r="http://schemas.openxmlformats.org/officeDocument/2006/relationships" ref="A304" r:id="rId66"/>
    <hyperlink xmlns:r="http://schemas.openxmlformats.org/officeDocument/2006/relationships" ref="A305" r:id="rId67"/>
    <hyperlink xmlns:r="http://schemas.openxmlformats.org/officeDocument/2006/relationships" ref="A306" r:id="rId68"/>
    <hyperlink xmlns:r="http://schemas.openxmlformats.org/officeDocument/2006/relationships" ref="A307" r:id="rId69"/>
    <hyperlink xmlns:r="http://schemas.openxmlformats.org/officeDocument/2006/relationships" ref="A308" r:id="rId70"/>
    <hyperlink xmlns:r="http://schemas.openxmlformats.org/officeDocument/2006/relationships" ref="A309" r:id="rId71"/>
    <hyperlink xmlns:r="http://schemas.openxmlformats.org/officeDocument/2006/relationships" ref="A310" r:id="rId72"/>
    <hyperlink xmlns:r="http://schemas.openxmlformats.org/officeDocument/2006/relationships" ref="A311" r:id="rId73"/>
    <hyperlink xmlns:r="http://schemas.openxmlformats.org/officeDocument/2006/relationships" ref="A312" r:id="rId74"/>
    <hyperlink xmlns:r="http://schemas.openxmlformats.org/officeDocument/2006/relationships" ref="A313" r:id="rId75"/>
    <hyperlink xmlns:r="http://schemas.openxmlformats.org/officeDocument/2006/relationships" ref="A314" r:id="rId76"/>
    <hyperlink xmlns:r="http://schemas.openxmlformats.org/officeDocument/2006/relationships" ref="A315" r:id="rId77"/>
    <hyperlink xmlns:r="http://schemas.openxmlformats.org/officeDocument/2006/relationships" ref="A316" r:id="rId78"/>
    <hyperlink xmlns:r="http://schemas.openxmlformats.org/officeDocument/2006/relationships" ref="A317" r:id="rId79"/>
    <hyperlink xmlns:r="http://schemas.openxmlformats.org/officeDocument/2006/relationships" ref="A318" r:id="rId80"/>
    <hyperlink xmlns:r="http://schemas.openxmlformats.org/officeDocument/2006/relationships" ref="A319" r:id="rId81"/>
    <hyperlink xmlns:r="http://schemas.openxmlformats.org/officeDocument/2006/relationships" ref="A320" r:id="rId82"/>
    <hyperlink xmlns:r="http://schemas.openxmlformats.org/officeDocument/2006/relationships" ref="A321" r:id="rId83"/>
    <hyperlink xmlns:r="http://schemas.openxmlformats.org/officeDocument/2006/relationships" ref="A322" r:id="rId84"/>
    <hyperlink xmlns:r="http://schemas.openxmlformats.org/officeDocument/2006/relationships" ref="A323" r:id="rId85"/>
    <hyperlink xmlns:r="http://schemas.openxmlformats.org/officeDocument/2006/relationships" ref="A324" r:id="rId86"/>
    <hyperlink xmlns:r="http://schemas.openxmlformats.org/officeDocument/2006/relationships" ref="A325" r:id="rId87"/>
    <hyperlink xmlns:r="http://schemas.openxmlformats.org/officeDocument/2006/relationships" ref="A326" r:id="rId88"/>
    <hyperlink xmlns:r="http://schemas.openxmlformats.org/officeDocument/2006/relationships" ref="A327" r:id="rId89"/>
    <hyperlink xmlns:r="http://schemas.openxmlformats.org/officeDocument/2006/relationships" ref="A328" r:id="rId90"/>
    <hyperlink xmlns:r="http://schemas.openxmlformats.org/officeDocument/2006/relationships" ref="A329" r:id="rId91"/>
    <hyperlink xmlns:r="http://schemas.openxmlformats.org/officeDocument/2006/relationships" ref="A330" r:id="rId92"/>
    <hyperlink xmlns:r="http://schemas.openxmlformats.org/officeDocument/2006/relationships" ref="A331" r:id="rId93"/>
    <hyperlink xmlns:r="http://schemas.openxmlformats.org/officeDocument/2006/relationships" ref="A332" r:id="rId94"/>
    <hyperlink xmlns:r="http://schemas.openxmlformats.org/officeDocument/2006/relationships" ref="A333" r:id="rId95"/>
    <hyperlink xmlns:r="http://schemas.openxmlformats.org/officeDocument/2006/relationships" ref="A334" r:id="rId96"/>
    <hyperlink xmlns:r="http://schemas.openxmlformats.org/officeDocument/2006/relationships" ref="A335" r:id="rId97"/>
    <hyperlink xmlns:r="http://schemas.openxmlformats.org/officeDocument/2006/relationships" ref="A336" r:id="rId98"/>
    <hyperlink xmlns:r="http://schemas.openxmlformats.org/officeDocument/2006/relationships" ref="A337" r:id="rId99"/>
    <hyperlink xmlns:r="http://schemas.openxmlformats.org/officeDocument/2006/relationships" ref="A338" r:id="rId100"/>
    <hyperlink xmlns:r="http://schemas.openxmlformats.org/officeDocument/2006/relationships" ref="A339" r:id="rId101"/>
    <hyperlink xmlns:r="http://schemas.openxmlformats.org/officeDocument/2006/relationships" ref="A340" r:id="rId102"/>
    <hyperlink xmlns:r="http://schemas.openxmlformats.org/officeDocument/2006/relationships" ref="A341" r:id="rId103"/>
    <hyperlink xmlns:r="http://schemas.openxmlformats.org/officeDocument/2006/relationships" ref="A342" r:id="rId104"/>
    <hyperlink xmlns:r="http://schemas.openxmlformats.org/officeDocument/2006/relationships" ref="A343" r:id="rId105"/>
    <hyperlink xmlns:r="http://schemas.openxmlformats.org/officeDocument/2006/relationships" ref="A344" r:id="rId106"/>
    <hyperlink xmlns:r="http://schemas.openxmlformats.org/officeDocument/2006/relationships" ref="A345" r:id="rId107"/>
    <hyperlink xmlns:r="http://schemas.openxmlformats.org/officeDocument/2006/relationships" ref="A346" r:id="rId108"/>
    <hyperlink xmlns:r="http://schemas.openxmlformats.org/officeDocument/2006/relationships" ref="A347" r:id="rId109"/>
    <hyperlink xmlns:r="http://schemas.openxmlformats.org/officeDocument/2006/relationships" ref="A348" r:id="rId110"/>
    <hyperlink xmlns:r="http://schemas.openxmlformats.org/officeDocument/2006/relationships" ref="A349" r:id="rId111"/>
    <hyperlink xmlns:r="http://schemas.openxmlformats.org/officeDocument/2006/relationships" ref="A350" r:id="rId112"/>
    <hyperlink xmlns:r="http://schemas.openxmlformats.org/officeDocument/2006/relationships" ref="A351" r:id="rId113"/>
    <hyperlink xmlns:r="http://schemas.openxmlformats.org/officeDocument/2006/relationships" ref="A352" r:id="rId114"/>
    <hyperlink xmlns:r="http://schemas.openxmlformats.org/officeDocument/2006/relationships" ref="A353" r:id="rId115"/>
    <hyperlink xmlns:r="http://schemas.openxmlformats.org/officeDocument/2006/relationships" ref="A354" r:id="rId116"/>
    <hyperlink xmlns:r="http://schemas.openxmlformats.org/officeDocument/2006/relationships" ref="A355" r:id="rId117"/>
    <hyperlink xmlns:r="http://schemas.openxmlformats.org/officeDocument/2006/relationships" ref="A356" r:id="rId118"/>
    <hyperlink xmlns:r="http://schemas.openxmlformats.org/officeDocument/2006/relationships" ref="A357" r:id="rId119"/>
    <hyperlink xmlns:r="http://schemas.openxmlformats.org/officeDocument/2006/relationships" ref="A358" r:id="rId120"/>
    <hyperlink xmlns:r="http://schemas.openxmlformats.org/officeDocument/2006/relationships" ref="A359" r:id="rId121"/>
    <hyperlink xmlns:r="http://schemas.openxmlformats.org/officeDocument/2006/relationships" ref="A360" r:id="rId122"/>
    <hyperlink xmlns:r="http://schemas.openxmlformats.org/officeDocument/2006/relationships" ref="A361" r:id="rId123"/>
    <hyperlink xmlns:r="http://schemas.openxmlformats.org/officeDocument/2006/relationships" ref="A362" r:id="rId124"/>
    <hyperlink xmlns:r="http://schemas.openxmlformats.org/officeDocument/2006/relationships" ref="A363" r:id="rId125"/>
    <hyperlink xmlns:r="http://schemas.openxmlformats.org/officeDocument/2006/relationships" ref="A364" r:id="rId126"/>
    <hyperlink xmlns:r="http://schemas.openxmlformats.org/officeDocument/2006/relationships" ref="A365" r:id="rId127"/>
    <hyperlink xmlns:r="http://schemas.openxmlformats.org/officeDocument/2006/relationships" ref="A366" r:id="rId128"/>
    <hyperlink xmlns:r="http://schemas.openxmlformats.org/officeDocument/2006/relationships" ref="A367" r:id="rId129"/>
    <hyperlink xmlns:r="http://schemas.openxmlformats.org/officeDocument/2006/relationships" ref="A368" r:id="rId130"/>
    <hyperlink xmlns:r="http://schemas.openxmlformats.org/officeDocument/2006/relationships" ref="A369" r:id="rId131"/>
    <hyperlink xmlns:r="http://schemas.openxmlformats.org/officeDocument/2006/relationships" ref="A370" r:id="rId132"/>
    <hyperlink xmlns:r="http://schemas.openxmlformats.org/officeDocument/2006/relationships" ref="A371" r:id="rId133"/>
    <hyperlink xmlns:r="http://schemas.openxmlformats.org/officeDocument/2006/relationships" ref="A372" r:id="rId134"/>
    <hyperlink xmlns:r="http://schemas.openxmlformats.org/officeDocument/2006/relationships" ref="A373" r:id="rId135"/>
    <hyperlink xmlns:r="http://schemas.openxmlformats.org/officeDocument/2006/relationships" ref="A374" r:id="rId136"/>
    <hyperlink xmlns:r="http://schemas.openxmlformats.org/officeDocument/2006/relationships" ref="A375" r:id="rId137"/>
    <hyperlink xmlns:r="http://schemas.openxmlformats.org/officeDocument/2006/relationships" ref="A376" r:id="rId138"/>
    <hyperlink xmlns:r="http://schemas.openxmlformats.org/officeDocument/2006/relationships" ref="A377" r:id="rId139"/>
    <hyperlink xmlns:r="http://schemas.openxmlformats.org/officeDocument/2006/relationships" ref="A378" r:id="rId140"/>
    <hyperlink xmlns:r="http://schemas.openxmlformats.org/officeDocument/2006/relationships" ref="A379" r:id="rId141"/>
    <hyperlink xmlns:r="http://schemas.openxmlformats.org/officeDocument/2006/relationships" ref="A380" r:id="rId142"/>
    <hyperlink xmlns:r="http://schemas.openxmlformats.org/officeDocument/2006/relationships" ref="A381" r:id="rId143"/>
    <hyperlink xmlns:r="http://schemas.openxmlformats.org/officeDocument/2006/relationships" ref="A382" r:id="rId144"/>
    <hyperlink xmlns:r="http://schemas.openxmlformats.org/officeDocument/2006/relationships" ref="A383" r:id="rId145"/>
    <hyperlink xmlns:r="http://schemas.openxmlformats.org/officeDocument/2006/relationships" ref="A384" r:id="rId146"/>
    <hyperlink xmlns:r="http://schemas.openxmlformats.org/officeDocument/2006/relationships" ref="A385" r:id="rId147"/>
    <hyperlink xmlns:r="http://schemas.openxmlformats.org/officeDocument/2006/relationships" ref="A386" r:id="rId148"/>
    <hyperlink xmlns:r="http://schemas.openxmlformats.org/officeDocument/2006/relationships" ref="A387" r:id="rId149"/>
    <hyperlink xmlns:r="http://schemas.openxmlformats.org/officeDocument/2006/relationships" ref="A388" r:id="rId150"/>
    <hyperlink xmlns:r="http://schemas.openxmlformats.org/officeDocument/2006/relationships" ref="A389" r:id="rId151"/>
    <hyperlink xmlns:r="http://schemas.openxmlformats.org/officeDocument/2006/relationships" ref="A390" r:id="rId152"/>
    <hyperlink xmlns:r="http://schemas.openxmlformats.org/officeDocument/2006/relationships" ref="A391" r:id="rId153"/>
    <hyperlink xmlns:r="http://schemas.openxmlformats.org/officeDocument/2006/relationships" ref="A392" r:id="rId154"/>
    <hyperlink xmlns:r="http://schemas.openxmlformats.org/officeDocument/2006/relationships" ref="A393" r:id="rId155"/>
    <hyperlink xmlns:r="http://schemas.openxmlformats.org/officeDocument/2006/relationships" ref="A394" r:id="rId156"/>
    <hyperlink xmlns:r="http://schemas.openxmlformats.org/officeDocument/2006/relationships" ref="A395" r:id="rId157"/>
    <hyperlink xmlns:r="http://schemas.openxmlformats.org/officeDocument/2006/relationships" ref="A396" r:id="rId158"/>
    <hyperlink xmlns:r="http://schemas.openxmlformats.org/officeDocument/2006/relationships" ref="A397" r:id="rId159"/>
    <hyperlink xmlns:r="http://schemas.openxmlformats.org/officeDocument/2006/relationships" ref="A398" r:id="rId160"/>
    <hyperlink xmlns:r="http://schemas.openxmlformats.org/officeDocument/2006/relationships" ref="A399" r:id="rId161"/>
    <hyperlink xmlns:r="http://schemas.openxmlformats.org/officeDocument/2006/relationships" ref="A400" r:id="rId162"/>
    <hyperlink xmlns:r="http://schemas.openxmlformats.org/officeDocument/2006/relationships" ref="A401" r:id="rId163"/>
    <hyperlink xmlns:r="http://schemas.openxmlformats.org/officeDocument/2006/relationships" ref="A402" r:id="rId164"/>
    <hyperlink xmlns:r="http://schemas.openxmlformats.org/officeDocument/2006/relationships" ref="A403" r:id="rId165"/>
    <hyperlink xmlns:r="http://schemas.openxmlformats.org/officeDocument/2006/relationships" ref="A404" r:id="rId166"/>
    <hyperlink xmlns:r="http://schemas.openxmlformats.org/officeDocument/2006/relationships" ref="A405" r:id="rId167"/>
    <hyperlink xmlns:r="http://schemas.openxmlformats.org/officeDocument/2006/relationships" ref="A406" r:id="rId168"/>
    <hyperlink xmlns:r="http://schemas.openxmlformats.org/officeDocument/2006/relationships" ref="A407" r:id="rId169"/>
    <hyperlink xmlns:r="http://schemas.openxmlformats.org/officeDocument/2006/relationships" ref="A408" r:id="rId170"/>
    <hyperlink xmlns:r="http://schemas.openxmlformats.org/officeDocument/2006/relationships" ref="A409" r:id="rId171"/>
    <hyperlink xmlns:r="http://schemas.openxmlformats.org/officeDocument/2006/relationships" ref="A410" r:id="rId172"/>
    <hyperlink xmlns:r="http://schemas.openxmlformats.org/officeDocument/2006/relationships" ref="A411" r:id="rId173"/>
    <hyperlink xmlns:r="http://schemas.openxmlformats.org/officeDocument/2006/relationships" ref="A412" r:id="rId174"/>
    <hyperlink xmlns:r="http://schemas.openxmlformats.org/officeDocument/2006/relationships" ref="A413" r:id="rId175"/>
    <hyperlink xmlns:r="http://schemas.openxmlformats.org/officeDocument/2006/relationships" ref="A414" r:id="rId176"/>
    <hyperlink xmlns:r="http://schemas.openxmlformats.org/officeDocument/2006/relationships" ref="A415" r:id="rId177"/>
    <hyperlink xmlns:r="http://schemas.openxmlformats.org/officeDocument/2006/relationships" ref="A416" r:id="rId178"/>
    <hyperlink xmlns:r="http://schemas.openxmlformats.org/officeDocument/2006/relationships" ref="A417" r:id="rId179"/>
    <hyperlink xmlns:r="http://schemas.openxmlformats.org/officeDocument/2006/relationships" ref="A418" r:id="rId180"/>
    <hyperlink xmlns:r="http://schemas.openxmlformats.org/officeDocument/2006/relationships" ref="A419" r:id="rId181"/>
    <hyperlink xmlns:r="http://schemas.openxmlformats.org/officeDocument/2006/relationships" ref="A420" r:id="rId182"/>
    <hyperlink xmlns:r="http://schemas.openxmlformats.org/officeDocument/2006/relationships" ref="A421" r:id="rId183"/>
    <hyperlink xmlns:r="http://schemas.openxmlformats.org/officeDocument/2006/relationships" ref="A422" r:id="rId184"/>
    <hyperlink xmlns:r="http://schemas.openxmlformats.org/officeDocument/2006/relationships" ref="A423" r:id="rId185"/>
    <hyperlink xmlns:r="http://schemas.openxmlformats.org/officeDocument/2006/relationships" ref="A424" r:id="rId186"/>
    <hyperlink xmlns:r="http://schemas.openxmlformats.org/officeDocument/2006/relationships" ref="A425" r:id="rId187"/>
    <hyperlink xmlns:r="http://schemas.openxmlformats.org/officeDocument/2006/relationships" ref="A426" r:id="rId188"/>
    <hyperlink xmlns:r="http://schemas.openxmlformats.org/officeDocument/2006/relationships" ref="A427" r:id="rId189"/>
    <hyperlink xmlns:r="http://schemas.openxmlformats.org/officeDocument/2006/relationships" ref="A428" r:id="rId190"/>
    <hyperlink xmlns:r="http://schemas.openxmlformats.org/officeDocument/2006/relationships" ref="A429" r:id="rId191"/>
    <hyperlink xmlns:r="http://schemas.openxmlformats.org/officeDocument/2006/relationships" ref="A430" r:id="rId192"/>
    <hyperlink xmlns:r="http://schemas.openxmlformats.org/officeDocument/2006/relationships" ref="A431" r:id="rId193"/>
    <hyperlink xmlns:r="http://schemas.openxmlformats.org/officeDocument/2006/relationships" ref="A432" r:id="rId194"/>
    <hyperlink xmlns:r="http://schemas.openxmlformats.org/officeDocument/2006/relationships" ref="A433" r:id="rId195"/>
    <hyperlink xmlns:r="http://schemas.openxmlformats.org/officeDocument/2006/relationships" ref="A434" r:id="rId196"/>
    <hyperlink xmlns:r="http://schemas.openxmlformats.org/officeDocument/2006/relationships" ref="A435" r:id="rId197"/>
    <hyperlink xmlns:r="http://schemas.openxmlformats.org/officeDocument/2006/relationships" ref="A436" r:id="rId198"/>
    <hyperlink xmlns:r="http://schemas.openxmlformats.org/officeDocument/2006/relationships" ref="A437" r:id="rId199"/>
    <hyperlink xmlns:r="http://schemas.openxmlformats.org/officeDocument/2006/relationships" ref="A438" r:id="rId200"/>
    <hyperlink xmlns:r="http://schemas.openxmlformats.org/officeDocument/2006/relationships" ref="A439" r:id="rId201"/>
    <hyperlink xmlns:r="http://schemas.openxmlformats.org/officeDocument/2006/relationships" ref="A440" r:id="rId202"/>
    <hyperlink xmlns:r="http://schemas.openxmlformats.org/officeDocument/2006/relationships" ref="A441" r:id="rId203"/>
    <hyperlink xmlns:r="http://schemas.openxmlformats.org/officeDocument/2006/relationships" ref="A442" r:id="rId204"/>
    <hyperlink xmlns:r="http://schemas.openxmlformats.org/officeDocument/2006/relationships" ref="A443" r:id="rId205"/>
    <hyperlink xmlns:r="http://schemas.openxmlformats.org/officeDocument/2006/relationships" ref="A444" r:id="rId206"/>
    <hyperlink xmlns:r="http://schemas.openxmlformats.org/officeDocument/2006/relationships" ref="A445" r:id="rId207"/>
    <hyperlink xmlns:r="http://schemas.openxmlformats.org/officeDocument/2006/relationships" ref="A446" r:id="rId208"/>
    <hyperlink xmlns:r="http://schemas.openxmlformats.org/officeDocument/2006/relationships" ref="A447" r:id="rId209"/>
    <hyperlink xmlns:r="http://schemas.openxmlformats.org/officeDocument/2006/relationships" ref="A490" r:id="rId210"/>
    <hyperlink xmlns:r="http://schemas.openxmlformats.org/officeDocument/2006/relationships" ref="A491" r:id="rId211"/>
    <hyperlink xmlns:r="http://schemas.openxmlformats.org/officeDocument/2006/relationships" ref="A492" r:id="rId212"/>
    <hyperlink xmlns:r="http://schemas.openxmlformats.org/officeDocument/2006/relationships" ref="A493" r:id="rId213"/>
    <hyperlink xmlns:r="http://schemas.openxmlformats.org/officeDocument/2006/relationships" ref="A494" r:id="rId214"/>
    <hyperlink xmlns:r="http://schemas.openxmlformats.org/officeDocument/2006/relationships" ref="A495" r:id="rId215"/>
    <hyperlink xmlns:r="http://schemas.openxmlformats.org/officeDocument/2006/relationships" ref="A496" r:id="rId216"/>
    <hyperlink xmlns:r="http://schemas.openxmlformats.org/officeDocument/2006/relationships" ref="A497" r:id="rId217"/>
    <hyperlink xmlns:r="http://schemas.openxmlformats.org/officeDocument/2006/relationships" ref="A498" r:id="rId218"/>
    <hyperlink xmlns:r="http://schemas.openxmlformats.org/officeDocument/2006/relationships" ref="A499" r:id="rId219"/>
    <hyperlink xmlns:r="http://schemas.openxmlformats.org/officeDocument/2006/relationships" ref="A500" r:id="rId220"/>
    <hyperlink xmlns:r="http://schemas.openxmlformats.org/officeDocument/2006/relationships" ref="A501" r:id="rId221"/>
    <hyperlink xmlns:r="http://schemas.openxmlformats.org/officeDocument/2006/relationships" ref="A502" r:id="rId222"/>
    <hyperlink xmlns:r="http://schemas.openxmlformats.org/officeDocument/2006/relationships" ref="A503" r:id="rId223"/>
    <hyperlink xmlns:r="http://schemas.openxmlformats.org/officeDocument/2006/relationships" ref="A504" r:id="rId224"/>
    <hyperlink xmlns:r="http://schemas.openxmlformats.org/officeDocument/2006/relationships" ref="A505" r:id="rId225"/>
    <hyperlink xmlns:r="http://schemas.openxmlformats.org/officeDocument/2006/relationships" ref="A506" r:id="rId226"/>
    <hyperlink xmlns:r="http://schemas.openxmlformats.org/officeDocument/2006/relationships" ref="A507" r:id="rId227"/>
    <hyperlink xmlns:r="http://schemas.openxmlformats.org/officeDocument/2006/relationships" ref="A508" r:id="rId228"/>
    <hyperlink xmlns:r="http://schemas.openxmlformats.org/officeDocument/2006/relationships" ref="A509" r:id="rId229"/>
    <hyperlink xmlns:r="http://schemas.openxmlformats.org/officeDocument/2006/relationships" ref="A510" r:id="rId230"/>
    <hyperlink xmlns:r="http://schemas.openxmlformats.org/officeDocument/2006/relationships" ref="A511" r:id="rId231"/>
    <hyperlink xmlns:r="http://schemas.openxmlformats.org/officeDocument/2006/relationships" ref="A512" r:id="rId232"/>
    <hyperlink xmlns:r="http://schemas.openxmlformats.org/officeDocument/2006/relationships" ref="A513" r:id="rId233"/>
    <hyperlink xmlns:r="http://schemas.openxmlformats.org/officeDocument/2006/relationships" ref="A514" r:id="rId234"/>
    <hyperlink xmlns:r="http://schemas.openxmlformats.org/officeDocument/2006/relationships" ref="A515" r:id="rId235"/>
    <hyperlink xmlns:r="http://schemas.openxmlformats.org/officeDocument/2006/relationships" ref="A516" r:id="rId236"/>
    <hyperlink xmlns:r="http://schemas.openxmlformats.org/officeDocument/2006/relationships" ref="A517" r:id="rId237"/>
    <hyperlink xmlns:r="http://schemas.openxmlformats.org/officeDocument/2006/relationships" ref="A518" r:id="rId238"/>
    <hyperlink xmlns:r="http://schemas.openxmlformats.org/officeDocument/2006/relationships" ref="A519" r:id="rId239"/>
    <hyperlink xmlns:r="http://schemas.openxmlformats.org/officeDocument/2006/relationships" ref="A520" r:id="rId240"/>
    <hyperlink xmlns:r="http://schemas.openxmlformats.org/officeDocument/2006/relationships" ref="A521" r:id="rId241"/>
    <hyperlink xmlns:r="http://schemas.openxmlformats.org/officeDocument/2006/relationships" ref="A522" r:id="rId242"/>
    <hyperlink xmlns:r="http://schemas.openxmlformats.org/officeDocument/2006/relationships" ref="A523" r:id="rId243"/>
  </hyperlinks>
  <pageMargins left="0.75" right="0.75" top="1" bottom="1" header="0.5" footer="0.5"/>
  <drawing xmlns:r="http://schemas.openxmlformats.org/officeDocument/2006/relationships" r:id="rId244"/>
  <tableParts count="6">
    <tablePart xmlns:r="http://schemas.openxmlformats.org/officeDocument/2006/relationships" r:id="rId245"/>
    <tablePart xmlns:r="http://schemas.openxmlformats.org/officeDocument/2006/relationships" r:id="rId246"/>
    <tablePart xmlns:r="http://schemas.openxmlformats.org/officeDocument/2006/relationships" r:id="rId247"/>
    <tablePart xmlns:r="http://schemas.openxmlformats.org/officeDocument/2006/relationships" r:id="rId248"/>
    <tablePart xmlns:r="http://schemas.openxmlformats.org/officeDocument/2006/relationships" r:id="rId249"/>
    <tablePart xmlns:r="http://schemas.openxmlformats.org/officeDocument/2006/relationships" r:id="rId250"/>
  </tableParts>
</worksheet>
</file>

<file path=xl/worksheets/sheet8.xml><?xml version="1.0" encoding="utf-8"?>
<worksheet xmlns="http://schemas.openxmlformats.org/spreadsheetml/2006/main">
  <sheetPr>
    <outlinePr summaryBelow="1" summaryRight="1"/>
    <pageSetUpPr/>
  </sheetPr>
  <dimension ref="A1:O467"/>
  <sheetViews>
    <sheetView showGridLines="0" workbookViewId="0">
      <selection activeCell="A1" sqref="A1"/>
    </sheetView>
  </sheetViews>
  <sheetFormatPr baseColWidth="8" defaultRowHeight="15"/>
  <cols>
    <col width="45" customWidth="1" min="1" max="1"/>
    <col width="49" customWidth="1" min="2" max="2"/>
    <col width="60" customWidth="1" min="3" max="3"/>
    <col width="19" customWidth="1" min="4" max="4"/>
    <col width="60" customWidth="1" min="5" max="5"/>
    <col width="25" customWidth="1" min="6" max="6"/>
    <col width="25" customWidth="1" min="7" max="7"/>
    <col width="60" customWidth="1" min="8" max="8"/>
    <col width="18" customWidth="1" min="9" max="9"/>
    <col width="20" customWidth="1" min="10" max="10"/>
    <col width="12" customWidth="1" min="11" max="11"/>
    <col width="10" customWidth="1" min="12" max="12"/>
    <col width="12" customWidth="1" min="13" max="13"/>
    <col width="37" customWidth="1" min="14" max="14"/>
    <col width="24" customWidth="1" min="15" max="15"/>
  </cols>
  <sheetData>
    <row r="1">
      <c r="A1" s="1" t="inlineStr">
        <is>
          <t>Наші ТОВ</t>
        </is>
      </c>
    </row>
    <row r="3">
      <c r="A3" s="7" t="inlineStr">
        <is>
          <t>Наші ТОВ на ринку</t>
        </is>
      </c>
    </row>
    <row r="4">
      <c r="A4" s="6" t="inlineStr">
        <is>
          <t>Позиція кожного нашого ЄДРПОУ в загальному заліку, охоплення ринку та розбір закупівель, які пішли до інших.</t>
        </is>
      </c>
    </row>
    <row r="6">
      <c r="A6" s="8" t="inlineStr">
        <is>
          <t>Показники</t>
        </is>
      </c>
    </row>
    <row r="7">
      <c r="A7" s="9" t="inlineStr">
        <is>
          <t>Наша сума угод</t>
        </is>
      </c>
      <c r="B7" s="10" t="inlineStr">
        <is>
          <t>4,4 млн грн</t>
        </is>
      </c>
    </row>
    <row r="8">
      <c r="A8" s="9" t="inlineStr">
        <is>
          <t>Наша частка ринку</t>
        </is>
      </c>
      <c r="B8" s="10" t="inlineStr">
        <is>
          <t>3,7%</t>
        </is>
      </c>
    </row>
    <row r="9">
      <c r="A9" s="9" t="inlineStr">
        <is>
          <t>Найкраще місце</t>
        </is>
      </c>
      <c r="B9" s="10" t="inlineStr">
        <is>
          <t>№3</t>
        </is>
      </c>
    </row>
    <row r="10">
      <c r="A10" s="9" t="inlineStr">
        <is>
          <t>Наших угод</t>
        </is>
      </c>
      <c r="B10" s="10" t="inlineStr">
        <is>
          <t>15</t>
        </is>
      </c>
    </row>
    <row r="11">
      <c r="A11" s="9" t="inlineStr">
        <is>
          <t>Подань на торги</t>
        </is>
      </c>
      <c r="B11" s="10" t="inlineStr">
        <is>
          <t>35</t>
        </is>
      </c>
    </row>
    <row r="12">
      <c r="A12" s="9" t="inlineStr">
        <is>
          <t>Охоплення ринку</t>
        </is>
      </c>
      <c r="B12" s="10" t="inlineStr">
        <is>
          <t>1,7%</t>
        </is>
      </c>
    </row>
    <row r="14">
      <c r="A14" s="8" t="inlineStr">
        <is>
          <t>Висновки</t>
        </is>
      </c>
    </row>
    <row r="15">
      <c r="A15" t="inlineStr">
        <is>
          <t>•  У галузях, де ми взагалі присутні, відбулося 1963 закупівель на 169,5 млн грн. Ми брали участь у 34 із них (1,7%); повз пройшло 1929 закупівель на 154,8 млн грн.</t>
        </is>
      </c>
    </row>
    <row r="17">
      <c r="A17" s="8" t="inlineStr">
        <is>
          <t>Графіки</t>
        </is>
      </c>
    </row>
    <row r="19">
      <c r="A19" s="2" t="inlineStr">
        <is>
          <t>Ми проти лідерів ринку (топ-12)</t>
        </is>
      </c>
    </row>
    <row r="20">
      <c r="A20" s="6" t="inlineStr">
        <is>
          <t>Наші ТОВ виділені кольором і стоять у списку завжди: те, що не ввійшло до топ-12, дописане в кінець із номером свого місця. Тут лише ті, у кого є підписані угоди — ЄДРПОУ без жодної угоди в рейтингу немає.</t>
        </is>
      </c>
    </row>
    <row r="21">
      <c r="A21" s="3" t="inlineStr">
        <is>
          <t>Категорія</t>
        </is>
      </c>
      <c r="B21" s="3" t="inlineStr">
        <is>
          <t>Сума угод, грн</t>
        </is>
      </c>
    </row>
    <row r="22">
      <c r="A22" t="inlineStr">
        <is>
          <t>Технології для бізнесу</t>
        </is>
      </c>
      <c r="B22" s="5" t="n">
        <v>9792379.5</v>
      </c>
    </row>
    <row r="23">
      <c r="A23" t="inlineStr">
        <is>
          <t>ЕМЕНС</t>
        </is>
      </c>
      <c r="B23" s="5" t="n">
        <v>4116900</v>
      </c>
    </row>
    <row r="24">
      <c r="A24" t="inlineStr">
        <is>
          <t>ТОРГОВИЙ ДІМ "ПАРТНЕР АЙ ТІ</t>
        </is>
      </c>
      <c r="B24" s="5" t="n">
        <v>3625405.8</v>
      </c>
    </row>
    <row r="25">
      <c r="A25" t="inlineStr">
        <is>
          <t>ПОРТАЛ АРЕНА</t>
        </is>
      </c>
      <c r="B25" s="5" t="n">
        <v>3597812.4</v>
      </c>
    </row>
    <row r="26">
      <c r="A26" t="inlineStr">
        <is>
          <t>ПБГ19</t>
        </is>
      </c>
      <c r="B26" s="5" t="n">
        <v>3383565.2</v>
      </c>
    </row>
    <row r="27">
      <c r="A27" t="inlineStr">
        <is>
          <t>ДАВИДЕНКО ПАВЛО АНДРІЙОВИЧ</t>
        </is>
      </c>
      <c r="B27" s="5" t="n">
        <v>2855900</v>
      </c>
    </row>
    <row r="28">
      <c r="A28" t="inlineStr">
        <is>
          <t>ЮДІТРЕЙД</t>
        </is>
      </c>
      <c r="B28" s="5" t="n">
        <v>2504219.64</v>
      </c>
    </row>
    <row r="29">
      <c r="A29" t="inlineStr">
        <is>
          <t>ТІНОС-Д</t>
        </is>
      </c>
      <c r="B29" s="5" t="n">
        <v>2232222</v>
      </c>
    </row>
    <row r="30">
      <c r="A30" t="inlineStr">
        <is>
          <t>ТЕХНО ГАЛАКТИКА</t>
        </is>
      </c>
      <c r="B30" s="5" t="n">
        <v>2199480</v>
      </c>
    </row>
    <row r="31">
      <c r="A31" t="inlineStr">
        <is>
          <t>ДІСТРІ ІНВАЙТ ІТ</t>
        </is>
      </c>
      <c r="B31" s="5" t="n">
        <v>2180234.28</v>
      </c>
    </row>
    <row r="32">
      <c r="A32" t="inlineStr">
        <is>
          <t>ПАРСЕРС</t>
        </is>
      </c>
      <c r="B32" s="5" t="n">
        <v>2175077.85</v>
      </c>
    </row>
    <row r="33">
      <c r="A33" t="inlineStr">
        <is>
          <t>СИСТЕМАТИКА УКРАЇНА</t>
        </is>
      </c>
      <c r="B33" s="5" t="n">
        <v>2154480</v>
      </c>
    </row>
    <row r="34">
      <c r="A34" t="inlineStr">
        <is>
          <t>РЕФОРМА СИСТЕМЗ (№41)</t>
        </is>
      </c>
      <c r="B34" s="5" t="n">
        <v>744540</v>
      </c>
    </row>
    <row r="41">
      <c r="A41" s="2" t="inlineStr">
        <is>
          <t>Де ми не брали участі — за галузями</t>
        </is>
      </c>
    </row>
    <row r="42">
      <c r="A42" s="3" t="inlineStr">
        <is>
          <t>Категорія</t>
        </is>
      </c>
      <c r="B42" s="3" t="inlineStr">
        <is>
          <t>Сума пропущеного, грн</t>
        </is>
      </c>
    </row>
    <row r="43">
      <c r="A43" t="inlineStr">
        <is>
          <t>Машини для обробки даних (апаратна частина)</t>
        </is>
      </c>
      <c r="B43" s="5" t="n">
        <v>109818253.83</v>
      </c>
    </row>
    <row r="44">
      <c r="A44" t="inlineStr">
        <is>
          <t>Комп’ютерне обладнання</t>
        </is>
      </c>
      <c r="B44" s="5" t="n">
        <v>45022539.42999999</v>
      </c>
    </row>
    <row r="57">
      <c r="A57" s="2" t="inlineStr">
        <is>
          <t>З ким ми найчастіше зустрічаємось на торгах</t>
        </is>
      </c>
    </row>
    <row r="58">
      <c r="A58" s="3" t="inlineStr">
        <is>
          <t>Категорія</t>
        </is>
      </c>
      <c r="B58" s="3" t="inlineStr">
        <is>
          <t>Спільних закупівель, шт</t>
        </is>
      </c>
    </row>
    <row r="59">
      <c r="A59" t="inlineStr">
        <is>
          <t>ТОВ "ПАВЕРТРЕЙД"</t>
        </is>
      </c>
      <c r="B59" s="5" t="n">
        <v>12</v>
      </c>
    </row>
    <row r="60">
      <c r="A60" t="inlineStr">
        <is>
          <t>ТОВ "СИСТЕМАТИКА УКРАЇНА"</t>
        </is>
      </c>
      <c r="B60" s="5" t="n">
        <v>7</v>
      </c>
    </row>
    <row r="61">
      <c r="A61" t="inlineStr">
        <is>
          <t>ТОВ "САНТАРЕКС"</t>
        </is>
      </c>
      <c r="B61" s="5" t="n">
        <v>7</v>
      </c>
    </row>
    <row r="62">
      <c r="A62" t="inlineStr">
        <is>
          <t>ТОВ "КПІ-МАРКЕТ"</t>
        </is>
      </c>
      <c r="B62" s="5" t="n">
        <v>6</v>
      </c>
    </row>
    <row r="63">
      <c r="A63" t="inlineStr">
        <is>
          <t>ФОП СТОЯНОВА ІРИНА ВІКТОРІВНА</t>
        </is>
      </c>
      <c r="B63" s="5" t="n">
        <v>5</v>
      </c>
    </row>
    <row r="64">
      <c r="A64" t="inlineStr">
        <is>
          <t>ТОВ "ДІАВЕСТЕНД КОМПЛЕКСНІ РІШЕННЯ</t>
        </is>
      </c>
      <c r="B64" s="5" t="n">
        <v>5</v>
      </c>
    </row>
    <row r="65">
      <c r="A65" t="inlineStr">
        <is>
          <t>ТОВ "Епіцентр К"</t>
        </is>
      </c>
      <c r="B65" s="5" t="n">
        <v>5</v>
      </c>
    </row>
    <row r="66">
      <c r="A66" t="inlineStr">
        <is>
          <t>ФОП "ГРІНЧЕНКО ЗОЯ ОЛЕКСІЇВНА"</t>
        </is>
      </c>
      <c r="B66" s="5" t="n">
        <v>5</v>
      </c>
    </row>
    <row r="67">
      <c r="A67" t="inlineStr">
        <is>
          <t>ТОВ "МАКСИМВІСІМ"</t>
        </is>
      </c>
      <c r="B67" s="5" t="n">
        <v>4</v>
      </c>
    </row>
    <row r="68">
      <c r="A68" t="inlineStr">
        <is>
          <t>ТОВ "АРТЛАЙН ІНТЕГРАЦІЯ"</t>
        </is>
      </c>
      <c r="B68" s="5" t="n">
        <v>4</v>
      </c>
    </row>
    <row r="69">
      <c r="A69" t="inlineStr">
        <is>
          <t>ПП "КОМТЕХСЕРВІС"</t>
        </is>
      </c>
      <c r="B69" s="5" t="n">
        <v>4</v>
      </c>
    </row>
    <row r="70">
      <c r="A70" t="inlineStr">
        <is>
          <t>ТОВ "ТОП ЮНІТІ"</t>
        </is>
      </c>
      <c r="B70" s="5" t="n">
        <v>4</v>
      </c>
    </row>
    <row r="78">
      <c r="A78" s="8" t="inlineStr">
        <is>
          <t>Таблиці</t>
        </is>
      </c>
    </row>
    <row r="80">
      <c r="A80" s="2" t="inlineStr">
        <is>
          <t>Наші ТОВ</t>
        </is>
      </c>
    </row>
    <row r="81">
      <c r="A81" s="11" t="inlineStr">
        <is>
          <t>ЄДРПОУ</t>
        </is>
      </c>
      <c r="B81" s="11" t="inlineStr">
        <is>
          <t>Компанія</t>
        </is>
      </c>
      <c r="C81" s="11" t="inlineStr">
        <is>
          <t>Місце</t>
        </is>
      </c>
      <c r="D81" s="11" t="inlineStr">
        <is>
          <t>Сума угод, грн</t>
        </is>
      </c>
      <c r="E81" s="11" t="inlineStr">
        <is>
          <t>Частка ринку</t>
        </is>
      </c>
      <c r="F81" s="11" t="inlineStr">
        <is>
          <t>Угод</t>
        </is>
      </c>
      <c r="G81" s="11" t="inlineStr">
        <is>
          <t>Закупівель</t>
        </is>
      </c>
      <c r="H81" s="11" t="inlineStr">
        <is>
          <t>Подань</t>
        </is>
      </c>
      <c r="I81" s="11" t="inlineStr">
        <is>
          <t>Результативність</t>
        </is>
      </c>
      <c r="J81" s="11" t="inlineStr">
        <is>
          <t>Середня угода, грн</t>
        </is>
      </c>
      <c r="K81" s="11" t="inlineStr">
        <is>
          <t>Замовників</t>
        </is>
      </c>
      <c r="L81" s="11" t="inlineStr">
        <is>
          <t>Областей</t>
        </is>
      </c>
      <c r="M81" s="11" t="inlineStr">
        <is>
          <t>Основна ТМ</t>
        </is>
      </c>
      <c r="N81" s="11" t="inlineStr">
        <is>
          <t>Основний товар</t>
        </is>
      </c>
      <c r="O81" s="11" t="inlineStr">
        <is>
          <t>Відрив від лідера, грн</t>
        </is>
      </c>
    </row>
    <row r="82">
      <c r="A82" t="inlineStr">
        <is>
          <t>41263186</t>
        </is>
      </c>
      <c r="B82" t="inlineStr">
        <is>
          <t>ТОВ "ТОРГОВИЙ ДІМ "ПАРТНЕР АЙ ТІ"</t>
        </is>
      </c>
      <c r="C82" s="5" t="n">
        <v>3</v>
      </c>
      <c r="D82" s="13" t="n">
        <v>3625405.8</v>
      </c>
      <c r="E82" s="12" t="n">
        <v>0.0305</v>
      </c>
      <c r="F82" s="5" t="n">
        <v>13</v>
      </c>
      <c r="G82" s="5" t="n">
        <v>12</v>
      </c>
      <c r="H82" s="5" t="n">
        <v>31</v>
      </c>
      <c r="I82" s="12" t="n">
        <v>0.3871</v>
      </c>
      <c r="J82" s="13" t="n">
        <v>278877.37</v>
      </c>
      <c r="K82" s="5" t="n">
        <v>10</v>
      </c>
      <c r="L82" s="5" t="n">
        <v>1</v>
      </c>
      <c r="M82" t="inlineStr">
        <is>
          <t>Vinga</t>
        </is>
      </c>
      <c r="N82" t="inlineStr">
        <is>
          <t>Багатофункціональний пристрій (БФП)</t>
        </is>
      </c>
      <c r="O82" s="13" t="n">
        <v>6166973.7</v>
      </c>
    </row>
    <row r="83">
      <c r="A83" t="inlineStr">
        <is>
          <t>44728541</t>
        </is>
      </c>
      <c r="B83" t="inlineStr">
        <is>
          <t>ТОВ "РЕФОРМА СИСТЕМЗ"</t>
        </is>
      </c>
      <c r="C83" s="5" t="n">
        <v>41</v>
      </c>
      <c r="D83" s="13" t="n">
        <v>744540</v>
      </c>
      <c r="E83" s="12" t="n">
        <v>0.0063</v>
      </c>
      <c r="F83" s="5" t="n">
        <v>2</v>
      </c>
      <c r="G83" s="5" t="n">
        <v>2</v>
      </c>
      <c r="H83" s="5" t="n">
        <v>4</v>
      </c>
      <c r="I83" s="12" t="n">
        <v>0.5</v>
      </c>
      <c r="J83" s="13" t="n">
        <v>372270</v>
      </c>
      <c r="K83" s="5" t="n">
        <v>1</v>
      </c>
      <c r="L83" s="5" t="n">
        <v>1</v>
      </c>
      <c r="M83" t="inlineStr"/>
      <c r="N83" t="inlineStr">
        <is>
          <t>Системний блок</t>
        </is>
      </c>
      <c r="O83" s="13" t="n">
        <v>9047839.5</v>
      </c>
    </row>
    <row r="85">
      <c r="A85" s="2" t="inlineStr">
        <is>
          <t>Пропущені закупівлі</t>
        </is>
      </c>
    </row>
    <row r="86">
      <c r="A86" s="11" t="inlineStr">
        <is>
          <t>Закупівля</t>
        </is>
      </c>
      <c r="B86" s="11" t="inlineStr">
        <is>
          <t>Дата</t>
        </is>
      </c>
      <c r="C86" s="11" t="inlineStr">
        <is>
          <t>Замовник</t>
        </is>
      </c>
      <c r="D86" s="11" t="inlineStr">
        <is>
          <t>Регіон</t>
        </is>
      </c>
      <c r="E86" s="11" t="inlineStr">
        <is>
          <t>Предмет</t>
        </is>
      </c>
      <c r="F86" s="11" t="inlineStr">
        <is>
          <t>Очікувана вартість, грн</t>
        </is>
      </c>
      <c r="G86" s="11" t="inlineStr">
        <is>
          <t>Процедура</t>
        </is>
      </c>
      <c r="H86" s="11" t="inlineStr">
        <is>
          <t>Переможець</t>
        </is>
      </c>
    </row>
    <row r="87">
      <c r="A87" s="4" t="inlineStr">
        <is>
          <t>UA-2025-10-10-001046-a</t>
        </is>
      </c>
      <c r="B87" t="inlineStr">
        <is>
          <t>2025-10-10</t>
        </is>
      </c>
      <c r="C87" t="inlineStr">
        <is>
          <t>ГОЛОВНЕ УПРАВЛІННЯ ПЕНСІЙНОГО ФОНДУ УКРАЇНИ У ВОЛИНСЬКІЙ ОБЛАСТІ</t>
        </is>
      </c>
      <c r="D87" t="inlineStr">
        <is>
          <t>Волинська область</t>
        </is>
      </c>
      <c r="E87" t="inlineStr">
        <is>
          <t>Моноблоки (ДК 021:2015 — 30210000-4 Машини для обробки даних (апаратна частина))</t>
        </is>
      </c>
      <c r="F87" s="13" t="n">
        <v>9625000</v>
      </c>
      <c r="G87" t="inlineStr">
        <is>
          <t>Відкриті торги (нові)</t>
        </is>
      </c>
      <c r="H87" t="inlineStr">
        <is>
          <t>ТОВ "ТЕХНОЛОГІЇ ДЛЯ БІЗНЕСУ"</t>
        </is>
      </c>
    </row>
    <row r="88">
      <c r="A88" s="4" t="inlineStr">
        <is>
          <t>UA-2026-09-01-010308-a</t>
        </is>
      </c>
      <c r="B88" t="inlineStr">
        <is>
          <t>2026-09-01</t>
        </is>
      </c>
      <c r="C88" t="inlineStr">
        <is>
          <t>Луцький національний технічний університет</t>
        </is>
      </c>
      <c r="D88" t="inlineStr">
        <is>
          <t>Волинська область</t>
        </is>
      </c>
      <c r="E88" t="inlineStr">
        <is>
          <t>Машини для обробки даних (апаратна частина)</t>
        </is>
      </c>
      <c r="F88" s="13" t="n">
        <v>5875800</v>
      </c>
      <c r="G88" t="inlineStr">
        <is>
          <t>Відкриті торги (нові)</t>
        </is>
      </c>
      <c r="H88" t="inlineStr"/>
    </row>
    <row r="89">
      <c r="A89" s="4" t="inlineStr">
        <is>
          <t>UA-2026-06-04-012194-a</t>
        </is>
      </c>
      <c r="B89" t="inlineStr">
        <is>
          <t>2026-06-04</t>
        </is>
      </c>
      <c r="C89" t="inlineStr">
        <is>
          <t>НОВОВОЛИНСЬКИЙ ЛІЦЕЙ №8 НОВОВОЛИНСЬКОЇ МІСЬКОЇ РАДИ ВОЛИНСЬКОЇ ОБЛАСТІ</t>
        </is>
      </c>
      <c r="D89" t="inlineStr">
        <is>
          <t>Волинська область</t>
        </is>
      </c>
      <c r="E89" t="inlineStr">
        <is>
          <t>Машини для обробки даних (апаратна частина)</t>
        </is>
      </c>
      <c r="F89" s="13" t="n">
        <v>4116900</v>
      </c>
      <c r="G89" t="inlineStr">
        <is>
          <t>Запит пропозицій</t>
        </is>
      </c>
      <c r="H89" t="inlineStr">
        <is>
          <t>ТОВ "ЕМЕНС"</t>
        </is>
      </c>
    </row>
    <row r="90">
      <c r="A90" s="4" t="inlineStr">
        <is>
          <t>UA-2025-11-06-001423-a</t>
        </is>
      </c>
      <c r="B90" t="inlineStr">
        <is>
          <t>2025-11-06</t>
        </is>
      </c>
      <c r="C90" t="inlineStr">
        <is>
          <t>ГОЛОВНЕ УПРАВЛІННЯ ПЕНСІЙНОГО ФОНДУ УКРАЇНИ У ВОЛИНСЬКІЙ ОБЛАСТІ</t>
        </is>
      </c>
      <c r="D90" t="inlineStr">
        <is>
          <t>Волинська область</t>
        </is>
      </c>
      <c r="E90" t="inlineStr">
        <is>
          <t>Багатофункціональні монохромні лазерні пристрої (ДК 021:2015 — 30230000-0 Комп’ю</t>
        </is>
      </c>
      <c r="F90" s="13" t="n">
        <v>2180000</v>
      </c>
      <c r="G90" t="inlineStr">
        <is>
          <t>Відкриті торги (нові)</t>
        </is>
      </c>
      <c r="H90" t="inlineStr">
        <is>
          <t>ФОП ДАВИДЕНКО ПАВЛО АНДРІЙОВИЧ</t>
        </is>
      </c>
    </row>
    <row r="91">
      <c r="A91" s="4" t="inlineStr">
        <is>
          <t>UA-2025-11-11-008865-a</t>
        </is>
      </c>
      <c r="B91" t="inlineStr">
        <is>
          <t>2025-11-11</t>
        </is>
      </c>
      <c r="C91" t="inlineStr">
        <is>
          <t>ЛІЦЕЙ ІМЕНІ ОЛЕКСАНДРА ЦИНКАЛОВСЬКОГО ВОЛОДИМИРСЬКОЇ МІСЬКОЇ РАДИ</t>
        </is>
      </c>
      <c r="D91" t="inlineStr">
        <is>
          <t>Волинська область</t>
        </is>
      </c>
      <c r="E91" t="inlineStr">
        <is>
          <t>Персональний комп'ютер</t>
        </is>
      </c>
      <c r="F91" s="13" t="n">
        <v>1964000</v>
      </c>
      <c r="G91" t="inlineStr">
        <is>
          <t>Відкриті торги (нові)</t>
        </is>
      </c>
      <c r="H91" t="inlineStr">
        <is>
          <t>ТОВ "ІНТЕРАКТИВНІ СИСТЕМИ НАВЧАННЯ"</t>
        </is>
      </c>
    </row>
    <row r="92">
      <c r="A92" s="4" t="inlineStr">
        <is>
          <t>UA-2025-10-17-013810-a</t>
        </is>
      </c>
      <c r="B92" t="inlineStr">
        <is>
          <t>2025-10-17</t>
        </is>
      </c>
      <c r="C92" t="inlineStr">
        <is>
          <t>ЛІЦЕЙ ІМЕНІ ОЛЕКСАНДРА ЦИНКАЛОВСЬКОГО ВОЛОДИМИРСЬКОЇ МІСЬКОЇ РАДИ</t>
        </is>
      </c>
      <c r="D92" t="inlineStr">
        <is>
          <t>Волинська область</t>
        </is>
      </c>
      <c r="E92" t="inlineStr">
        <is>
          <t>Персональний комп'ютер</t>
        </is>
      </c>
      <c r="F92" s="13" t="n">
        <v>1964000</v>
      </c>
      <c r="G92" t="inlineStr">
        <is>
          <t>Відкриті торги (нові)</t>
        </is>
      </c>
      <c r="H92" t="inlineStr"/>
    </row>
    <row r="93">
      <c r="A93" s="4" t="inlineStr">
        <is>
          <t>UA-2026-08-18-013057-a</t>
        </is>
      </c>
      <c r="B93" t="inlineStr">
        <is>
          <t>2026-08-18</t>
        </is>
      </c>
      <c r="C93" t="inlineStr">
        <is>
          <t>Волинський обласний ліцей з посиленою військово-фізичною підготовкою імені Героїв Небесної Сотні</t>
        </is>
      </c>
      <c r="D93" t="inlineStr">
        <is>
          <t>Волинська область</t>
        </is>
      </c>
      <c r="E93" t="inlineStr">
        <is>
          <t>Машини для обробки даних (апаратна частина)</t>
        </is>
      </c>
      <c r="F93" s="13" t="n">
        <v>1748000</v>
      </c>
      <c r="G93" t="inlineStr">
        <is>
          <t>Запит пропозицій</t>
        </is>
      </c>
      <c r="H93" t="inlineStr">
        <is>
          <t>ТОВ «ПОРТАЛ АРЕНА»</t>
        </is>
      </c>
    </row>
    <row r="94">
      <c r="A94" s="4" t="inlineStr">
        <is>
          <t>UA-2025-12-19-013313-a</t>
        </is>
      </c>
      <c r="B94" t="inlineStr">
        <is>
          <t>2025-12-19</t>
        </is>
      </c>
      <c r="C94" t="inlineStr">
        <is>
          <t>Територіальне управління Державної судової адміністрації України в Волинській області</t>
        </is>
      </c>
      <c r="D94" t="inlineStr">
        <is>
          <t>Волинська область</t>
        </is>
      </c>
      <c r="E94" t="inlineStr">
        <is>
          <t>Персональні комп’ютери (30213000-5) (код за ДК 021:2015: 30210000-4 — Машини для</t>
        </is>
      </c>
      <c r="F94" s="13" t="n">
        <v>1610000</v>
      </c>
      <c r="G94" t="inlineStr">
        <is>
          <t>Звіт про договір</t>
        </is>
      </c>
      <c r="H94" t="inlineStr">
        <is>
          <t>ТОВ «ПБГ19»</t>
        </is>
      </c>
    </row>
    <row r="95">
      <c r="A95" s="4" t="inlineStr">
        <is>
          <t>UA-2025-12-03-006883-a</t>
        </is>
      </c>
      <c r="B95" t="inlineStr">
        <is>
          <t>2025-12-03</t>
        </is>
      </c>
      <c r="C95" t="inlineStr">
        <is>
          <t>Територіальне управління Державної судової адміністрації України в Волинській області</t>
        </is>
      </c>
      <c r="D95" t="inlineStr">
        <is>
          <t>Волинська область</t>
        </is>
      </c>
      <c r="E95" t="inlineStr">
        <is>
          <t>Персональні комп’ютери (30213000-5) (код за ДК 021:2015: 30210000-4 — Машини для</t>
        </is>
      </c>
      <c r="F95" s="13" t="n">
        <v>1610000</v>
      </c>
      <c r="G95" t="inlineStr">
        <is>
          <t>Відкриті торги (нові)</t>
        </is>
      </c>
      <c r="H95" t="inlineStr"/>
    </row>
    <row r="96">
      <c r="A96" s="4" t="inlineStr">
        <is>
          <t>UA-2025-11-17-013210-a</t>
        </is>
      </c>
      <c r="B96" t="inlineStr">
        <is>
          <t>2025-11-17</t>
        </is>
      </c>
      <c r="C96" t="inlineStr">
        <is>
          <t>Територіальне управління Державної судової адміністрації України в Волинській області</t>
        </is>
      </c>
      <c r="D96" t="inlineStr">
        <is>
          <t>Волинська область</t>
        </is>
      </c>
      <c r="E96" t="inlineStr">
        <is>
          <t>Персональні комп’ютери (30213000-5) (код за ДК 021:2015: 30210000-4 — Машини для</t>
        </is>
      </c>
      <c r="F96" s="13" t="n">
        <v>1610000</v>
      </c>
      <c r="G96" t="inlineStr">
        <is>
          <t>Відкриті торги (нові)</t>
        </is>
      </c>
      <c r="H96" t="inlineStr"/>
    </row>
    <row r="97">
      <c r="A97" s="4" t="inlineStr">
        <is>
          <t>UA-2026-07-21-008617-a</t>
        </is>
      </c>
      <c r="B97" t="inlineStr">
        <is>
          <t>2026-07-21</t>
        </is>
      </c>
      <c r="C97" t="inlineStr">
        <is>
          <t>ОПОРНИЙ ЗАКЛАД ЗАГАЛЬНОЇ СЕРЕДНЬОЇ ОСВІТИ "ЛОКАЧИНСЬКИЙ ЛІЦЕЙ"ЛОКАЧИНСЬКОЇ СЕЛИЩНОЇ РАДИ ВОЛОДИМИРСЬКОГО РАЙОНУ ВОЛИНСЬКОЇ ОБЛАСТІ</t>
        </is>
      </c>
      <c r="D97" t="inlineStr">
        <is>
          <t>Волинська область</t>
        </is>
      </c>
      <c r="E97" t="inlineStr">
        <is>
          <t>Персональний комп’ютер НУШ Код ДК 021:2015 30210000-4 Машини для обробки даних</t>
        </is>
      </c>
      <c r="F97" s="13" t="n">
        <v>1557225</v>
      </c>
      <c r="G97" t="inlineStr">
        <is>
          <t>Відкриті торги (нові)</t>
        </is>
      </c>
      <c r="H97" t="inlineStr">
        <is>
          <t>ТОВ "ТЕХНО ГАЛАКТИКА"</t>
        </is>
      </c>
    </row>
    <row r="98">
      <c r="A98" s="4" t="inlineStr">
        <is>
          <t>UA-2026-03-26-014052-a</t>
        </is>
      </c>
      <c r="B98" t="inlineStr">
        <is>
          <t>2026-03-26</t>
        </is>
      </c>
      <c r="C98" t="inlineStr">
        <is>
          <t>ГОЛОВНЕ УПРАВЛІННЯ ПЕНСІЙНОГО ФОНДУ УКРАЇНИ У ВОЛИНСЬКІЙ ОБЛАСТІ</t>
        </is>
      </c>
      <c r="D98" t="inlineStr">
        <is>
          <t>Волинська область</t>
        </is>
      </c>
      <c r="E98" t="inlineStr">
        <is>
          <t>Багатофункціональні монохромні лазерні пристрої (ДК 021:2015 — 30230000-0 Комп’ю</t>
        </is>
      </c>
      <c r="F98" s="13" t="n">
        <v>1500000</v>
      </c>
      <c r="G98" t="inlineStr">
        <is>
          <t>Відкриті торги (нові)</t>
        </is>
      </c>
      <c r="H98" t="inlineStr">
        <is>
          <t>ФОП ІВАНЧЕНКО МИКОЛА ІВАНОВИЧ</t>
        </is>
      </c>
    </row>
    <row r="99">
      <c r="A99" s="4" t="inlineStr">
        <is>
          <t>UA-2025-09-17-011388-a</t>
        </is>
      </c>
      <c r="B99" t="inlineStr">
        <is>
          <t>2025-09-17</t>
        </is>
      </c>
      <c r="C99" t="inlineStr">
        <is>
          <t>Волинський національний університет імені Лесі Українки</t>
        </is>
      </c>
      <c r="D99" t="inlineStr">
        <is>
          <t>Волинська область</t>
        </is>
      </c>
      <c r="E99" t="inlineStr">
        <is>
          <t>Комп’ютер в комплектації для навчального процесу (30213300-8). Код ДК 021:2015:3</t>
        </is>
      </c>
      <c r="F99" s="13" t="n">
        <v>1486000</v>
      </c>
      <c r="G99" t="inlineStr">
        <is>
          <t>Відкриті торги (нові)</t>
        </is>
      </c>
      <c r="H99" t="inlineStr">
        <is>
          <t>ТОВ «ПБГ19»</t>
        </is>
      </c>
    </row>
    <row r="100">
      <c r="A100" s="4" t="inlineStr">
        <is>
          <t>UA-2025-09-18-011701-a</t>
        </is>
      </c>
      <c r="B100" t="inlineStr">
        <is>
          <t>2025-09-18</t>
        </is>
      </c>
      <c r="C100" t="inlineStr">
        <is>
          <t>Військова частина А 1008</t>
        </is>
      </c>
      <c r="D100" t="inlineStr">
        <is>
          <t>Волинська область</t>
        </is>
      </c>
      <c r="E100" t="inlineStr">
        <is>
          <t xml:space="preserve">Планшет Samsung Galaxy Tab A9+ WiFi 8/128GB Graphite (SM-X210NZAESEK) (з чохлом </t>
        </is>
      </c>
      <c r="F100" s="13" t="n">
        <v>1373999.91</v>
      </c>
      <c r="G100" t="inlineStr">
        <is>
          <t>Звіт про договір</t>
        </is>
      </c>
      <c r="H100" t="inlineStr">
        <is>
          <t>ТОВ "ПАРСЕРС"</t>
        </is>
      </c>
    </row>
    <row r="101">
      <c r="A101" s="4" t="inlineStr">
        <is>
          <t>UA-2026-03-27-010006-a</t>
        </is>
      </c>
      <c r="B101" t="inlineStr">
        <is>
          <t>2026-03-27</t>
        </is>
      </c>
      <c r="C101" t="inlineStr">
        <is>
          <t>ГОЛОВНЕ УПРАВЛІННЯ ПЕНСІЙНОГО ФОНДУ УКРАЇНИ У ВОЛИНСЬКІЙ ОБЛАСТІ</t>
        </is>
      </c>
      <c r="D101" t="inlineStr">
        <is>
          <t>Волинська область</t>
        </is>
      </c>
      <c r="E101" t="inlineStr">
        <is>
          <t>Ноутбуки (ДК 021:2015: 30210000-4 – Машини для обробки даних (апаратна частина)</t>
        </is>
      </c>
      <c r="F101" s="13" t="n">
        <v>1150000</v>
      </c>
      <c r="G101" t="inlineStr">
        <is>
          <t>Відкриті торги (нові)</t>
        </is>
      </c>
      <c r="H101" t="inlineStr"/>
    </row>
    <row r="102">
      <c r="A102" s="4" t="inlineStr">
        <is>
          <t>UA-2025-10-27-009578-a</t>
        </is>
      </c>
      <c r="B102" t="inlineStr">
        <is>
          <t>2025-10-27</t>
        </is>
      </c>
      <c r="C102" t="inlineStr">
        <is>
          <t>ГУМАНІТАРНИЙ ВІДДІЛ КІВЕРЦІВСЬКОЇ МІСЬКОЇ РАДИ</t>
        </is>
      </c>
      <c r="D102" t="inlineStr">
        <is>
          <t>Волинська область</t>
        </is>
      </c>
      <c r="E102" t="inlineStr">
        <is>
          <t>Ноутбуки НУШ (30210000-4 - Машини для обробки даних (апаратна частина)</t>
        </is>
      </c>
      <c r="F102" s="13" t="n">
        <v>1054000</v>
      </c>
      <c r="G102" t="inlineStr">
        <is>
          <t>Запит пропозицій</t>
        </is>
      </c>
      <c r="H102" t="inlineStr">
        <is>
          <t>ТОВ "ДІСТРІ ІНВАЙТ ІТ"</t>
        </is>
      </c>
    </row>
    <row r="103">
      <c r="A103" s="4" t="inlineStr">
        <is>
          <t>UA-2026-06-03-009856-a</t>
        </is>
      </c>
      <c r="B103" t="inlineStr">
        <is>
          <t>2026-06-03</t>
        </is>
      </c>
      <c r="C103" t="inlineStr">
        <is>
          <t>ГОЛОВНЕ УПРАВЛІННЯ ПЕНСІЙНОГО ФОНДУ УКРАЇНИ У ВОЛИНСЬКІЙ ОБЛАСТІ</t>
        </is>
      </c>
      <c r="D103" t="inlineStr">
        <is>
          <t>Волинська область</t>
        </is>
      </c>
      <c r="E103" t="inlineStr">
        <is>
          <t>Ноутбуки (ДК 021:2015: 30210000-4 – Машини для обробки даних (апаратна частина))</t>
        </is>
      </c>
      <c r="F103" s="13" t="n">
        <v>1025000</v>
      </c>
      <c r="G103" t="inlineStr">
        <is>
          <t>Відкриті торги (нові)</t>
        </is>
      </c>
      <c r="H103" t="inlineStr">
        <is>
          <t>ФОП "ВАЙДА ГАВРИЛО ІВАНОВИЧ"</t>
        </is>
      </c>
    </row>
    <row r="104">
      <c r="A104" s="4" t="inlineStr">
        <is>
          <t>UA-2026-04-10-009243-a</t>
        </is>
      </c>
      <c r="B104" t="inlineStr">
        <is>
          <t>2026-04-10</t>
        </is>
      </c>
      <c r="C104" t="inlineStr">
        <is>
          <t>ГОЛОВНЕ УПРАВЛІННЯ ПЕНСІЙНОГО ФОНДУ УКРАЇНИ У ВОЛИНСЬКІЙ ОБЛАСТІ</t>
        </is>
      </c>
      <c r="D104" t="inlineStr">
        <is>
          <t>Волинська область</t>
        </is>
      </c>
      <c r="E104" t="inlineStr">
        <is>
          <t>Ноутбуки (ДК 021:2015: 30210000-4 – Машини для обробки даних (апаратна частина))</t>
        </is>
      </c>
      <c r="F104" s="13" t="n">
        <v>1025000</v>
      </c>
      <c r="G104" t="inlineStr">
        <is>
          <t>Відкриті торги (нові)</t>
        </is>
      </c>
      <c r="H104" t="inlineStr"/>
    </row>
    <row r="105">
      <c r="A105" s="4" t="inlineStr">
        <is>
          <t>UA-2025-12-05-015557-a</t>
        </is>
      </c>
      <c r="B105" t="inlineStr">
        <is>
          <t>2025-12-05</t>
        </is>
      </c>
      <c r="C105" t="inlineStr">
        <is>
          <t>Відділ освіти, культури, молоді та спорту Підгайцівської сільської ради</t>
        </is>
      </c>
      <c r="D105" t="inlineStr">
        <is>
          <t>Волинська область</t>
        </is>
      </c>
      <c r="E105" t="inlineStr">
        <is>
          <t>Персональний комп’ютер форм-фактора десктоп, ноутбук ( Код ДК 021:2015 - 3023000</t>
        </is>
      </c>
      <c r="F105" s="13" t="n">
        <v>1000000</v>
      </c>
      <c r="G105" t="inlineStr">
        <is>
          <t>Відкриті торги (нові)</t>
        </is>
      </c>
      <c r="H105" t="inlineStr">
        <is>
          <t>ТОВ "КОРВЕТ"</t>
        </is>
      </c>
    </row>
    <row r="106">
      <c r="A106" s="4" t="inlineStr">
        <is>
          <t>UA-2025-10-10-004657-a</t>
        </is>
      </c>
      <c r="B106" t="inlineStr">
        <is>
          <t>2025-10-10</t>
        </is>
      </c>
      <c r="C106" t="inlineStr">
        <is>
          <t>ГУМАНІТАРНИЙ ВІДДІЛ КІВЕРЦІВСЬКОЇ МІСЬКОЇ РАДИ</t>
        </is>
      </c>
      <c r="D106" t="inlineStr">
        <is>
          <t>Волинська область</t>
        </is>
      </c>
      <c r="E106" t="inlineStr">
        <is>
          <t>Ноутбуки НУШ (30210000-4 - Машини для обробки даних (апаратна частина)</t>
        </is>
      </c>
      <c r="F106" s="13" t="n">
        <v>948290</v>
      </c>
      <c r="G106" t="inlineStr">
        <is>
          <t>Запит пропозицій</t>
        </is>
      </c>
      <c r="H106" t="inlineStr"/>
    </row>
    <row r="107">
      <c r="A107" s="4" t="inlineStr">
        <is>
          <t>UA-2025-11-11-007236-a</t>
        </is>
      </c>
      <c r="B107" t="inlineStr">
        <is>
          <t>2025-11-11</t>
        </is>
      </c>
      <c r="C107" t="inlineStr">
        <is>
          <t>Головне Управління Державної служби України з надзвичайних ситуацій у Волинській області</t>
        </is>
      </c>
      <c r="D107" t="inlineStr">
        <is>
          <t>Волинська область</t>
        </is>
      </c>
      <c r="E107" t="inlineStr">
        <is>
          <t>Ноутбуки (код за ДК 021:2015: 30210000-4 - Машини для обробки даних (апаратна ча</t>
        </is>
      </c>
      <c r="F107" s="13" t="n">
        <v>947100</v>
      </c>
      <c r="G107" t="inlineStr">
        <is>
          <t>Відкриті торги (нові)</t>
        </is>
      </c>
      <c r="H107" t="inlineStr">
        <is>
          <t>ТОВ "Технології для бізнесу"</t>
        </is>
      </c>
    </row>
    <row r="108">
      <c r="A108" s="4" t="inlineStr">
        <is>
          <t>UA-2026-08-21-012764-a</t>
        </is>
      </c>
      <c r="B108" t="inlineStr">
        <is>
          <t>2026-08-21</t>
        </is>
      </c>
      <c r="C108" t="inlineStr">
        <is>
          <t>ГУМАНІТАРНИЙ ВІДДІЛ ЗАТУРЦІВСЬКОЇ СІЛЬСЬКОЇ РАДИ</t>
        </is>
      </c>
      <c r="D108" t="inlineStr">
        <is>
          <t>Волинська область</t>
        </is>
      </c>
      <c r="E108" t="inlineStr">
        <is>
          <t>Персональний комп’ютер форм-фактора десктоп (Код ДК 021:2015 30210000-4 Машини д</t>
        </is>
      </c>
      <c r="F108" s="13" t="n">
        <v>825000</v>
      </c>
      <c r="G108" t="inlineStr">
        <is>
          <t>Відкриті торги (нові)</t>
        </is>
      </c>
      <c r="H108" t="inlineStr">
        <is>
          <t>ТОВ "СМАРТ ТЕХНОЛОГІЇ В ОСВІТІ"</t>
        </is>
      </c>
    </row>
    <row r="109">
      <c r="A109" s="4" t="inlineStr">
        <is>
          <t>UA-2026-08-07-011538-a</t>
        </is>
      </c>
      <c r="B109" t="inlineStr">
        <is>
          <t>2026-08-07</t>
        </is>
      </c>
      <c r="C109" t="inlineStr">
        <is>
          <t>КП "ВОЛИНСЬКА ОБЛАСНА ПСИХІАТРИЧНА ЛІКАРНЯ М.ЛУЦЬКА" ВОЛИНСЬКОЇ ОБЛАСНОЇ РАДИ</t>
        </is>
      </c>
      <c r="D109" t="inlineStr">
        <is>
          <t>Волинська область</t>
        </is>
      </c>
      <c r="E109" t="inlineStr">
        <is>
          <t>Комп'ютер в комплектації (ДК 021:2015:30213300-8-настільні комп'ютери (код ДК 02</t>
        </is>
      </c>
      <c r="F109" s="13" t="n">
        <v>788200</v>
      </c>
      <c r="G109" t="inlineStr">
        <is>
          <t>Відкриті торги (нові)</t>
        </is>
      </c>
      <c r="H109" t="inlineStr">
        <is>
          <t>ТОВ «ЮДІТРЕЙД»</t>
        </is>
      </c>
    </row>
    <row r="110">
      <c r="A110" s="4" t="inlineStr">
        <is>
          <t>UA-2026-07-30-006105-a</t>
        </is>
      </c>
      <c r="B110" t="inlineStr">
        <is>
          <t>2026-07-30</t>
        </is>
      </c>
      <c r="C110" t="inlineStr">
        <is>
          <t>КП "ВОЛИНСЬКА ОБЛАСНА ПСИХІАТРИЧНА ЛІКАРНЯ М.ЛУЦЬКА" ВОЛИНСЬКОЇ ОБЛАСНОЇ РАДИ</t>
        </is>
      </c>
      <c r="D110" t="inlineStr">
        <is>
          <t>Волинська область</t>
        </is>
      </c>
      <c r="E110" t="inlineStr">
        <is>
          <t>Комп'ютер в комплектації (ДК 021:2015:30213300-8-настільні комп'ютери (код ДК 02</t>
        </is>
      </c>
      <c r="F110" s="13" t="n">
        <v>788200</v>
      </c>
      <c r="G110" t="inlineStr">
        <is>
          <t>Відкриті торги (нові)</t>
        </is>
      </c>
      <c r="H110" t="inlineStr"/>
    </row>
    <row r="111">
      <c r="A111" s="4" t="inlineStr">
        <is>
          <t>UA-2026-03-12-005037-a</t>
        </is>
      </c>
      <c r="B111" t="inlineStr">
        <is>
          <t>2026-03-12</t>
        </is>
      </c>
      <c r="C111" t="inlineStr">
        <is>
          <t>КП "Медичне об'єднання Луцької міської територіальної громади"</t>
        </is>
      </c>
      <c r="D111" t="inlineStr">
        <is>
          <t>Волинська область</t>
        </is>
      </c>
      <c r="E111" t="inlineStr">
        <is>
          <t>код ДК021:2015 - 30210000-4: Машини для обробки даних (апаратна частина)</t>
        </is>
      </c>
      <c r="F111" s="13" t="n">
        <v>756000</v>
      </c>
      <c r="G111" t="inlineStr">
        <is>
          <t>Відкриті торги (нові)</t>
        </is>
      </c>
      <c r="H111" t="inlineStr"/>
    </row>
    <row r="112">
      <c r="A112" s="4" t="inlineStr">
        <is>
          <t>UA-2026-04-15-002998-a</t>
        </is>
      </c>
      <c r="B112" t="inlineStr">
        <is>
          <t>2026-04-15</t>
        </is>
      </c>
      <c r="C112" t="inlineStr">
        <is>
          <t>КП "Медичне об'єднання Луцької міської територіальної громади"</t>
        </is>
      </c>
      <c r="D112" t="inlineStr">
        <is>
          <t>Волинська область</t>
        </is>
      </c>
      <c r="E112" t="inlineStr">
        <is>
          <t>код ДК 021:2015 - 30210000-4: Машини для обробки даних (апаратна частина)</t>
        </is>
      </c>
      <c r="F112" s="13" t="n">
        <v>755580</v>
      </c>
      <c r="G112" t="inlineStr">
        <is>
          <t>Звіт про договір</t>
        </is>
      </c>
      <c r="H112" t="inlineStr">
        <is>
          <t>Полешко Валентина Володимирівна</t>
        </is>
      </c>
    </row>
    <row r="113">
      <c r="A113" s="4" t="inlineStr">
        <is>
          <t>UA-2026-03-18-007782-a</t>
        </is>
      </c>
      <c r="B113" t="inlineStr">
        <is>
          <t>2026-03-18</t>
        </is>
      </c>
      <c r="C113" t="inlineStr">
        <is>
          <t>Військова частина 9971</t>
        </is>
      </c>
      <c r="D113" t="inlineStr">
        <is>
          <t>Волинська область</t>
        </is>
      </c>
      <c r="E113" t="inlineStr">
        <is>
          <t>Планшет</t>
        </is>
      </c>
      <c r="F113" s="13" t="n">
        <v>720000</v>
      </c>
      <c r="G113" t="inlineStr">
        <is>
          <t>Відкриті торги (нові)</t>
        </is>
      </c>
      <c r="H113" t="inlineStr">
        <is>
          <t>ФОП "Павлюк Леся Миколаївна"</t>
        </is>
      </c>
    </row>
    <row r="114">
      <c r="A114" s="4" t="inlineStr">
        <is>
          <t>UA-2025-10-31-010467-a</t>
        </is>
      </c>
      <c r="B114" t="inlineStr">
        <is>
          <t>2025-10-31</t>
        </is>
      </c>
      <c r="C114" t="inlineStr">
        <is>
          <t>ГОЛОВНЕ УПРАВЛІННЯ ПЕНСІЙНОГО ФОНДУ УКРАЇНИ У ВОЛИНСЬКІЙ ОБЛАСТІ</t>
        </is>
      </c>
      <c r="D114" t="inlineStr">
        <is>
          <t>Волинська область</t>
        </is>
      </c>
      <c r="E114" t="inlineStr">
        <is>
          <t>Ноутбуки (діагональ екрану — не менше 17,0") (ДК 021:2015 — 30210000-4 Машини дл</t>
        </is>
      </c>
      <c r="F114" s="13" t="n">
        <v>680000</v>
      </c>
      <c r="G114" t="inlineStr">
        <is>
          <t>Відкриті торги (нові)</t>
        </is>
      </c>
      <c r="H114" t="inlineStr">
        <is>
          <t>ФОП ДАВИДЕНКО ПАВЛО АНДРІЙОВИЧ</t>
        </is>
      </c>
    </row>
    <row r="115">
      <c r="A115" s="4" t="inlineStr">
        <is>
          <t>UA-2026-05-11-003530-a</t>
        </is>
      </c>
      <c r="B115" t="inlineStr">
        <is>
          <t>2026-05-11</t>
        </is>
      </c>
      <c r="C115" t="inlineStr">
        <is>
          <t>Військова частина А 1008</t>
        </is>
      </c>
      <c r="D115" t="inlineStr">
        <is>
          <t>Волинська область</t>
        </is>
      </c>
      <c r="E115" t="inlineStr">
        <is>
          <t>Моноблок ASUS V440VAK-BPC1110 AiO / Core5 210H, 16, 512, WiFi, кл+м (90PT03X3-M0</t>
        </is>
      </c>
      <c r="F115" s="13" t="n">
        <v>659500</v>
      </c>
      <c r="G115" t="inlineStr">
        <is>
          <t>Допорогова</t>
        </is>
      </c>
      <c r="H115" t="inlineStr">
        <is>
          <t>ТОВ "НАДІЙНІ ІТ РІШЕННЯ"</t>
        </is>
      </c>
    </row>
    <row r="116">
      <c r="A116" s="4" t="inlineStr">
        <is>
          <t>UA-2026-05-08-003259-a</t>
        </is>
      </c>
      <c r="B116" t="inlineStr">
        <is>
          <t>2026-05-08</t>
        </is>
      </c>
      <c r="C116" t="inlineStr">
        <is>
          <t>ТОВ ВЕЗ</t>
        </is>
      </c>
      <c r="D116" t="inlineStr">
        <is>
          <t>Волинська область</t>
        </is>
      </c>
      <c r="E116" t="inlineStr">
        <is>
          <t>багатофункціональні пристрої (БФП)</t>
        </is>
      </c>
      <c r="F116" s="13" t="n">
        <v>650000</v>
      </c>
      <c r="G116" t="inlineStr">
        <is>
          <t>Відкриті торги (нові)</t>
        </is>
      </c>
      <c r="H116" t="inlineStr">
        <is>
          <t>ТОВ "ЄВРОФЕСТ"</t>
        </is>
      </c>
    </row>
    <row r="117">
      <c r="A117" s="4" t="inlineStr">
        <is>
          <t>UA-2025-11-12-006000-a</t>
        </is>
      </c>
      <c r="B117" t="inlineStr">
        <is>
          <t>2025-11-12</t>
        </is>
      </c>
      <c r="C117" t="inlineStr">
        <is>
          <t>ЛІЦЕЙ ІМЕНІ ОЛЕКСАНДРА ЦИНКАЛОВСЬКОГО ВОЛОДИМИРСЬКОЇ МІСЬКОЇ РАДИ</t>
        </is>
      </c>
      <c r="D117" t="inlineStr">
        <is>
          <t>Волинська область</t>
        </is>
      </c>
      <c r="E117" t="inlineStr">
        <is>
          <t>Графічні планшети</t>
        </is>
      </c>
      <c r="F117" s="13" t="n">
        <v>630000</v>
      </c>
      <c r="G117" t="inlineStr">
        <is>
          <t>Відкриті торги (нові)</t>
        </is>
      </c>
      <c r="H117" t="inlineStr"/>
    </row>
    <row r="118">
      <c r="A118" s="4" t="inlineStr">
        <is>
          <t>UA-2026-07-13-003096-a</t>
        </is>
      </c>
      <c r="B118" t="inlineStr">
        <is>
          <t>2026-07-13</t>
        </is>
      </c>
      <c r="C118" t="inlineStr">
        <is>
          <t>Гуманітарний відділ Цуманської селищної ради</t>
        </is>
      </c>
      <c r="D118" t="inlineStr">
        <is>
          <t>Волинська область</t>
        </is>
      </c>
      <c r="E118" t="inlineStr">
        <is>
          <t>30210000-4 — Машини для обробки даних</t>
        </is>
      </c>
      <c r="F118" s="13" t="n">
        <v>625000</v>
      </c>
      <c r="G118" t="inlineStr">
        <is>
          <t>Відкриті торги (нові)</t>
        </is>
      </c>
      <c r="H118" t="inlineStr">
        <is>
          <t>ТОВ "СМАРТ ТЕХНОЛОГІЇ В ОСВІТІ"</t>
        </is>
      </c>
    </row>
    <row r="119">
      <c r="A119" s="4" t="inlineStr">
        <is>
          <t>UA-2026-08-21-007523-a</t>
        </is>
      </c>
      <c r="B119" t="inlineStr">
        <is>
          <t>2026-08-21</t>
        </is>
      </c>
      <c r="C119" t="inlineStr">
        <is>
          <t>КОМУНАЛЬНИЙ ЗАКЛАД ЗАГАЛЬНОЇ СЕРЕДНЬОЇ ОСВІТИ "ГІРКОПОЛОНКІВСЬКИЙ ЛІЦЕЙ БОРАТИНСЬКОЇ СІЛЬСЬКОЇ РАДИ"</t>
        </is>
      </c>
      <c r="D119" t="inlineStr">
        <is>
          <t>Волинська область</t>
        </is>
      </c>
      <c r="E119" t="inlineStr">
        <is>
          <t>Персональний комп’ютер форм- фактора ноутбук</t>
        </is>
      </c>
      <c r="F119" s="13" t="n">
        <v>617750</v>
      </c>
      <c r="G119" t="inlineStr">
        <is>
          <t>Відкриті торги (нові)</t>
        </is>
      </c>
      <c r="H119" t="inlineStr"/>
    </row>
    <row r="120">
      <c r="A120" s="4" t="inlineStr">
        <is>
          <t>UA-2025-10-17-014263-a</t>
        </is>
      </c>
      <c r="B120" t="inlineStr">
        <is>
          <t>2025-10-17</t>
        </is>
      </c>
      <c r="C120" t="inlineStr">
        <is>
          <t>ЛІЦЕЙ ІМЕНІ ОЛЕКСАНДРА ЦИНКАЛОВСЬКОГО ВОЛОДИМИРСЬКОЇ МІСЬКОЇ РАДИ</t>
        </is>
      </c>
      <c r="D120" t="inlineStr">
        <is>
          <t>Волинська область</t>
        </is>
      </c>
      <c r="E120" t="inlineStr">
        <is>
          <t>Графічні планшети</t>
        </is>
      </c>
      <c r="F120" s="13" t="n">
        <v>615000</v>
      </c>
      <c r="G120" t="inlineStr">
        <is>
          <t>Відкриті торги (нові)</t>
        </is>
      </c>
      <c r="H120" t="inlineStr"/>
    </row>
    <row r="121">
      <c r="A121" s="4" t="inlineStr">
        <is>
          <t>UA-2026-07-10-003102-a</t>
        </is>
      </c>
      <c r="B121" t="inlineStr">
        <is>
          <t>2026-07-10</t>
        </is>
      </c>
      <c r="C121" t="inlineStr">
        <is>
          <t>Гуманітарний відділ Цуманської селищної ради</t>
        </is>
      </c>
      <c r="D121" t="inlineStr">
        <is>
          <t>Волинська область</t>
        </is>
      </c>
      <c r="E121" t="inlineStr">
        <is>
          <t>30210000-4 Машини для обробки даних</t>
        </is>
      </c>
      <c r="F121" s="13" t="n">
        <v>583333.33</v>
      </c>
      <c r="G121" t="inlineStr">
        <is>
          <t>Відкриті торги (нові)</t>
        </is>
      </c>
      <c r="H121" t="inlineStr">
        <is>
          <t>ТОВ "АЙВІКС ТЕХ"</t>
        </is>
      </c>
    </row>
    <row r="122">
      <c r="A122" s="4" t="inlineStr">
        <is>
          <t>UA-2025-10-17-013580-a</t>
        </is>
      </c>
      <c r="B122" t="inlineStr">
        <is>
          <t>2025-10-17</t>
        </is>
      </c>
      <c r="C122" t="inlineStr">
        <is>
          <t>ЛІЦЕЙ ІМЕНІ ОЛЕКСАНДРА ЦИНКАЛОВСЬКОГО ВОЛОДИМИРСЬКОЇ МІСЬКОЇ РАДИ</t>
        </is>
      </c>
      <c r="D122" t="inlineStr">
        <is>
          <t>Волинська область</t>
        </is>
      </c>
      <c r="E122" t="inlineStr">
        <is>
          <t>Моноблоки</t>
        </is>
      </c>
      <c r="F122" s="13" t="n">
        <v>576000</v>
      </c>
      <c r="G122" t="inlineStr">
        <is>
          <t>Відкриті торги (нові)</t>
        </is>
      </c>
      <c r="H122" t="inlineStr"/>
    </row>
    <row r="123">
      <c r="A123" s="4" t="inlineStr">
        <is>
          <t>UA-2026-08-26-004588-a</t>
        </is>
      </c>
      <c r="B123" t="inlineStr">
        <is>
          <t>2026-08-26</t>
        </is>
      </c>
      <c r="C123" t="inlineStr">
        <is>
          <t>Головне Управління Державної служби України з надзвичайних ситуацій у Волинській області</t>
        </is>
      </c>
      <c r="D123" t="inlineStr">
        <is>
          <t>Волинська область</t>
        </is>
      </c>
      <c r="E123" t="inlineStr">
        <is>
          <t>Моноблок (код ДК 021:2015: 30210000-4 - Машини для обробки даних (апаратна части</t>
        </is>
      </c>
      <c r="F123" s="13" t="n">
        <v>543575</v>
      </c>
      <c r="G123" t="inlineStr">
        <is>
          <t>Відкриті торги (нові)</t>
        </is>
      </c>
      <c r="H123" t="inlineStr"/>
    </row>
    <row r="124">
      <c r="A124" s="4" t="inlineStr">
        <is>
          <t>UA-2026-07-30-008160-a</t>
        </is>
      </c>
      <c r="B124" t="inlineStr">
        <is>
          <t>2026-07-30</t>
        </is>
      </c>
      <c r="C124" t="inlineStr">
        <is>
          <t>Головне Управління Державної служби України з надзвичайних ситуацій у Волинській області</t>
        </is>
      </c>
      <c r="D124" t="inlineStr">
        <is>
          <t>Волинська область</t>
        </is>
      </c>
      <c r="E124" t="inlineStr">
        <is>
          <t>«Моноблок (код ДК 021:2015: 30210000-4 - Машини для обробки даних (апаратна част</t>
        </is>
      </c>
      <c r="F124" s="13" t="n">
        <v>543575</v>
      </c>
      <c r="G124" t="inlineStr">
        <is>
          <t>Відкриті торги (нові)</t>
        </is>
      </c>
      <c r="H124" t="inlineStr"/>
    </row>
    <row r="125">
      <c r="A125" s="4" t="inlineStr">
        <is>
          <t>UA-2025-10-20-000713-a</t>
        </is>
      </c>
      <c r="B125" t="inlineStr">
        <is>
          <t>2025-10-20</t>
        </is>
      </c>
      <c r="C125" t="inlineStr">
        <is>
          <t>ЛІЦЕЙ ІМЕНІ ОЛЕКСАНДРА ЦИНКАЛОВСЬКОГО ВОЛОДИМИРСЬКОЇ МІСЬКОЇ РАДИ</t>
        </is>
      </c>
      <c r="D125" t="inlineStr">
        <is>
          <t>Волинська область</t>
        </is>
      </c>
      <c r="E125" t="inlineStr">
        <is>
          <t>3-Д принтер</t>
        </is>
      </c>
      <c r="F125" s="13" t="n">
        <v>540000</v>
      </c>
      <c r="G125" t="inlineStr">
        <is>
          <t>Відкриті торги (нові)</t>
        </is>
      </c>
      <c r="H125" t="inlineStr"/>
    </row>
    <row r="126">
      <c r="A126" s="4" t="inlineStr">
        <is>
          <t>UA-2025-10-10-006421-a</t>
        </is>
      </c>
      <c r="B126" t="inlineStr">
        <is>
          <t>2025-10-10</t>
        </is>
      </c>
      <c r="C126" t="inlineStr">
        <is>
          <t>ГОЛОВНЕ УПРАВЛІННЯ ПЕНСІЙНОГО ФОНДУ УКРАЇНИ У ВОЛИНСЬКІЙ ОБЛАСТІ</t>
        </is>
      </c>
      <c r="D126" t="inlineStr">
        <is>
          <t>Волинська область</t>
        </is>
      </c>
      <c r="E126" t="inlineStr">
        <is>
          <t>Ноутбуки (ДК 021:2015 — 30210000-4 Машини для обробки даних (апаратна частина))</t>
        </is>
      </c>
      <c r="F126" s="13" t="n">
        <v>510000</v>
      </c>
      <c r="G126" t="inlineStr">
        <is>
          <t>Відкриті торги (нові)</t>
        </is>
      </c>
      <c r="H126" t="inlineStr">
        <is>
          <t>ФОП Нодь Аліна Юріївна</t>
        </is>
      </c>
    </row>
    <row r="127">
      <c r="A127" s="4" t="inlineStr">
        <is>
          <t>UA-2025-09-26-009240-a</t>
        </is>
      </c>
      <c r="B127" t="inlineStr">
        <is>
          <t>2025-09-26</t>
        </is>
      </c>
      <c r="C127" t="inlineStr">
        <is>
          <t>Головне управління Національної поліції у Волинській області</t>
        </is>
      </c>
      <c r="D127" t="inlineStr">
        <is>
          <t>Волинська область</t>
        </is>
      </c>
      <c r="E127" t="inlineStr">
        <is>
          <t>Ноутбуки згідно коду ДК 021:2015: 30210000-4 – Машини для обробки даних (апаратн</t>
        </is>
      </c>
      <c r="F127" s="13" t="n">
        <v>499800</v>
      </c>
      <c r="G127" t="inlineStr">
        <is>
          <t>Запит пропозицій</t>
        </is>
      </c>
      <c r="H127" t="inlineStr">
        <is>
          <t>ФОП Кушнір Віктор Вікторович</t>
        </is>
      </c>
    </row>
    <row r="128">
      <c r="A128" s="4" t="inlineStr">
        <is>
          <t>UA-2026-05-18-013399-a</t>
        </is>
      </c>
      <c r="B128" t="inlineStr">
        <is>
          <t>2026-05-18</t>
        </is>
      </c>
      <c r="C128" t="inlineStr">
        <is>
          <t>Головне управління Національної поліції у Волинській області</t>
        </is>
      </c>
      <c r="D128" t="inlineStr">
        <is>
          <t>Волинська область</t>
        </is>
      </c>
      <c r="E128" t="inlineStr">
        <is>
          <t>Ноутбуки згідно коду ДК 021:2015: 30210000-4 – Машини для обробки даних (апаратн</t>
        </is>
      </c>
      <c r="F128" s="13" t="n">
        <v>499128</v>
      </c>
      <c r="G128" t="inlineStr">
        <is>
          <t>Запит пропозицій</t>
        </is>
      </c>
      <c r="H128" t="inlineStr">
        <is>
          <t>ТОВ «ПОРТАЛ АРЕНА»</t>
        </is>
      </c>
    </row>
    <row r="129">
      <c r="A129" s="4" t="inlineStr">
        <is>
          <t>UA-2025-12-02-017998-a</t>
        </is>
      </c>
      <c r="B129" t="inlineStr">
        <is>
          <t>2025-12-02</t>
        </is>
      </c>
      <c r="C129" t="inlineStr">
        <is>
          <t>ЛІЦЕЙ ІМЕНІ ОЛЕКСАНДРА ЦИНКАЛОВСЬКОГО ВОЛОДИМИРСЬКОЇ МІСЬКОЇ РАДИ</t>
        </is>
      </c>
      <c r="D129" t="inlineStr">
        <is>
          <t>Волинська область</t>
        </is>
      </c>
      <c r="E129" t="inlineStr">
        <is>
          <t>Ноутбук</t>
        </is>
      </c>
      <c r="F129" s="13" t="n">
        <v>498205</v>
      </c>
      <c r="G129" t="inlineStr">
        <is>
          <t>Відкриті торги (нові)</t>
        </is>
      </c>
      <c r="H129" t="inlineStr">
        <is>
          <t>ТОВ "ПОДІЛЛЯ ФІНАНС"</t>
        </is>
      </c>
    </row>
    <row r="130">
      <c r="A130" s="4" t="inlineStr">
        <is>
          <t>UA-2025-11-28-015437-a</t>
        </is>
      </c>
      <c r="B130" t="inlineStr">
        <is>
          <t>2025-11-28</t>
        </is>
      </c>
      <c r="C130" t="inlineStr">
        <is>
          <t>Луцький національний технічний університет</t>
        </is>
      </c>
      <c r="D130" t="inlineStr">
        <is>
          <t>Волинська область</t>
        </is>
      </c>
      <c r="E130" t="inlineStr">
        <is>
          <t>Комп’ютерне обладнання</t>
        </is>
      </c>
      <c r="F130" s="13" t="n">
        <v>496364</v>
      </c>
      <c r="G130" t="inlineStr">
        <is>
          <t>Відкриті торги (нові)</t>
        </is>
      </c>
      <c r="H130" t="inlineStr">
        <is>
          <t>ФОП Нодь Каріна Юріївна</t>
        </is>
      </c>
    </row>
    <row r="131">
      <c r="A131" s="4" t="inlineStr">
        <is>
          <t>UA-2025-11-11-014458-a</t>
        </is>
      </c>
      <c r="B131" t="inlineStr">
        <is>
          <t>2025-11-11</t>
        </is>
      </c>
      <c r="C131" t="inlineStr">
        <is>
          <t>ЛІЦЕЙ ІМЕНІ ОЛЕКСАНДРА ЦИНКАЛОВСЬКОГО ВОЛОДИМИРСЬКОЇ МІСЬКОЇ РАДИ</t>
        </is>
      </c>
      <c r="D131" t="inlineStr">
        <is>
          <t>Волинська область</t>
        </is>
      </c>
      <c r="E131" t="inlineStr">
        <is>
          <t>Моноблок 23.8", Intel Core i5 13-покоління, 16 Гб, 512 Гб, Wi-Fi, W11P</t>
        </is>
      </c>
      <c r="F131" s="13" t="n">
        <v>496000</v>
      </c>
      <c r="G131" t="inlineStr">
        <is>
          <t>Запит пропозицій</t>
        </is>
      </c>
      <c r="H131" t="inlineStr"/>
    </row>
    <row r="132">
      <c r="A132" s="4" t="inlineStr">
        <is>
          <t>UA-2026-08-25-009955-a</t>
        </is>
      </c>
      <c r="B132" t="inlineStr">
        <is>
          <t>2026-08-25</t>
        </is>
      </c>
      <c r="C132" t="inlineStr">
        <is>
          <t>Головне управління Національної поліції у Волинській області</t>
        </is>
      </c>
      <c r="D132" t="inlineStr">
        <is>
          <t>Волинська область</t>
        </is>
      </c>
      <c r="E132" t="inlineStr">
        <is>
          <t>Апаратно-програмний комплекс на базі персонального комп’ютера (у складі: системн</t>
        </is>
      </c>
      <c r="F132" s="13" t="n">
        <v>495383</v>
      </c>
      <c r="G132" t="inlineStr">
        <is>
          <t>Відкриті торги (нові)</t>
        </is>
      </c>
      <c r="H132" t="inlineStr"/>
    </row>
    <row r="133">
      <c r="A133" s="4" t="inlineStr">
        <is>
          <t>UA-2025-11-18-010645-a</t>
        </is>
      </c>
      <c r="B133" t="inlineStr">
        <is>
          <t>2025-11-18</t>
        </is>
      </c>
      <c r="C133" t="inlineStr">
        <is>
          <t>Луцький національний технічний університет</t>
        </is>
      </c>
      <c r="D133" t="inlineStr">
        <is>
          <t>Волинська область</t>
        </is>
      </c>
      <c r="E133" t="inlineStr">
        <is>
          <t>Машини для обробки даних (апаратна частина)</t>
        </is>
      </c>
      <c r="F133" s="13" t="n">
        <v>493920</v>
      </c>
      <c r="G133" t="inlineStr">
        <is>
          <t>Запит пропозицій</t>
        </is>
      </c>
      <c r="H133" t="inlineStr">
        <is>
          <t>ТОВ "ТІНОС-Д"</t>
        </is>
      </c>
    </row>
    <row r="134">
      <c r="A134" s="4" t="inlineStr">
        <is>
          <t>UA-2025-10-24-015870-a</t>
        </is>
      </c>
      <c r="B134" t="inlineStr">
        <is>
          <t>2025-10-24</t>
        </is>
      </c>
      <c r="C134" t="inlineStr">
        <is>
          <t>Комунальний заклад загальної середньої освіти "Луцький ліцей № 1 Луцької міської ради"</t>
        </is>
      </c>
      <c r="D134" t="inlineStr">
        <is>
          <t>Волинська область</t>
        </is>
      </c>
      <c r="E134" t="inlineStr">
        <is>
          <t>Машини для обробки даних (апаратна частина)</t>
        </is>
      </c>
      <c r="F134" s="13" t="n">
        <v>490000</v>
      </c>
      <c r="G134" t="inlineStr">
        <is>
          <t>Запит пропозицій</t>
        </is>
      </c>
      <c r="H134" t="inlineStr">
        <is>
          <t>ТОВ "ДИДАКТИКЛАБ"</t>
        </is>
      </c>
    </row>
    <row r="135">
      <c r="A135" s="4" t="inlineStr">
        <is>
          <t>UA-2025-10-17-011018-a</t>
        </is>
      </c>
      <c r="B135" t="inlineStr">
        <is>
          <t>2025-10-17</t>
        </is>
      </c>
      <c r="C135" t="inlineStr">
        <is>
          <t>Військова частина А 0959</t>
        </is>
      </c>
      <c r="D135" t="inlineStr">
        <is>
          <t>Волинська область</t>
        </is>
      </c>
      <c r="E135" t="inlineStr">
        <is>
          <t>Ноутбуки</t>
        </is>
      </c>
      <c r="F135" s="13" t="n">
        <v>486617</v>
      </c>
      <c r="G135" t="inlineStr">
        <is>
          <t>Допорогова</t>
        </is>
      </c>
      <c r="H135" t="inlineStr"/>
    </row>
    <row r="136">
      <c r="A136" s="4" t="inlineStr">
        <is>
          <t>UA-2025-11-28-003773-a</t>
        </is>
      </c>
      <c r="B136" t="inlineStr">
        <is>
          <t>2025-11-28</t>
        </is>
      </c>
      <c r="C136" t="inlineStr">
        <is>
          <t>ВОЛИНСЬКА ОБЛАСНА ПРОКУРАТУРА</t>
        </is>
      </c>
      <c r="D136" t="inlineStr">
        <is>
          <t>Волинська область</t>
        </is>
      </c>
      <c r="E136" t="inlineStr">
        <is>
          <t>Системні блоки за кодом ДК 021:2015-30210000-4 - Машини для обробки даних (апара</t>
        </is>
      </c>
      <c r="F136" s="13" t="n">
        <v>486000</v>
      </c>
      <c r="G136" t="inlineStr">
        <is>
          <t>Запит пропозицій</t>
        </is>
      </c>
      <c r="H136" t="inlineStr">
        <is>
          <t>ФОП ДОБРОХАНСЬКИЙ КОСТЯНТИН ЮРІЙОВИЧ</t>
        </is>
      </c>
    </row>
    <row r="137">
      <c r="A137" s="4" t="inlineStr">
        <is>
          <t>UA-2026-06-30-012911-a</t>
        </is>
      </c>
      <c r="B137" t="inlineStr">
        <is>
          <t>2026-06-30</t>
        </is>
      </c>
      <c r="C137" t="inlineStr">
        <is>
          <t>ГОЛОВНЕ УПРАВЛІННЯ ПЕНСІЙНОГО ФОНДУ УКРАЇНИ У ВОЛИНСЬКІЙ ОБЛАСТІ</t>
        </is>
      </c>
      <c r="D137" t="inlineStr">
        <is>
          <t>Волинська область</t>
        </is>
      </c>
      <c r="E137" t="inlineStr">
        <is>
          <t>Лазерні принтери (ДК 021:2015 — 30230000-0 Комп’ютерне обладнання)</t>
        </is>
      </c>
      <c r="F137" s="13" t="n">
        <v>480000</v>
      </c>
      <c r="G137" t="inlineStr">
        <is>
          <t>Відкриті торги (нові)</t>
        </is>
      </c>
      <c r="H137" t="inlineStr">
        <is>
          <t>ФОП "ВАЙДА ГАВРИЛО ІВАНОВИЧ"</t>
        </is>
      </c>
    </row>
    <row r="138">
      <c r="A138" s="4" t="inlineStr">
        <is>
          <t>UA-2025-10-07-013647-a</t>
        </is>
      </c>
      <c r="B138" t="inlineStr">
        <is>
          <t>2025-10-07</t>
        </is>
      </c>
      <c r="C138" t="inlineStr">
        <is>
          <t>ГОЛОВНЕ УПРАВЛІННЯ ПЕНСІЙНОГО ФОНДУ УКРАЇНИ У ВОЛИНСЬКІЙ ОБЛАСТІ</t>
        </is>
      </c>
      <c r="D138" t="inlineStr">
        <is>
          <t>Волинська область</t>
        </is>
      </c>
      <c r="E138" t="inlineStr">
        <is>
          <t>Лазерні принтери (ДК 021:2015 – 30230000-0 – «Комп’ютерне обладнання»)</t>
        </is>
      </c>
      <c r="F138" s="13" t="n">
        <v>480000</v>
      </c>
      <c r="G138" t="inlineStr">
        <is>
          <t>Відкриті торги (нові)</t>
        </is>
      </c>
      <c r="H138" t="inlineStr">
        <is>
          <t>ФОП Нодь Аліна Юріївна</t>
        </is>
      </c>
    </row>
    <row r="139">
      <c r="A139" s="4" t="inlineStr">
        <is>
          <t>UA-2025-09-09-013711-a</t>
        </is>
      </c>
      <c r="B139" t="inlineStr">
        <is>
          <t>2025-09-09</t>
        </is>
      </c>
      <c r="C139" t="inlineStr">
        <is>
          <t>Управління поліції охорони у Волинській області</t>
        </is>
      </c>
      <c r="D139" t="inlineStr">
        <is>
          <t>Волинська область</t>
        </is>
      </c>
      <c r="E139" t="inlineStr">
        <is>
          <t>ДК 021: 2015: 30210000-4 - Машини для обробки даних (апаратна частина) (моноблок</t>
        </is>
      </c>
      <c r="F139" s="13" t="n">
        <v>467000</v>
      </c>
      <c r="G139" t="inlineStr">
        <is>
          <t>Запит пропозицій</t>
        </is>
      </c>
      <c r="H139" t="inlineStr">
        <is>
          <t>ТОВ «ПБГ19»</t>
        </is>
      </c>
    </row>
    <row r="140">
      <c r="A140" s="4" t="inlineStr">
        <is>
          <t>UA-2026-07-27-008910-a</t>
        </is>
      </c>
      <c r="B140" t="inlineStr">
        <is>
          <t>2026-07-27</t>
        </is>
      </c>
      <c r="C140" t="inlineStr">
        <is>
          <t>КП "МЕДИЧНИЙ ЦЕНТР РЕАБІЛІТАЦІЇ УЧАСНИКІВ БОЙОВИХ ДІЙ ЛУЦЬКОЇ МІСЬКОЇ ТЕРИТОРІАЛЬНОЇ ГРОМАДИ"</t>
        </is>
      </c>
      <c r="D140" t="inlineStr">
        <is>
          <t>Волинська область</t>
        </is>
      </c>
      <c r="E140" t="inlineStr">
        <is>
          <t>Мережевий комп’ютер-сховище (NAS), Ноутбук з екраном 17,3 дюйми, Графічний планш</t>
        </is>
      </c>
      <c r="F140" s="13" t="n">
        <v>462833.33</v>
      </c>
      <c r="G140" t="inlineStr">
        <is>
          <t>Відкриті торги (нові)</t>
        </is>
      </c>
      <c r="H140" t="inlineStr"/>
    </row>
    <row r="141">
      <c r="A141" s="4" t="inlineStr">
        <is>
          <t>UA-2026-04-28-011396-a</t>
        </is>
      </c>
      <c r="B141" t="inlineStr">
        <is>
          <t>2026-04-28</t>
        </is>
      </c>
      <c r="C141" t="inlineStr">
        <is>
          <t>Військова частина А 1008</t>
        </is>
      </c>
      <c r="D141" t="inlineStr">
        <is>
          <t>Волинська область</t>
        </is>
      </c>
      <c r="E141" t="inlineStr">
        <is>
          <t>ноутбук Lenovo IdeaPad Slim 3 15IAH8 (83ER00MERA) Arctic Grey/ Win11Pro (з сумко</t>
        </is>
      </c>
      <c r="F141" s="13" t="n">
        <v>459000</v>
      </c>
      <c r="G141" t="inlineStr">
        <is>
          <t>Допорогова</t>
        </is>
      </c>
      <c r="H141" t="inlineStr"/>
    </row>
    <row r="142">
      <c r="A142" s="4" t="inlineStr">
        <is>
          <t>UA-2026-06-25-006594-a</t>
        </is>
      </c>
      <c r="B142" t="inlineStr">
        <is>
          <t>2026-06-25</t>
        </is>
      </c>
      <c r="C142" t="inlineStr">
        <is>
          <t>КП "МЕДИЧНИЙ ЦЕНТР РЕАБІЛІТАЦІЇ УЧАСНИКІВ БОЙОВИХ ДІЙ ЛУЦЬКОЇ МІСЬКОЇ ТЕРИТОРІАЛЬНОЇ ГРОМАДИ"</t>
        </is>
      </c>
      <c r="D142" t="inlineStr">
        <is>
          <t>Волинська область</t>
        </is>
      </c>
      <c r="E142" t="inlineStr">
        <is>
          <t>Мережевий комп’ютер-сховище (NAS), Ноутбук з екраном 17,3 дюйми, Графічний планш</t>
        </is>
      </c>
      <c r="F142" s="13" t="n">
        <v>447440.15</v>
      </c>
      <c r="G142" t="inlineStr">
        <is>
          <t>Відкриті торги (нові)</t>
        </is>
      </c>
      <c r="H142" t="inlineStr"/>
    </row>
    <row r="143">
      <c r="A143" s="4" t="inlineStr">
        <is>
          <t>UA-2026-06-15-011183-a</t>
        </is>
      </c>
      <c r="B143" t="inlineStr">
        <is>
          <t>2026-06-15</t>
        </is>
      </c>
      <c r="C143" t="inlineStr">
        <is>
          <t>КП "МЕДИЧНИЙ ЦЕНТР РЕАБІЛІТАЦІЇ УЧАСНИКІВ БОЙОВИХ ДІЙ ЛУЦЬКОЇ МІСЬКОЇ ТЕРИТОРІАЛЬНОЇ ГРОМАДИ"</t>
        </is>
      </c>
      <c r="D143" t="inlineStr">
        <is>
          <t>Волинська область</t>
        </is>
      </c>
      <c r="E143" t="inlineStr">
        <is>
          <t>Мережевий комп’ютер-сховище (NAS), Ноутбук з екраном 17,3 дюйми, Графічний планш</t>
        </is>
      </c>
      <c r="F143" s="13" t="n">
        <v>447440.15</v>
      </c>
      <c r="G143" t="inlineStr">
        <is>
          <t>Відкриті торги (нові)</t>
        </is>
      </c>
      <c r="H143" t="inlineStr"/>
    </row>
    <row r="144">
      <c r="A144" s="4" t="inlineStr">
        <is>
          <t>UA-2025-11-10-014743-a</t>
        </is>
      </c>
      <c r="B144" t="inlineStr">
        <is>
          <t>2025-11-10</t>
        </is>
      </c>
      <c r="C144" t="inlineStr">
        <is>
          <t>Військова частина А 0959</t>
        </is>
      </c>
      <c r="D144" t="inlineStr">
        <is>
          <t>Волинська область</t>
        </is>
      </c>
      <c r="E144" t="inlineStr">
        <is>
          <t>Ноутбуки</t>
        </is>
      </c>
      <c r="F144" s="13" t="n">
        <v>447168</v>
      </c>
      <c r="G144" t="inlineStr">
        <is>
          <t>Допорогова</t>
        </is>
      </c>
      <c r="H144" t="inlineStr">
        <is>
          <t>ТОВ "КСА 7"</t>
        </is>
      </c>
    </row>
    <row r="145">
      <c r="A145" s="4" t="inlineStr">
        <is>
          <t>UA-2026-04-22-001077-a</t>
        </is>
      </c>
      <c r="B145" t="inlineStr">
        <is>
          <t>2026-04-22</t>
        </is>
      </c>
      <c r="C145" t="inlineStr">
        <is>
          <t>КП «ВОЛИНСЬКЕ ОБЛАСНЕ ТЕРИТОРІАЛЬНЕ МЕДИЧНЕ ОБ’ЄДНАНННЯ ЗАХИСТУ МАТЕРИНСТВА І ДИТИНСТВА» ВОЛИНСЬКОЇ ОБЛАСНОЇ РАДИ</t>
        </is>
      </c>
      <c r="D145" t="inlineStr">
        <is>
          <t>Волинська область</t>
        </is>
      </c>
      <c r="E145" t="inlineStr">
        <is>
          <t>БФП Canon i-SENSYS MF461dw з Wi-Fi (5951C020).</t>
        </is>
      </c>
      <c r="F145" s="13" t="n">
        <v>443383.25</v>
      </c>
      <c r="G145" t="inlineStr">
        <is>
          <t>Запит пропозицій</t>
        </is>
      </c>
      <c r="H145" t="inlineStr">
        <is>
          <t>ТОВ «ПОРТАЛ АРЕНА»</t>
        </is>
      </c>
    </row>
    <row r="146">
      <c r="A146" s="4" t="inlineStr">
        <is>
          <t>UA-2025-11-15-000640-a</t>
        </is>
      </c>
      <c r="B146" t="inlineStr">
        <is>
          <t>2025-11-15</t>
        </is>
      </c>
      <c r="C146" t="inlineStr">
        <is>
          <t>Луцький національний технічний університет</t>
        </is>
      </c>
      <c r="D146" t="inlineStr">
        <is>
          <t>Волинська область</t>
        </is>
      </c>
      <c r="E146" t="inlineStr">
        <is>
          <t>Машини для обробки даних (апаратна частина)</t>
        </is>
      </c>
      <c r="F146" s="13" t="n">
        <v>436651.8</v>
      </c>
      <c r="G146" t="inlineStr">
        <is>
          <t>Запит пропозицій</t>
        </is>
      </c>
      <c r="H146" t="inlineStr">
        <is>
          <t>ТОВ "ТІНОС-Д"</t>
        </is>
      </c>
    </row>
    <row r="147">
      <c r="A147" s="4" t="inlineStr">
        <is>
          <t>UA-2026-05-11-003657-a</t>
        </is>
      </c>
      <c r="B147" t="inlineStr">
        <is>
          <t>2026-05-11</t>
        </is>
      </c>
      <c r="C147" t="inlineStr">
        <is>
          <t>Військова частина А 1008</t>
        </is>
      </c>
      <c r="D147" t="inlineStr">
        <is>
          <t>Волинська область</t>
        </is>
      </c>
      <c r="E147" t="inlineStr">
        <is>
          <t>Ноутбук Lenovo V15 G5 IRL Business Black / Win11Pro (з сумкою та безпровідною ми</t>
        </is>
      </c>
      <c r="F147" s="13" t="n">
        <v>434500</v>
      </c>
      <c r="G147" t="inlineStr">
        <is>
          <t>Допорогова</t>
        </is>
      </c>
      <c r="H147" t="inlineStr">
        <is>
          <t>ТОВ "НАДІЙНІ ІТ РІШЕННЯ"</t>
        </is>
      </c>
    </row>
    <row r="148">
      <c r="A148" s="4" t="inlineStr">
        <is>
          <t>UA-2025-11-14-015599-a</t>
        </is>
      </c>
      <c r="B148" t="inlineStr">
        <is>
          <t>2025-11-14</t>
        </is>
      </c>
      <c r="C148" t="inlineStr">
        <is>
          <t>ВІДОКРЕМЛЕНИЙ СТРУКТУРНИЙ ПІДРОЗДІЛ "ВОЛИНСЬКИЙ ФАХОВИЙ КОЛЕДЖ НАЦІОНАЛЬНОГО УНІВЕРСИТЕТУ ХАРЧОВИХ ТЕХНОЛОГІЙ"</t>
        </is>
      </c>
      <c r="D148" t="inlineStr">
        <is>
          <t>Волинська область</t>
        </is>
      </c>
      <c r="E148" t="inlineStr">
        <is>
          <t>Персональний комп'ютер із операційною системою</t>
        </is>
      </c>
      <c r="F148" s="13" t="n">
        <v>425664</v>
      </c>
      <c r="G148" t="inlineStr">
        <is>
          <t>Запит пропозицій</t>
        </is>
      </c>
      <c r="H148" t="inlineStr">
        <is>
          <t>ТОВ "ДІСТРІ ІНВАЙТ ІТ"</t>
        </is>
      </c>
    </row>
    <row r="149">
      <c r="A149" s="4" t="inlineStr">
        <is>
          <t>UA-2026-08-12-008593-a</t>
        </is>
      </c>
      <c r="B149" t="inlineStr">
        <is>
          <t>2026-08-12</t>
        </is>
      </c>
      <c r="C149" t="inlineStr">
        <is>
          <t>КНП "ЦЕНТР ПЕРВИННОЇ МЕДИЧНОЇ ДОПОМОГИ ЛУЦЬКОЇ МІСЬКОЇ ТЕРИТОРІАЛЬНОЇ ГРОМАДИ"</t>
        </is>
      </c>
      <c r="D149" t="inlineStr">
        <is>
          <t>Волинська область</t>
        </is>
      </c>
      <c r="E149" t="inlineStr">
        <is>
          <t>код ДК021:2015:30210000-4 Машини для обробки даних (апаратна частина) (НОУТБУКИ)</t>
        </is>
      </c>
      <c r="F149" s="13" t="n">
        <v>412500</v>
      </c>
      <c r="G149" t="inlineStr">
        <is>
          <t>Запит пропозицій</t>
        </is>
      </c>
      <c r="H149" t="inlineStr">
        <is>
          <t>ФОП "Сергєєва Олена Дмитрівна"</t>
        </is>
      </c>
    </row>
    <row r="150">
      <c r="A150" s="4" t="inlineStr">
        <is>
          <t>UA-2026-07-09-009318-a</t>
        </is>
      </c>
      <c r="B150" t="inlineStr">
        <is>
          <t>2026-07-09</t>
        </is>
      </c>
      <c r="C150" t="inlineStr">
        <is>
          <t>Головне управління Національної поліції у Волинській області</t>
        </is>
      </c>
      <c r="D150" t="inlineStr">
        <is>
          <t>Волинська область</t>
        </is>
      </c>
      <c r="E150" t="inlineStr">
        <is>
          <t>Ноутбуки згідно коду ДК 021:2015: 30210000-4 – Машини для обробки даних (апаратн</t>
        </is>
      </c>
      <c r="F150" s="13" t="n">
        <v>411666.67</v>
      </c>
      <c r="G150" t="inlineStr">
        <is>
          <t>Запит пропозицій</t>
        </is>
      </c>
      <c r="H150" t="inlineStr">
        <is>
          <t>ТОВ «ПОРТАЛ АРЕНА»</t>
        </is>
      </c>
    </row>
    <row r="151">
      <c r="A151" s="4" t="inlineStr">
        <is>
          <t>UA-2025-09-12-006819-a</t>
        </is>
      </c>
      <c r="B151" t="inlineStr">
        <is>
          <t>2025-09-12</t>
        </is>
      </c>
      <c r="C151" t="inlineStr">
        <is>
          <t>КНП "КОВЕЛЬСЬКИЙ ЦЕНТР ПЕРВИННОЇ МЕДИКО-САНІТАРНОЇ ДОПОМОГИ" КОВЕЛЬСЬКОЇ МІСЬКОЇ РАДИ ВОЛИНСЬКОЇ ОБЛАСТІ</t>
        </is>
      </c>
      <c r="D151" t="inlineStr">
        <is>
          <t>Волинська область</t>
        </is>
      </c>
      <c r="E151" t="inlineStr">
        <is>
          <t>Комп’ютер (Системний блок) (ДК 021:2015: 30210000-4 — Машини для обробки даних (</t>
        </is>
      </c>
      <c r="F151" s="13" t="n">
        <v>408625</v>
      </c>
      <c r="G151" t="inlineStr">
        <is>
          <t>Відкриті торги (нові)</t>
        </is>
      </c>
      <c r="H151" t="inlineStr">
        <is>
          <t>ФОП Тарасов Олександр Олегович</t>
        </is>
      </c>
    </row>
    <row r="152">
      <c r="A152" s="4" t="inlineStr">
        <is>
          <t>UA-2026-05-14-008402-a</t>
        </is>
      </c>
      <c r="B152" t="inlineStr">
        <is>
          <t>2026-05-14</t>
        </is>
      </c>
      <c r="C152" t="inlineStr">
        <is>
          <t>Виконавчий комітет Луцької міської ради</t>
        </is>
      </c>
      <c r="D152" t="inlineStr">
        <is>
          <t>Волинська область</t>
        </is>
      </c>
      <c r="E152" t="inlineStr">
        <is>
          <t>Ноутбуки</t>
        </is>
      </c>
      <c r="F152" s="13" t="n">
        <v>400000</v>
      </c>
      <c r="G152" t="inlineStr">
        <is>
          <t>Запит пропозицій</t>
        </is>
      </c>
      <c r="H152" t="inlineStr"/>
    </row>
    <row r="153">
      <c r="A153" s="4" t="inlineStr">
        <is>
          <t>UA-2025-11-17-012681-a</t>
        </is>
      </c>
      <c r="B153" t="inlineStr">
        <is>
          <t>2025-11-17</t>
        </is>
      </c>
      <c r="C153" t="inlineStr">
        <is>
          <t>Виконавчий комітет Луцької міської ради</t>
        </is>
      </c>
      <c r="D153" t="inlineStr">
        <is>
          <t>Волинська область</t>
        </is>
      </c>
      <c r="E153" t="inlineStr">
        <is>
          <t>Планшет Lenovo Tab M11 8/128 LTE Luna Grey + Pen (ZADB0317UA)</t>
        </is>
      </c>
      <c r="F153" s="13" t="n">
        <v>400000</v>
      </c>
      <c r="G153" t="inlineStr">
        <is>
          <t>Запит пропозицій</t>
        </is>
      </c>
      <c r="H153" t="inlineStr">
        <is>
          <t>ТОВ "ВЕСКО ІНВЕСТ"</t>
        </is>
      </c>
    </row>
    <row r="154">
      <c r="A154" s="4" t="inlineStr">
        <is>
          <t>UA-2025-11-12-014817-a</t>
        </is>
      </c>
      <c r="B154" t="inlineStr">
        <is>
          <t>2025-11-12</t>
        </is>
      </c>
      <c r="C154" t="inlineStr">
        <is>
          <t>ВОЛИНСЬКА ОБЛАСНА ПРОКУРАТУРА</t>
        </is>
      </c>
      <c r="D154" t="inlineStr">
        <is>
          <t>Волинська область</t>
        </is>
      </c>
      <c r="E154" t="inlineStr">
        <is>
          <t>Системні блоки за кодом ДК 021:2015-30210000-4 - Машини для обробки даних (апара</t>
        </is>
      </c>
      <c r="F154" s="13" t="n">
        <v>399980</v>
      </c>
      <c r="G154" t="inlineStr">
        <is>
          <t>Запит пропозицій</t>
        </is>
      </c>
      <c r="H154" t="inlineStr"/>
    </row>
    <row r="155">
      <c r="A155" s="4" t="inlineStr">
        <is>
          <t>UA-2025-10-29-011635-a</t>
        </is>
      </c>
      <c r="B155" t="inlineStr">
        <is>
          <t>2025-10-29</t>
        </is>
      </c>
      <c r="C155" t="inlineStr">
        <is>
          <t>СТАРОВИЖІВСЬКА СЕЛИЩНА РАДА</t>
        </is>
      </c>
      <c r="D155" t="inlineStr">
        <is>
          <t>Волинська область</t>
        </is>
      </c>
      <c r="E155" t="inlineStr">
        <is>
          <t>Ноутбуки НУШ</t>
        </is>
      </c>
      <c r="F155" s="13" t="n">
        <v>390000</v>
      </c>
      <c r="G155" t="inlineStr">
        <is>
          <t>Запит пропозицій</t>
        </is>
      </c>
      <c r="H155" t="inlineStr">
        <is>
          <t>ТОВ "ДИДАКТИКЛАБ"</t>
        </is>
      </c>
    </row>
    <row r="156">
      <c r="A156" s="4" t="inlineStr">
        <is>
          <t>UA-2025-10-01-004593-a</t>
        </is>
      </c>
      <c r="B156" t="inlineStr">
        <is>
          <t>2025-10-01</t>
        </is>
      </c>
      <c r="C156" t="inlineStr">
        <is>
          <t>НОВОВОЛИНСЬКИЙ ЛІЦЕЙ №6 НОВОВОЛИНСЬКОЇ МІСЬКОЇ РАДИ ВОЛИНСЬКОЇ ОБЛАСТІ</t>
        </is>
      </c>
      <c r="D156" t="inlineStr">
        <is>
          <t>Волинська область</t>
        </is>
      </c>
      <c r="E156" t="inlineStr">
        <is>
          <t>Машини для обробки даних (апаратна частина)</t>
        </is>
      </c>
      <c r="F156" s="13" t="n">
        <v>385534</v>
      </c>
      <c r="G156" t="inlineStr">
        <is>
          <t>Запит пропозицій</t>
        </is>
      </c>
      <c r="H156" t="inlineStr"/>
    </row>
    <row r="157">
      <c r="A157" s="4" t="inlineStr">
        <is>
          <t>UA-2025-09-30-007363-a</t>
        </is>
      </c>
      <c r="B157" t="inlineStr">
        <is>
          <t>2025-09-30</t>
        </is>
      </c>
      <c r="C157" t="inlineStr">
        <is>
          <t>НОВОВОЛИНСЬКИЙ ЛІЦЕЙ №6 НОВОВОЛИНСЬКОЇ МІСЬКОЇ РАДИ ВОЛИНСЬКОЇ ОБЛАСТІ</t>
        </is>
      </c>
      <c r="D157" t="inlineStr">
        <is>
          <t>Волинська область</t>
        </is>
      </c>
      <c r="E157" t="inlineStr">
        <is>
          <t>Машини для обробки даних (апаратна частина)</t>
        </is>
      </c>
      <c r="F157" s="13" t="n">
        <v>385534</v>
      </c>
      <c r="G157" t="inlineStr">
        <is>
          <t>Запит пропозицій</t>
        </is>
      </c>
      <c r="H157" t="inlineStr"/>
    </row>
    <row r="158">
      <c r="A158" s="4" t="inlineStr">
        <is>
          <t>UA-2026-03-04-009176-a</t>
        </is>
      </c>
      <c r="B158" t="inlineStr">
        <is>
          <t>2026-03-04</t>
        </is>
      </c>
      <c r="C158" t="inlineStr">
        <is>
          <t>Військова частина 9971</t>
        </is>
      </c>
      <c r="D158" t="inlineStr">
        <is>
          <t>Волинська область</t>
        </is>
      </c>
      <c r="E158" t="inlineStr">
        <is>
          <t>Ноутбук</t>
        </is>
      </c>
      <c r="F158" s="13" t="n">
        <v>382770</v>
      </c>
      <c r="G158" t="inlineStr">
        <is>
          <t>Відкриті торги (нові)</t>
        </is>
      </c>
      <c r="H158" t="inlineStr">
        <is>
          <t>ТОВ "МАКСИМВІСІМ"</t>
        </is>
      </c>
    </row>
    <row r="159">
      <c r="A159" s="4" t="inlineStr">
        <is>
          <t>UA-2026-04-25-000062-a</t>
        </is>
      </c>
      <c r="B159" t="inlineStr">
        <is>
          <t>2026-04-25</t>
        </is>
      </c>
      <c r="C159" t="inlineStr">
        <is>
          <t>Військова частина А 1008</t>
        </is>
      </c>
      <c r="D159" t="inlineStr">
        <is>
          <t>Волинська область</t>
        </is>
      </c>
      <c r="E159" t="inlineStr">
        <is>
          <t>ноутбук Lenovo IdeaPad Slim 3 15IAH8 (83ER00MERA) Arctic Grey/ Win11Pro (з сумко</t>
        </is>
      </c>
      <c r="F159" s="13" t="n">
        <v>378000</v>
      </c>
      <c r="G159" t="inlineStr">
        <is>
          <t>Допорогова</t>
        </is>
      </c>
      <c r="H159" t="inlineStr"/>
    </row>
    <row r="160">
      <c r="A160" s="4" t="inlineStr">
        <is>
          <t>UA-2026-02-05-014724-a</t>
        </is>
      </c>
      <c r="B160" t="inlineStr">
        <is>
          <t>2026-02-05</t>
        </is>
      </c>
      <c r="C160" t="inlineStr">
        <is>
          <t>ДКП "Луцьктепло"</t>
        </is>
      </c>
      <c r="D160" t="inlineStr">
        <is>
          <t>Волинська область</t>
        </is>
      </c>
      <c r="E160" t="inlineStr">
        <is>
          <t>Неттопи; ноутбуки</t>
        </is>
      </c>
      <c r="F160" s="13" t="n">
        <v>369375.33</v>
      </c>
      <c r="G160" t="inlineStr">
        <is>
          <t>Відкриті торги (нові)</t>
        </is>
      </c>
      <c r="H160" t="inlineStr">
        <is>
          <t>ТОВ "СИСТЕМАТИКА УКРАЇНА"</t>
        </is>
      </c>
    </row>
    <row r="161">
      <c r="A161" s="4" t="inlineStr">
        <is>
          <t>UA-2026-06-05-001879-a</t>
        </is>
      </c>
      <c r="B161" t="inlineStr">
        <is>
          <t>2026-06-05</t>
        </is>
      </c>
      <c r="C161" t="inlineStr">
        <is>
          <t>ДЕПАРТАМЕНТ З ПИТАНЬ ВЕТЕРАНСЬКОЇ ПОЛІТИКИ ЛУЦЬКОЇ МІСЬКОЇ РАДИ</t>
        </is>
      </c>
      <c r="D161" t="inlineStr">
        <is>
          <t>Волинська область</t>
        </is>
      </c>
      <c r="E161" t="inlineStr">
        <is>
          <t>Моноблоки</t>
        </is>
      </c>
      <c r="F161" s="13" t="n">
        <v>368184</v>
      </c>
      <c r="G161" t="inlineStr">
        <is>
          <t>Запит пропозицій</t>
        </is>
      </c>
      <c r="H161" t="inlineStr">
        <is>
          <t>ТОВ "ОСТРІВ 1"</t>
        </is>
      </c>
    </row>
    <row r="162">
      <c r="A162" s="4" t="inlineStr">
        <is>
          <t>UA-2026-05-22-002851-a</t>
        </is>
      </c>
      <c r="B162" t="inlineStr">
        <is>
          <t>2026-05-22</t>
        </is>
      </c>
      <c r="C162" t="inlineStr">
        <is>
          <t>ДЕПАРТАМЕНТ З ПИТАНЬ ВЕТЕРАНСЬКОЇ ПОЛІТИКИ ЛУЦЬКОЇ МІСЬКОЇ РАДИ</t>
        </is>
      </c>
      <c r="D162" t="inlineStr">
        <is>
          <t>Волинська область</t>
        </is>
      </c>
      <c r="E162" t="inlineStr">
        <is>
          <t>Моноблоки</t>
        </is>
      </c>
      <c r="F162" s="13" t="n">
        <v>368184</v>
      </c>
      <c r="G162" t="inlineStr">
        <is>
          <t>Запит пропозицій</t>
        </is>
      </c>
      <c r="H162" t="inlineStr"/>
    </row>
    <row r="163">
      <c r="A163" s="4" t="inlineStr">
        <is>
          <t>UA-2026-05-19-001091-a</t>
        </is>
      </c>
      <c r="B163" t="inlineStr">
        <is>
          <t>2026-05-19</t>
        </is>
      </c>
      <c r="C163" t="inlineStr">
        <is>
          <t>ДЕПАРТАМЕНТ З ПИТАНЬ ВЕТЕРАНСЬКОЇ ПОЛІТИКИ ЛУЦЬКОЇ МІСЬКОЇ РАДИ</t>
        </is>
      </c>
      <c r="D163" t="inlineStr">
        <is>
          <t>Волинська область</t>
        </is>
      </c>
      <c r="E163" t="inlineStr">
        <is>
          <t>Моноблок HP ProOne 240 G10</t>
        </is>
      </c>
      <c r="F163" s="13" t="n">
        <v>368184</v>
      </c>
      <c r="G163" t="inlineStr">
        <is>
          <t>Запит пропозицій</t>
        </is>
      </c>
      <c r="H163" t="inlineStr"/>
    </row>
    <row r="164">
      <c r="A164" s="4" t="inlineStr">
        <is>
          <t>UA-2026-05-14-005245-a</t>
        </is>
      </c>
      <c r="B164" t="inlineStr">
        <is>
          <t>2026-05-14</t>
        </is>
      </c>
      <c r="C164" t="inlineStr">
        <is>
          <t>ДЕПАРТАМЕНТ З ПИТАНЬ ВЕТЕРАНСЬКОЇ ПОЛІТИКИ ЛУЦЬКОЇ МІСЬКОЇ РАДИ</t>
        </is>
      </c>
      <c r="D164" t="inlineStr">
        <is>
          <t>Волинська область</t>
        </is>
      </c>
      <c r="E164" t="inlineStr">
        <is>
          <t>Моноблок HP ProOne 240 G10</t>
        </is>
      </c>
      <c r="F164" s="13" t="n">
        <v>368184</v>
      </c>
      <c r="G164" t="inlineStr">
        <is>
          <t>Запит пропозицій</t>
        </is>
      </c>
      <c r="H164" t="inlineStr"/>
    </row>
    <row r="165">
      <c r="A165" s="4" t="inlineStr">
        <is>
          <t>UA-2026-03-24-014217-a</t>
        </is>
      </c>
      <c r="B165" t="inlineStr">
        <is>
          <t>2026-03-24</t>
        </is>
      </c>
      <c r="C165" t="inlineStr">
        <is>
          <t>ВИКОНАВЧИЙ КОМІТЕТ НОВОВОЛИНСЬКОЇ МІСЬКОЇ РАДИ</t>
        </is>
      </c>
      <c r="D165" t="inlineStr">
        <is>
          <t>Волинська область</t>
        </is>
      </c>
      <c r="E165" t="inlineStr">
        <is>
          <t>Комп'ютерна техніка</t>
        </is>
      </c>
      <c r="F165" s="13" t="n">
        <v>365000</v>
      </c>
      <c r="G165" t="inlineStr">
        <is>
          <t>Запит пропозицій</t>
        </is>
      </c>
      <c r="H165" t="inlineStr">
        <is>
          <t>ТОВ "КОМПАКОМ"</t>
        </is>
      </c>
    </row>
    <row r="166">
      <c r="A166" s="4" t="inlineStr">
        <is>
          <t>UA-2025-10-20-016348-a</t>
        </is>
      </c>
      <c r="B166" t="inlineStr">
        <is>
          <t>2025-10-20</t>
        </is>
      </c>
      <c r="C166" t="inlineStr">
        <is>
          <t>Нововолинський електромеханічний фаховий коледж</t>
        </is>
      </c>
      <c r="D166" t="inlineStr">
        <is>
          <t>Волинська область</t>
        </is>
      </c>
      <c r="E166" t="inlineStr">
        <is>
          <t>Машини для обробки даних (апаратна частина) (Персональний комп’ютер)</t>
        </is>
      </c>
      <c r="F166" s="13" t="n">
        <v>364000</v>
      </c>
      <c r="G166" t="inlineStr">
        <is>
          <t>Відкриті торги (нові)</t>
        </is>
      </c>
      <c r="H166" t="inlineStr">
        <is>
          <t>ТОВ "СИСТЕМАТИКА УКРАЇНА"</t>
        </is>
      </c>
    </row>
    <row r="167">
      <c r="A167" s="4" t="inlineStr">
        <is>
          <t>UA-2025-10-03-003224-a</t>
        </is>
      </c>
      <c r="B167" t="inlineStr">
        <is>
          <t>2025-10-03</t>
        </is>
      </c>
      <c r="C167" t="inlineStr">
        <is>
          <t>Нововолинський електромеханічний фаховий коледж</t>
        </is>
      </c>
      <c r="D167" t="inlineStr">
        <is>
          <t>Волинська область</t>
        </is>
      </c>
      <c r="E167" t="inlineStr">
        <is>
          <t>Машини для обробки даних (апаратна частина) (Персональний комп’ютер)</t>
        </is>
      </c>
      <c r="F167" s="13" t="n">
        <v>364000</v>
      </c>
      <c r="G167" t="inlineStr">
        <is>
          <t>Відкриті торги (нові)</t>
        </is>
      </c>
      <c r="H167" t="inlineStr"/>
    </row>
    <row r="168">
      <c r="A168" s="4" t="inlineStr">
        <is>
          <t>UA-2025-11-15-000302-a</t>
        </is>
      </c>
      <c r="B168" t="inlineStr">
        <is>
          <t>2025-11-15</t>
        </is>
      </c>
      <c r="C168" t="inlineStr">
        <is>
          <t>Луцький національний технічний університет</t>
        </is>
      </c>
      <c r="D168" t="inlineStr">
        <is>
          <t>Волинська область</t>
        </is>
      </c>
      <c r="E168" t="inlineStr">
        <is>
          <t>Комп’ютерне обладнання</t>
        </is>
      </c>
      <c r="F168" s="13" t="n">
        <v>363635</v>
      </c>
      <c r="G168" t="inlineStr">
        <is>
          <t>Запит пропозицій</t>
        </is>
      </c>
      <c r="H168" t="inlineStr"/>
    </row>
    <row r="169">
      <c r="A169" s="4" t="inlineStr">
        <is>
          <t>UA-2026-04-30-009739-a</t>
        </is>
      </c>
      <c r="B169" t="inlineStr">
        <is>
          <t>2026-04-30</t>
        </is>
      </c>
      <c r="C169" t="inlineStr">
        <is>
          <t>Виконавчий комітет Луцької міської ради</t>
        </is>
      </c>
      <c r="D169" t="inlineStr">
        <is>
          <t>Волинська область</t>
        </is>
      </c>
      <c r="E169" t="inlineStr">
        <is>
          <t>Ноутбуки</t>
        </is>
      </c>
      <c r="F169" s="13" t="n">
        <v>350000</v>
      </c>
      <c r="G169" t="inlineStr">
        <is>
          <t>Запит пропозицій</t>
        </is>
      </c>
      <c r="H169" t="inlineStr">
        <is>
          <t>ТОВ "ТІНОС-Д"</t>
        </is>
      </c>
    </row>
    <row r="170">
      <c r="A170" s="4" t="inlineStr">
        <is>
          <t>UA-2026-04-08-009586-a</t>
        </is>
      </c>
      <c r="B170" t="inlineStr">
        <is>
          <t>2026-04-08</t>
        </is>
      </c>
      <c r="C170" t="inlineStr">
        <is>
          <t>НОВОВОЛИНСЬКИЙ ЛІЦЕЙ №3 НОВОВОЛИНСЬКОЇ МІСЬКОЇ РАДИ ВОЛИНСЬКОЇ ОБЛАСТІ</t>
        </is>
      </c>
      <c r="D170" t="inlineStr">
        <is>
          <t>Волинська область</t>
        </is>
      </c>
      <c r="E170" t="inlineStr">
        <is>
          <t>Персональний комп’ютер форм-фактора десктоп</t>
        </is>
      </c>
      <c r="F170" s="13" t="n">
        <v>350000</v>
      </c>
      <c r="G170" t="inlineStr">
        <is>
          <t>Відкриті торги (нові)</t>
        </is>
      </c>
      <c r="H170" t="inlineStr">
        <is>
          <t>ФОП "ШУМ ОЛЕКСАНДР В'ЯЧЕСЛАВОВИЧ"</t>
        </is>
      </c>
    </row>
    <row r="171">
      <c r="A171" s="4" t="inlineStr">
        <is>
          <t>UA-2026-03-27-002552-a</t>
        </is>
      </c>
      <c r="B171" t="inlineStr">
        <is>
          <t>2026-03-27</t>
        </is>
      </c>
      <c r="C171" t="inlineStr">
        <is>
          <t>НОВОВОЛИНСЬКИЙ ЛІЦЕЙ №3 НОВОВОЛИНСЬКОЇ МІСЬКОЇ РАДИ ВОЛИНСЬКОЇ ОБЛАСТІ</t>
        </is>
      </c>
      <c r="D171" t="inlineStr">
        <is>
          <t>Волинська область</t>
        </is>
      </c>
      <c r="E171" t="inlineStr">
        <is>
          <t>Машини для обробки даних (апаратна частина)</t>
        </is>
      </c>
      <c r="F171" s="13" t="n">
        <v>350000</v>
      </c>
      <c r="G171" t="inlineStr">
        <is>
          <t>Запит пропозицій</t>
        </is>
      </c>
      <c r="H171" t="inlineStr"/>
    </row>
    <row r="172">
      <c r="A172" s="4" t="inlineStr">
        <is>
          <t>UA-2026-03-16-008989-a</t>
        </is>
      </c>
      <c r="B172" t="inlineStr">
        <is>
          <t>2026-03-16</t>
        </is>
      </c>
      <c r="C172" t="inlineStr">
        <is>
          <t>КП "Медичне об'єднання Луцької міської територіальної громади"</t>
        </is>
      </c>
      <c r="D172" t="inlineStr">
        <is>
          <t>Волинська область</t>
        </is>
      </c>
      <c r="E172" t="inlineStr">
        <is>
          <t>код ДК021:2015 - 30230000-0: Комп’ютерне обладнання (Принтери)</t>
        </is>
      </c>
      <c r="F172" s="13" t="n">
        <v>350000</v>
      </c>
      <c r="G172" t="inlineStr">
        <is>
          <t>Відкриті торги (нові)</t>
        </is>
      </c>
      <c r="H172" t="inlineStr">
        <is>
          <t>ФОП КОСТЕНКО ІРИНА ВАЛЕНТИНІВНА</t>
        </is>
      </c>
    </row>
    <row r="173">
      <c r="A173" s="4" t="inlineStr">
        <is>
          <t>UA-2025-11-05-006520-a</t>
        </is>
      </c>
      <c r="B173" t="inlineStr">
        <is>
          <t>2025-11-05</t>
        </is>
      </c>
      <c r="C173" t="inlineStr">
        <is>
          <t>Військова частина А 0959</t>
        </is>
      </c>
      <c r="D173" t="inlineStr">
        <is>
          <t>Волинська область</t>
        </is>
      </c>
      <c r="E173" t="inlineStr">
        <is>
          <t>Монітори</t>
        </is>
      </c>
      <c r="F173" s="13" t="n">
        <v>344180</v>
      </c>
      <c r="G173" t="inlineStr">
        <is>
          <t>Допорогова</t>
        </is>
      </c>
      <c r="H173" t="inlineStr">
        <is>
          <t>ТОВ «ПБГ19»</t>
        </is>
      </c>
    </row>
    <row r="174">
      <c r="A174" s="4" t="inlineStr">
        <is>
          <t>UA-2025-10-17-010304-a</t>
        </is>
      </c>
      <c r="B174" t="inlineStr">
        <is>
          <t>2025-10-17</t>
        </is>
      </c>
      <c r="C174" t="inlineStr">
        <is>
          <t>Військова частина А 0959</t>
        </is>
      </c>
      <c r="D174" t="inlineStr">
        <is>
          <t>Волинська область</t>
        </is>
      </c>
      <c r="E174" t="inlineStr">
        <is>
          <t>Монітори</t>
        </is>
      </c>
      <c r="F174" s="13" t="n">
        <v>344180</v>
      </c>
      <c r="G174" t="inlineStr">
        <is>
          <t>Допорогова</t>
        </is>
      </c>
      <c r="H174" t="inlineStr"/>
    </row>
    <row r="175">
      <c r="A175" s="4" t="inlineStr">
        <is>
          <t>UA-2026-05-28-011866-a</t>
        </is>
      </c>
      <c r="B175" t="inlineStr">
        <is>
          <t>2026-05-28</t>
        </is>
      </c>
      <c r="C175" t="inlineStr">
        <is>
          <t>Виконавчий комітет Ковельської міської ради</t>
        </is>
      </c>
      <c r="D175" t="inlineStr">
        <is>
          <t>Волинська область</t>
        </is>
      </c>
      <c r="E175" t="inlineStr">
        <is>
          <t>Системний блок до персонального комп'ютера</t>
        </is>
      </c>
      <c r="F175" s="13" t="n">
        <v>339000</v>
      </c>
      <c r="G175" t="inlineStr">
        <is>
          <t>Відкриті торги (нові)</t>
        </is>
      </c>
      <c r="H175" t="inlineStr">
        <is>
          <t>ТОВ "ПОРТАЛ АРЕНА"</t>
        </is>
      </c>
    </row>
    <row r="176">
      <c r="A176" s="4" t="inlineStr">
        <is>
          <t>UA-2025-11-25-006903-a</t>
        </is>
      </c>
      <c r="B176" t="inlineStr">
        <is>
          <t>2025-11-25</t>
        </is>
      </c>
      <c r="C176" t="inlineStr">
        <is>
          <t>Військова частина А 0959</t>
        </is>
      </c>
      <c r="D176" t="inlineStr">
        <is>
          <t>Волинська область</t>
        </is>
      </c>
      <c r="E176" t="inlineStr">
        <is>
          <t>Планшети</t>
        </is>
      </c>
      <c r="F176" s="13" t="n">
        <v>337089</v>
      </c>
      <c r="G176" t="inlineStr">
        <is>
          <t>Запит пропозицій</t>
        </is>
      </c>
      <c r="H176" t="inlineStr">
        <is>
          <t>ТОВ ""КРИШІТКА""</t>
        </is>
      </c>
    </row>
    <row r="177">
      <c r="A177" s="4" t="inlineStr">
        <is>
          <t>UA-2025-10-20-014579-a</t>
        </is>
      </c>
      <c r="B177" t="inlineStr">
        <is>
          <t>2025-10-20</t>
        </is>
      </c>
      <c r="C177" t="inlineStr">
        <is>
          <t>Територіальне управління Державної судової адміністрації України в Волинській області</t>
        </is>
      </c>
      <c r="D177" t="inlineStr">
        <is>
          <t>Волинська область</t>
        </is>
      </c>
      <c r="E177" t="inlineStr">
        <is>
          <t>код ДК 021:2015 30230000-0 «Комп’ютерне обладнання» БФП Canon i-SENSYS MF453dw з</t>
        </is>
      </c>
      <c r="F177" s="13" t="n">
        <v>335300</v>
      </c>
      <c r="G177" t="inlineStr">
        <is>
          <t>Запит пропозицій</t>
        </is>
      </c>
      <c r="H177" t="inlineStr">
        <is>
          <t>ТОВ "БЕСТТЕХНОПОСТАЧ"</t>
        </is>
      </c>
    </row>
    <row r="178">
      <c r="A178" s="4" t="inlineStr">
        <is>
          <t>UA-2025-11-17-014020-a</t>
        </is>
      </c>
      <c r="B178" t="inlineStr">
        <is>
          <t>2025-11-17</t>
        </is>
      </c>
      <c r="C178" t="inlineStr">
        <is>
          <t>Відділ освіти, культури, молоді та спорту Підгайцівської сільської ради</t>
        </is>
      </c>
      <c r="D178" t="inlineStr">
        <is>
          <t>Волинська область</t>
        </is>
      </c>
      <c r="E178" t="inlineStr">
        <is>
          <t>Персональний комп’ютер форм-фактора десктоп ( Код ДК 021:2015 - 30230000-0 Комп'</t>
        </is>
      </c>
      <c r="F178" s="13" t="n">
        <v>330000</v>
      </c>
      <c r="G178" t="inlineStr">
        <is>
          <t>Відкриті торги (нові)</t>
        </is>
      </c>
      <c r="H178" t="inlineStr">
        <is>
          <t>ТОВ "КОРВЕТ"</t>
        </is>
      </c>
    </row>
    <row r="179">
      <c r="A179" s="4" t="inlineStr">
        <is>
          <t>UA-2025-09-02-005094-a</t>
        </is>
      </c>
      <c r="B179" t="inlineStr">
        <is>
          <t>2025-09-02</t>
        </is>
      </c>
      <c r="C179" t="inlineStr">
        <is>
          <t>Волинський краєзнавчий музей</t>
        </is>
      </c>
      <c r="D179" t="inlineStr">
        <is>
          <t>Волинська область</t>
        </is>
      </c>
      <c r="E179" t="inlineStr">
        <is>
          <t>Комп’ютерне обладнання для створення мультимедійної виставки з використанням інт</t>
        </is>
      </c>
      <c r="F179" s="13" t="n">
        <v>324055</v>
      </c>
      <c r="G179" t="inlineStr">
        <is>
          <t>Звіт про договір</t>
        </is>
      </c>
      <c r="H179" t="inlineStr">
        <is>
          <t>ФОП Жук Ольга Вікторівна</t>
        </is>
      </c>
    </row>
    <row r="180">
      <c r="A180" s="4" t="inlineStr">
        <is>
          <t>UA-2026-08-07-001199-a</t>
        </is>
      </c>
      <c r="B180" t="inlineStr">
        <is>
          <t>2026-08-07</t>
        </is>
      </c>
      <c r="C180" t="inlineStr">
        <is>
          <t>Гуманітарний відділ Цуманської селищної ради</t>
        </is>
      </c>
      <c r="D180" t="inlineStr">
        <is>
          <t>Волинська область</t>
        </is>
      </c>
      <c r="E180" t="inlineStr">
        <is>
          <t>30232100-5 Принтери та плотери</t>
        </is>
      </c>
      <c r="F180" s="13" t="n">
        <v>321083.33</v>
      </c>
      <c r="G180" t="inlineStr">
        <is>
          <t>Відкриті торги (нові)</t>
        </is>
      </c>
      <c r="H180" t="inlineStr">
        <is>
          <t>ТОВ "ЕДУ ЛАБ"</t>
        </is>
      </c>
    </row>
    <row r="181">
      <c r="A181" s="4" t="inlineStr">
        <is>
          <t>UA-2026-08-06-005940-a</t>
        </is>
      </c>
      <c r="B181" t="inlineStr">
        <is>
          <t>2026-08-06</t>
        </is>
      </c>
      <c r="C181" t="inlineStr">
        <is>
          <t>Гуманітарний відділ Цуманської селищної ради</t>
        </is>
      </c>
      <c r="D181" t="inlineStr">
        <is>
          <t>Волинська область</t>
        </is>
      </c>
      <c r="E181" t="inlineStr">
        <is>
          <t>30232100-5 Принтери та плотери</t>
        </is>
      </c>
      <c r="F181" s="13" t="n">
        <v>321083.33</v>
      </c>
      <c r="G181" t="inlineStr">
        <is>
          <t>Відкриті торги (нові)</t>
        </is>
      </c>
      <c r="H181" t="inlineStr"/>
    </row>
    <row r="182">
      <c r="A182" s="4" t="inlineStr">
        <is>
          <t>UA-2026-04-09-012087-a</t>
        </is>
      </c>
      <c r="B182" t="inlineStr">
        <is>
          <t>2026-04-09</t>
        </is>
      </c>
      <c r="C182" t="inlineStr">
        <is>
          <t>ГОЛОВНЕ УПРАВЛІННЯ ПЕНСІЙНОГО ФОНДУ УКРАЇНИ У ВОЛИНСЬКІЙ ОБЛАСТІ</t>
        </is>
      </c>
      <c r="D182" t="inlineStr">
        <is>
          <t>Волинська область</t>
        </is>
      </c>
      <c r="E182" t="inlineStr">
        <is>
          <t>Багатофункціональні кольорові лазерні пристрої формату А3 (ДК 021:2015 — 3023000</t>
        </is>
      </c>
      <c r="F182" s="13" t="n">
        <v>320000</v>
      </c>
      <c r="G182" t="inlineStr">
        <is>
          <t>Відкриті торги (нові)</t>
        </is>
      </c>
      <c r="H182" t="inlineStr">
        <is>
          <t>ФОП Нодь Каріна Юріївна</t>
        </is>
      </c>
    </row>
    <row r="183">
      <c r="A183" s="4" t="inlineStr">
        <is>
          <t>UA-2025-10-28-014986-a</t>
        </is>
      </c>
      <c r="B183" t="inlineStr">
        <is>
          <t>2025-10-28</t>
        </is>
      </c>
      <c r="C183" t="inlineStr">
        <is>
          <t>Виконавчий комітет Луцької міської ради</t>
        </is>
      </c>
      <c r="D183" t="inlineStr">
        <is>
          <t>Волинська область</t>
        </is>
      </c>
      <c r="E183" t="inlineStr">
        <is>
          <t>Персональні комп’ютери Лот 1 Персональні комп'ютери Лот 2 Персональні комп'ютери</t>
        </is>
      </c>
      <c r="F183" s="13" t="n">
        <v>320000</v>
      </c>
      <c r="G183" t="inlineStr">
        <is>
          <t>Відкриті торги (нові)</t>
        </is>
      </c>
      <c r="H183" t="inlineStr">
        <is>
          <t>ТОВ "КОМПАКОМ", ТОВ"БІМЕКС УКРАЇНА"</t>
        </is>
      </c>
    </row>
    <row r="184">
      <c r="A184" s="4" t="inlineStr">
        <is>
          <t>UA-2025-11-18-016178-a</t>
        </is>
      </c>
      <c r="B184" t="inlineStr">
        <is>
          <t>2025-11-18</t>
        </is>
      </c>
      <c r="C184" t="inlineStr">
        <is>
          <t>КОМУНАЛЬНИЙ ЗАКЛАД ЗАГАЛЬНОЇ СЕРЕДНЬОЇ ОСВІТИ "ГІРКОПОЛОНКІВСЬКИЙ ЛІЦЕЙ БОРАТИНСЬКОЇ СІЛЬСЬКОЇ РАДИ"</t>
        </is>
      </c>
      <c r="D184" t="inlineStr">
        <is>
          <t>Волинська область</t>
        </is>
      </c>
      <c r="E184" t="inlineStr">
        <is>
          <t>Ноутбуки (Код ДК 021:2015 «Єдиний закупівельний словник» - 30210000-4 – Машини д</t>
        </is>
      </c>
      <c r="F184" s="13" t="n">
        <v>317000</v>
      </c>
      <c r="G184" t="inlineStr">
        <is>
          <t>Відкриті торги (нові)</t>
        </is>
      </c>
      <c r="H184" t="inlineStr">
        <is>
          <t>ТОВ "ЕКСПОТЕН"</t>
        </is>
      </c>
    </row>
    <row r="185">
      <c r="A185" s="4" t="inlineStr">
        <is>
          <t>UA-2025-11-10-013374-a</t>
        </is>
      </c>
      <c r="B185" t="inlineStr">
        <is>
          <t>2025-11-10</t>
        </is>
      </c>
      <c r="C185" t="inlineStr">
        <is>
          <t>КОМУНАЛЬНИЙ ЗАКЛАД ЗАГАЛЬНОЇ СЕРЕДНЬОЇ ОСВІТИ "ГІРКОПОЛОНКІВСЬКИЙ ЛІЦЕЙ БОРАТИНСЬКОЇ СІЛЬСЬКОЇ РАДИ"</t>
        </is>
      </c>
      <c r="D185" t="inlineStr">
        <is>
          <t>Волинська область</t>
        </is>
      </c>
      <c r="E185" t="inlineStr">
        <is>
          <t>Ноутбуки (Код ДК 021:2015 «Єдиний закупівельний словник» - 30210000-4 – Машини д</t>
        </is>
      </c>
      <c r="F185" s="13" t="n">
        <v>317000</v>
      </c>
      <c r="G185" t="inlineStr">
        <is>
          <t>Відкриті торги (нові)</t>
        </is>
      </c>
      <c r="H185" t="inlineStr"/>
    </row>
    <row r="186">
      <c r="A186" s="4" t="inlineStr">
        <is>
          <t>UA-2026-07-06-009638-a</t>
        </is>
      </c>
      <c r="B186" t="inlineStr">
        <is>
          <t>2026-07-06</t>
        </is>
      </c>
      <c r="C186" t="inlineStr">
        <is>
          <t>Виконавчий комітет Луцької міської ради</t>
        </is>
      </c>
      <c r="D186" t="inlineStr">
        <is>
          <t>Волинська область</t>
        </is>
      </c>
      <c r="E186" t="inlineStr">
        <is>
          <t>Ноутбук Lenovo V15 G4 IRU Business Black (83A100X1RA)</t>
        </is>
      </c>
      <c r="F186" s="13" t="n">
        <v>316666.66</v>
      </c>
      <c r="G186" t="inlineStr">
        <is>
          <t>Запит пропозицій</t>
        </is>
      </c>
      <c r="H186" t="inlineStr">
        <is>
          <t>ФОП "Гумен Юрій Анатолійович"</t>
        </is>
      </c>
    </row>
    <row r="187">
      <c r="A187" s="4" t="inlineStr">
        <is>
          <t>UA-2025-10-08-009512-a</t>
        </is>
      </c>
      <c r="B187" t="inlineStr">
        <is>
          <t>2025-10-08</t>
        </is>
      </c>
      <c r="C187" t="inlineStr">
        <is>
          <t>Управління гуманітарної сфери виконавчого комітету Люблинецької селищної ради</t>
        </is>
      </c>
      <c r="D187" t="inlineStr">
        <is>
          <t>Волинська область</t>
        </is>
      </c>
      <c r="E187" t="inlineStr">
        <is>
          <t>30210000-4 Машини для обробки даних (апаратна частина)</t>
        </is>
      </c>
      <c r="F187" s="13" t="n">
        <v>315697</v>
      </c>
      <c r="G187" t="inlineStr">
        <is>
          <t>Запит пропозицій</t>
        </is>
      </c>
      <c r="H187" t="inlineStr">
        <is>
          <t>ФОП Кушнір Віктор Вікторович</t>
        </is>
      </c>
    </row>
    <row r="188">
      <c r="A188" s="4" t="inlineStr">
        <is>
          <t>UA-2025-09-16-012720-a</t>
        </is>
      </c>
      <c r="B188" t="inlineStr">
        <is>
          <t>2025-09-16</t>
        </is>
      </c>
      <c r="C188" t="inlineStr">
        <is>
          <t>Територіальне управління Державної судової адміністрації України в Волинській області</t>
        </is>
      </c>
      <c r="D188" t="inlineStr">
        <is>
          <t>Волинська область</t>
        </is>
      </c>
      <c r="E188" t="inlineStr">
        <is>
          <t xml:space="preserve">код ДК 021:2015 30210000-4 Машини для обробки даних (апаратна частина)» (Сканер </t>
        </is>
      </c>
      <c r="F188" s="13" t="n">
        <v>315000</v>
      </c>
      <c r="G188" t="inlineStr">
        <is>
          <t>Запит пропозицій</t>
        </is>
      </c>
      <c r="H188" t="inlineStr">
        <is>
          <t>ФОП ІВАНЧЕНКО МИКОЛА ІВАНОВИЧ</t>
        </is>
      </c>
    </row>
    <row r="189">
      <c r="A189" s="4" t="inlineStr">
        <is>
          <t>UA-2025-09-15-006830-a</t>
        </is>
      </c>
      <c r="B189" t="inlineStr">
        <is>
          <t>2025-09-15</t>
        </is>
      </c>
      <c r="C189" t="inlineStr">
        <is>
          <t>Територіальне управління Державної судової адміністрації України в Волинській області</t>
        </is>
      </c>
      <c r="D189" t="inlineStr">
        <is>
          <t>Волинська область</t>
        </is>
      </c>
      <c r="E189" t="inlineStr">
        <is>
          <t xml:space="preserve">код ДК 021:2015 30210000-4 Машини для обробки даних (апаратна частина)» (Сканер </t>
        </is>
      </c>
      <c r="F189" s="13" t="n">
        <v>315000</v>
      </c>
      <c r="G189" t="inlineStr">
        <is>
          <t>Запит пропозицій</t>
        </is>
      </c>
      <c r="H189" t="inlineStr"/>
    </row>
    <row r="190">
      <c r="A190" s="4" t="inlineStr">
        <is>
          <t>UA-2026-09-01-002869-a</t>
        </is>
      </c>
      <c r="B190" t="inlineStr">
        <is>
          <t>2026-09-01</t>
        </is>
      </c>
      <c r="C190" t="inlineStr">
        <is>
          <t>Військова частина А 0959</t>
        </is>
      </c>
      <c r="D190" t="inlineStr">
        <is>
          <t>Волинська область</t>
        </is>
      </c>
      <c r="E190" t="inlineStr">
        <is>
          <t>Ноутбуки</t>
        </is>
      </c>
      <c r="F190" s="13" t="n">
        <v>314500</v>
      </c>
      <c r="G190" t="inlineStr">
        <is>
          <t>Запит пропозицій</t>
        </is>
      </c>
      <c r="H190" t="inlineStr"/>
    </row>
    <row r="191">
      <c r="A191" s="4" t="inlineStr">
        <is>
          <t>UA-2026-06-26-010395-a</t>
        </is>
      </c>
      <c r="B191" t="inlineStr">
        <is>
          <t>2026-06-26</t>
        </is>
      </c>
      <c r="C191" t="inlineStr">
        <is>
          <t>НОВОВОЛИНСЬКИЙ ЛІЦЕЙ №1 НОВОВОЛИНСЬКОЇ МІСЬКОЇ РАДИ ВОЛИНСЬКОЇ ОБЛАСТІ</t>
        </is>
      </c>
      <c r="D191" t="inlineStr">
        <is>
          <t>Волинська область</t>
        </is>
      </c>
      <c r="E191" t="inlineStr">
        <is>
          <t>Машини для обробки даних (апаратна частина)</t>
        </is>
      </c>
      <c r="F191" s="13" t="n">
        <v>312000</v>
      </c>
      <c r="G191" t="inlineStr">
        <is>
          <t>Запит пропозицій</t>
        </is>
      </c>
      <c r="H191" t="inlineStr">
        <is>
          <t>ФОП "Пасічник Ніна Іванівна"</t>
        </is>
      </c>
    </row>
    <row r="192">
      <c r="A192" s="4" t="inlineStr">
        <is>
          <t>UA-2026-05-15-008338-a</t>
        </is>
      </c>
      <c r="B192" t="inlineStr">
        <is>
          <t>2026-05-15</t>
        </is>
      </c>
      <c r="C192" t="inlineStr">
        <is>
          <t>ГОЛОВНЕ УПРАВЛІННЯ ПЕНСІЙНОГО ФОНДУ УКРАЇНИ У ВОЛИНСЬКІЙ ОБЛАСТІ</t>
        </is>
      </c>
      <c r="D192" t="inlineStr">
        <is>
          <t>Волинська область</t>
        </is>
      </c>
      <c r="E192" t="inlineStr">
        <is>
          <t>Багатофункціональні монохромні лазерні пристрої (ДК 021:2015 — 30230000-0 Комп’ю</t>
        </is>
      </c>
      <c r="F192" s="13" t="n">
        <v>310000</v>
      </c>
      <c r="G192" t="inlineStr">
        <is>
          <t>Відкриті торги (нові)</t>
        </is>
      </c>
      <c r="H192" t="inlineStr">
        <is>
          <t>ФОП Нодь Каріна Юріївна</t>
        </is>
      </c>
    </row>
    <row r="193">
      <c r="A193" s="4" t="inlineStr">
        <is>
          <t>UA-2026-02-20-008982-a</t>
        </is>
      </c>
      <c r="B193" t="inlineStr">
        <is>
          <t>2026-02-20</t>
        </is>
      </c>
      <c r="C193" t="inlineStr">
        <is>
          <t>ВІДОКРЕМЛЕНИЙ СТРУКТУРНИЙ ПІДРОЗДІЛ "ВОЛИНСЬКИЙ ФАХОВИЙ КОЛЕДЖ НАЦІОНАЛЬНОГО УНІВЕРСИТЕТУ ХАРЧОВИХ ТЕХНОЛОГІЙ"</t>
        </is>
      </c>
      <c r="D193" t="inlineStr">
        <is>
          <t>Волинська область</t>
        </is>
      </c>
      <c r="E193" t="inlineStr">
        <is>
          <t>3D-принтер, код за ДК 021:2015:30230000-0 - Комп’ютерне обладнання</t>
        </is>
      </c>
      <c r="F193" s="13" t="n">
        <v>306500</v>
      </c>
      <c r="G193" t="inlineStr">
        <is>
          <t>Відкриті торги (нові)</t>
        </is>
      </c>
      <c r="H193" t="inlineStr">
        <is>
          <t>ФОП "Онацька Світлана Владиславівна"</t>
        </is>
      </c>
    </row>
    <row r="194">
      <c r="A194" s="4" t="inlineStr">
        <is>
          <t>UA-2026-07-24-007514-a</t>
        </is>
      </c>
      <c r="B194" t="inlineStr">
        <is>
          <t>2026-07-24</t>
        </is>
      </c>
      <c r="C194" t="inlineStr">
        <is>
          <t>ОПОРНИЙ ЗАКЛАД ЗАГАЛЬНОЇ СЕРЕДНЬОЇ ОСВІТИ "ЛОКАЧИНСЬКИЙ ЛІЦЕЙ"ЛОКАЧИНСЬКОЇ СЕЛИЩНОЇ РАДИ ВОЛОДИМИРСЬКОГО РАЙОНУ ВОЛИНСЬКОЇ ОБЛАСТІ</t>
        </is>
      </c>
      <c r="D194" t="inlineStr">
        <is>
          <t>Волинська область</t>
        </is>
      </c>
      <c r="E194" t="inlineStr">
        <is>
          <t>Персональний комп’ютер (форм-фактора десктоп) НУШ Код ДК 021:2015 30210000-4 Маш</t>
        </is>
      </c>
      <c r="F194" s="13" t="n">
        <v>303150</v>
      </c>
      <c r="G194" t="inlineStr">
        <is>
          <t>Відкриті торги (нові)</t>
        </is>
      </c>
      <c r="H194" t="inlineStr">
        <is>
          <t>ТОВ "ТЕХНО ГАЛАКТИКА"</t>
        </is>
      </c>
    </row>
    <row r="195">
      <c r="A195" s="4" t="inlineStr">
        <is>
          <t>UA-2026-07-26-000180-a</t>
        </is>
      </c>
      <c r="B195" t="inlineStr">
        <is>
          <t>2026-07-26</t>
        </is>
      </c>
      <c r="C195" t="inlineStr">
        <is>
          <t>Військова частина А 1008</t>
        </is>
      </c>
      <c r="D195" t="inlineStr">
        <is>
          <t>Волинська область</t>
        </is>
      </c>
      <c r="E195" t="inlineStr">
        <is>
          <t>планшет Samsung Galaxy Tab A11+ SM-X230 8/­256GB Gray (SM-X230NZAPEUC) з чохлом-</t>
        </is>
      </c>
      <c r="F195" s="13" t="n">
        <v>300000</v>
      </c>
      <c r="G195" t="inlineStr">
        <is>
          <t>Допорогова</t>
        </is>
      </c>
      <c r="H195" t="inlineStr">
        <is>
          <t>ТОВ "ГІГАГЕРЦ"</t>
        </is>
      </c>
    </row>
    <row r="196">
      <c r="A196" s="4" t="inlineStr">
        <is>
          <t>UA-2026-05-28-010677-a</t>
        </is>
      </c>
      <c r="B196" t="inlineStr">
        <is>
          <t>2026-05-28</t>
        </is>
      </c>
      <c r="C196" t="inlineStr">
        <is>
          <t>Виконавчий комітет Луцької міської ради</t>
        </is>
      </c>
      <c r="D196" t="inlineStr">
        <is>
          <t>Волинська область</t>
        </is>
      </c>
      <c r="E196" t="inlineStr">
        <is>
          <t>Планшети</t>
        </is>
      </c>
      <c r="F196" s="13" t="n">
        <v>300000</v>
      </c>
      <c r="G196" t="inlineStr">
        <is>
          <t>Запит пропозицій</t>
        </is>
      </c>
      <c r="H196" t="inlineStr">
        <is>
          <t>ФОП "СЕМЕНЮК МИКОЛА ДАНИЛОВИЧ"</t>
        </is>
      </c>
    </row>
    <row r="197">
      <c r="A197" s="4" t="inlineStr">
        <is>
          <t>UA-2026-05-11-003831-a</t>
        </is>
      </c>
      <c r="B197" t="inlineStr">
        <is>
          <t>2026-05-11</t>
        </is>
      </c>
      <c r="C197" t="inlineStr">
        <is>
          <t>Військова частина А 1008</t>
        </is>
      </c>
      <c r="D197" t="inlineStr">
        <is>
          <t>Волинська область</t>
        </is>
      </c>
      <c r="E197" t="inlineStr">
        <is>
          <t>планшет Samsung Galaxy Tab A11+ SM-X230 8/­256GB Gray (SM-X230NZAPEUC) з чохлом-</t>
        </is>
      </c>
      <c r="F197" s="13" t="n">
        <v>300000</v>
      </c>
      <c r="G197" t="inlineStr">
        <is>
          <t>Допорогова</t>
        </is>
      </c>
      <c r="H197" t="inlineStr">
        <is>
          <t>ФОП "ТОНІЄВИЧ ЮЛІЯ СЕРГІЇВНА"</t>
        </is>
      </c>
    </row>
    <row r="198">
      <c r="A198" s="4" t="inlineStr">
        <is>
          <t>UA-2025-11-11-014988-a</t>
        </is>
      </c>
      <c r="B198" t="inlineStr">
        <is>
          <t>2025-11-11</t>
        </is>
      </c>
      <c r="C198" t="inlineStr">
        <is>
          <t>ЛІЦЕЙ ІМЕНІ ОЛЕКСАНДРА ЦИНКАЛОВСЬКОГО ВОЛОДИМИРСЬКОЇ МІСЬКОЇ РАДИ</t>
        </is>
      </c>
      <c r="D198" t="inlineStr">
        <is>
          <t>Волинська область</t>
        </is>
      </c>
      <c r="E198" t="inlineStr">
        <is>
          <t>3D-принтер</t>
        </is>
      </c>
      <c r="F198" s="13" t="n">
        <v>300000</v>
      </c>
      <c r="G198" t="inlineStr">
        <is>
          <t>Запит пропозицій</t>
        </is>
      </c>
      <c r="H198" t="inlineStr">
        <is>
          <t>ФОП Козловський Сергій Павлович</t>
        </is>
      </c>
    </row>
    <row r="199">
      <c r="A199" s="4" t="inlineStr">
        <is>
          <t>UA-2025-10-21-016992-a</t>
        </is>
      </c>
      <c r="B199" t="inlineStr">
        <is>
          <t>2025-10-21</t>
        </is>
      </c>
      <c r="C199" t="inlineStr">
        <is>
          <t>Військова частина А 0959</t>
        </is>
      </c>
      <c r="D199" t="inlineStr">
        <is>
          <t>Волинська область</t>
        </is>
      </c>
      <c r="E199" t="inlineStr">
        <is>
          <t>Автоматизоване робоче місце спеціального призначення із захистом інформації (2-3</t>
        </is>
      </c>
      <c r="F199" s="13" t="n">
        <v>298128</v>
      </c>
      <c r="G199" t="inlineStr">
        <is>
          <t>Допорогова</t>
        </is>
      </c>
      <c r="H199" t="inlineStr">
        <is>
          <t>ТОВ "ЕПОС"</t>
        </is>
      </c>
    </row>
    <row r="200">
      <c r="A200" s="4" t="inlineStr">
        <is>
          <t>UA-2026-06-09-006238-a</t>
        </is>
      </c>
      <c r="B200" t="inlineStr">
        <is>
          <t>2026-06-09</t>
        </is>
      </c>
      <c r="C200" t="inlineStr">
        <is>
          <t>Виконавчий комітет Ковельської міської ради</t>
        </is>
      </c>
      <c r="D200" t="inlineStr">
        <is>
          <t>Волинська область</t>
        </is>
      </c>
      <c r="E200" t="inlineStr">
        <is>
          <t>Ноутбук Lenovo Legion Pro 5 16ADR10 або еквівалент</t>
        </is>
      </c>
      <c r="F200" s="13" t="n">
        <v>296997</v>
      </c>
      <c r="G200" t="inlineStr">
        <is>
          <t>Відкриті торги (нові)</t>
        </is>
      </c>
      <c r="H200" t="inlineStr">
        <is>
          <t>ФОП "СЕМЕНЮК ОЛЕНА МИКОЛАЇВНА"</t>
        </is>
      </c>
    </row>
    <row r="201">
      <c r="A201" s="4" t="inlineStr">
        <is>
          <t>UA-2026-08-27-008407-a</t>
        </is>
      </c>
      <c r="B201" t="inlineStr">
        <is>
          <t>2026-08-27</t>
        </is>
      </c>
      <c r="C201" t="inlineStr">
        <is>
          <t>УПРАВЛІННЯ ГУМАНІТАРНОЇ ПОЛІТИКИ ЛЮБЕШІВСЬКОЇ СЕЛИЩНОЇ РАДИ</t>
        </is>
      </c>
      <c r="D201" t="inlineStr">
        <is>
          <t>Волинська область</t>
        </is>
      </c>
      <c r="E201" t="inlineStr">
        <is>
          <t>Ноутбук НУШ</t>
        </is>
      </c>
      <c r="F201" s="13" t="n">
        <v>293995</v>
      </c>
      <c r="G201" t="inlineStr">
        <is>
          <t>Запит пропозицій</t>
        </is>
      </c>
      <c r="H201" t="inlineStr">
        <is>
          <t>ТОВ "ГРАФІКАПРОМ"</t>
        </is>
      </c>
    </row>
    <row r="202">
      <c r="A202" s="4" t="inlineStr">
        <is>
          <t>UA-2025-10-29-001814-a</t>
        </is>
      </c>
      <c r="B202" t="inlineStr">
        <is>
          <t>2025-10-29</t>
        </is>
      </c>
      <c r="C202" t="inlineStr">
        <is>
          <t>Маневицька селищна рада</t>
        </is>
      </c>
      <c r="D202" t="inlineStr">
        <is>
          <t>Волинська область</t>
        </is>
      </c>
      <c r="E202" t="inlineStr">
        <is>
          <t>Комп'ютер настільний Tower, Intel Core i5 12-покоління, Intel H610, 16 Гб, 480 Г</t>
        </is>
      </c>
      <c r="F202" s="13" t="n">
        <v>290000</v>
      </c>
      <c r="G202" t="inlineStr">
        <is>
          <t>Запит пропозицій</t>
        </is>
      </c>
      <c r="H202" t="inlineStr">
        <is>
          <t>ФОП ПРІСИЧ ДМИТРО МИКОЛАЙОВИЧ</t>
        </is>
      </c>
    </row>
    <row r="203">
      <c r="A203" s="4" t="inlineStr">
        <is>
          <t>UA-2026-06-26-011036-a</t>
        </is>
      </c>
      <c r="B203" t="inlineStr">
        <is>
          <t>2026-06-26</t>
        </is>
      </c>
      <c r="C203" t="inlineStr">
        <is>
          <t>Луцький національний технічний університет</t>
        </is>
      </c>
      <c r="D203" t="inlineStr">
        <is>
          <t>Волинська область</t>
        </is>
      </c>
      <c r="E203" t="inlineStr">
        <is>
          <t>Комп'ютерне обладнання</t>
        </is>
      </c>
      <c r="F203" s="13" t="n">
        <v>289911.96</v>
      </c>
      <c r="G203" t="inlineStr">
        <is>
          <t>Відкриті торги (нові)</t>
        </is>
      </c>
      <c r="H203" t="inlineStr"/>
    </row>
    <row r="204">
      <c r="A204" s="4" t="inlineStr">
        <is>
          <t>UA-2025-10-24-011106-a</t>
        </is>
      </c>
      <c r="B204" t="inlineStr">
        <is>
          <t>2025-10-24</t>
        </is>
      </c>
      <c r="C204" t="inlineStr">
        <is>
          <t>НОВОВОЛИНСЬКИЙ ЛІЦЕЙ №6 НОВОВОЛИНСЬКОЇ МІСЬКОЇ РАДИ ВОЛИНСЬКОЇ ОБЛАСТІ</t>
        </is>
      </c>
      <c r="D204" t="inlineStr">
        <is>
          <t>Волинська область</t>
        </is>
      </c>
      <c r="E204" t="inlineStr">
        <is>
          <t>Машини для обробки даних (апаратна частина)</t>
        </is>
      </c>
      <c r="F204" s="13" t="n">
        <v>281784</v>
      </c>
      <c r="G204" t="inlineStr">
        <is>
          <t>Запит пропозицій</t>
        </is>
      </c>
      <c r="H204" t="inlineStr">
        <is>
          <t>ФОП Козловський Сергій Павлович</t>
        </is>
      </c>
    </row>
    <row r="205">
      <c r="A205" s="4" t="inlineStr">
        <is>
          <t>UA-2025-09-12-005017-a</t>
        </is>
      </c>
      <c r="B205" t="inlineStr">
        <is>
          <t>2025-09-12</t>
        </is>
      </c>
      <c r="C205" t="inlineStr">
        <is>
          <t>НОВОВОЛИНСЬКИЙ ЛІЦЕЙ №2 НОВОВОЛИНСЬКОЇ МІСЬКОЇ РАДИ ВОЛИНСЬКОЇ ОБЛАСТІ</t>
        </is>
      </c>
      <c r="D205" t="inlineStr">
        <is>
          <t>Волинська область</t>
        </is>
      </c>
      <c r="E205" t="inlineStr">
        <is>
          <t>Машини для обробки даних (апаратна частина)</t>
        </is>
      </c>
      <c r="F205" s="13" t="n">
        <v>280000</v>
      </c>
      <c r="G205" t="inlineStr">
        <is>
          <t>Запит пропозицій</t>
        </is>
      </c>
      <c r="H205" t="inlineStr">
        <is>
          <t>ФОП Атаманська Анастасія Сергіївна</t>
        </is>
      </c>
    </row>
    <row r="206">
      <c r="A206" s="4" t="inlineStr">
        <is>
          <t>UA-2025-09-12-004208-a</t>
        </is>
      </c>
      <c r="B206" t="inlineStr">
        <is>
          <t>2025-09-12</t>
        </is>
      </c>
      <c r="C206" t="inlineStr">
        <is>
          <t>НОВОВОЛИНСЬКИЙ ЛІЦЕЙ №1 НОВОВОЛИНСЬКОЇ МІСЬКОЇ РАДИ ВОЛИНСЬКОЇ ОБЛАСТІ</t>
        </is>
      </c>
      <c r="D206" t="inlineStr">
        <is>
          <t>Волинська область</t>
        </is>
      </c>
      <c r="E206" t="inlineStr">
        <is>
          <t>Машини для обробки даних (апаратна частина)</t>
        </is>
      </c>
      <c r="F206" s="13" t="n">
        <v>280000</v>
      </c>
      <c r="G206" t="inlineStr">
        <is>
          <t>Запит пропозицій</t>
        </is>
      </c>
      <c r="H206" t="inlineStr">
        <is>
          <t>ФОП Атаманська Анастасія Сергіївна</t>
        </is>
      </c>
    </row>
    <row r="207">
      <c r="A207" s="4" t="inlineStr">
        <is>
          <t>UA-2026-03-04-000126-a</t>
        </is>
      </c>
      <c r="B207" t="inlineStr">
        <is>
          <t>2026-03-04</t>
        </is>
      </c>
      <c r="C207" t="inlineStr">
        <is>
          <t>Військова частина А 1008</t>
        </is>
      </c>
      <c r="D207" t="inlineStr">
        <is>
          <t>Волинська область</t>
        </is>
      </c>
      <c r="E207" t="inlineStr">
        <is>
          <t>Планшет Samsung Galaxy Tab A11+ SM-X230 8/­256GB Gray (SM-X230NZAPEUC) з чохлом-</t>
        </is>
      </c>
      <c r="F207" s="13" t="n">
        <v>279980</v>
      </c>
      <c r="G207" t="inlineStr">
        <is>
          <t>Допорогова</t>
        </is>
      </c>
      <c r="H207" t="inlineStr">
        <is>
          <t>ТОВ «ЮДІТРЕЙД»</t>
        </is>
      </c>
    </row>
    <row r="208">
      <c r="A208" s="4" t="inlineStr">
        <is>
          <t>UA-2026-07-30-008016-a</t>
        </is>
      </c>
      <c r="B208" t="inlineStr">
        <is>
          <t>2026-07-30</t>
        </is>
      </c>
      <c r="C208" t="inlineStr">
        <is>
          <t>Виконавчий комітет Ратнівської селищної ради</t>
        </is>
      </c>
      <c r="D208" t="inlineStr">
        <is>
          <t>Волинська область</t>
        </is>
      </c>
      <c r="E208" t="inlineStr">
        <is>
          <t>Планшет Samsung Galaxy Tab A11+ WiFi 6/128Gb Gray або еквівалент (код ДК 021:201</t>
        </is>
      </c>
      <c r="F208" s="13" t="n">
        <v>276050</v>
      </c>
      <c r="G208" t="inlineStr">
        <is>
          <t>Відкриті торги (нові)</t>
        </is>
      </c>
      <c r="H208" t="inlineStr">
        <is>
          <t>ТОВ "ВОЛИНЬ ТЕХНОКОМФОРТ"</t>
        </is>
      </c>
    </row>
    <row r="209">
      <c r="A209" s="4" t="inlineStr">
        <is>
          <t>UA-2026-01-26-001069-a</t>
        </is>
      </c>
      <c r="B209" t="inlineStr">
        <is>
          <t>2026-01-26</t>
        </is>
      </c>
      <c r="C209" t="inlineStr">
        <is>
          <t>СОШИЧНЕНСЬКА СІЛЬСЬКА РАДА</t>
        </is>
      </c>
      <c r="D209" t="inlineStr">
        <is>
          <t>Волинська область</t>
        </is>
      </c>
      <c r="E209" t="inlineStr">
        <is>
          <t>Машини для обробки даних (моноблоки)</t>
        </is>
      </c>
      <c r="F209" s="13" t="n">
        <v>273000</v>
      </c>
      <c r="G209" t="inlineStr">
        <is>
          <t>Відкриті торги (нові)</t>
        </is>
      </c>
      <c r="H209" t="inlineStr">
        <is>
          <t>ТОВ "СИСТЕМАТИКА УКРАЇНА"</t>
        </is>
      </c>
    </row>
    <row r="210">
      <c r="A210" s="4" t="inlineStr">
        <is>
          <t>UA-2026-03-23-014169-a</t>
        </is>
      </c>
      <c r="B210" t="inlineStr">
        <is>
          <t>2026-03-23</t>
        </is>
      </c>
      <c r="C210" t="inlineStr">
        <is>
          <t>УПРАВЛІННЯ СЛУЖБИ БЕЗПЕКИ УКРАЇНИ У ВОЛИНСЬКІЙ ОБЛАСТІ</t>
        </is>
      </c>
      <c r="D210" t="inlineStr">
        <is>
          <t>Волинська область</t>
        </is>
      </c>
      <c r="E210" t="inlineStr">
        <is>
          <t xml:space="preserve">ДК 021:2015 – 30230000-0 Комп’ютерне обладнання (Ключ електронний DIAMOND 1000, </t>
        </is>
      </c>
      <c r="F210" s="13" t="n">
        <v>270000</v>
      </c>
      <c r="G210" t="inlineStr">
        <is>
          <t>Відкриті торги (нові)</t>
        </is>
      </c>
      <c r="H210" t="inlineStr">
        <is>
          <t>ТОВ "СПЕЦІНФОСИСТЕМИ"</t>
        </is>
      </c>
    </row>
    <row r="211">
      <c r="A211" s="4" t="inlineStr">
        <is>
          <t>UA-2026-01-26-017005-a</t>
        </is>
      </c>
      <c r="B211" t="inlineStr">
        <is>
          <t>2026-01-26</t>
        </is>
      </c>
      <c r="C211" t="inlineStr">
        <is>
          <t>СОШИЧНЕНСЬКА СІЛЬСЬКА РАДА</t>
        </is>
      </c>
      <c r="D211" t="inlineStr">
        <is>
          <t>Волинська область</t>
        </is>
      </c>
      <c r="E211" t="inlineStr">
        <is>
          <t>Багатофункціональні пристрої, Джерела безперебійного живлення</t>
        </is>
      </c>
      <c r="F211" s="13" t="n">
        <v>270000</v>
      </c>
      <c r="G211" t="inlineStr">
        <is>
          <t>Відкриті торги (нові)</t>
        </is>
      </c>
      <c r="H211" t="inlineStr">
        <is>
          <t>ТОВ "СИСТЕМАТИКА УКРАЇНА"</t>
        </is>
      </c>
    </row>
    <row r="212">
      <c r="A212" s="4" t="inlineStr">
        <is>
          <t>UA-2025-10-15-011288-a</t>
        </is>
      </c>
      <c r="B212" t="inlineStr">
        <is>
          <t>2025-10-15</t>
        </is>
      </c>
      <c r="C212" t="inlineStr">
        <is>
          <t>Луцький національний технічний університет</t>
        </is>
      </c>
      <c r="D212" t="inlineStr">
        <is>
          <t>Волинська область</t>
        </is>
      </c>
      <c r="E212" t="inlineStr">
        <is>
          <t>Багатофункціональні пристрої</t>
        </is>
      </c>
      <c r="F212" s="13" t="n">
        <v>270000</v>
      </c>
      <c r="G212" t="inlineStr">
        <is>
          <t>Відкриті торги (нові)</t>
        </is>
      </c>
      <c r="H212" t="inlineStr">
        <is>
          <t>ТОВ "В.М."</t>
        </is>
      </c>
    </row>
    <row r="213">
      <c r="A213" s="4" t="inlineStr">
        <is>
          <t>UA-2026-04-21-002861-a</t>
        </is>
      </c>
      <c r="B213" t="inlineStr">
        <is>
          <t>2026-04-21</t>
        </is>
      </c>
      <c r="C213" t="inlineStr">
        <is>
          <t>Військова частина Т0430</t>
        </is>
      </c>
      <c r="D213" t="inlineStr">
        <is>
          <t>Волинська область</t>
        </is>
      </c>
      <c r="E213" t="inlineStr">
        <is>
          <t>Комп’ютерне обладнання</t>
        </is>
      </c>
      <c r="F213" s="13" t="n">
        <v>269223.25</v>
      </c>
      <c r="G213" t="inlineStr">
        <is>
          <t>Запит пропозицій</t>
        </is>
      </c>
      <c r="H213" t="inlineStr"/>
    </row>
    <row r="214">
      <c r="A214" s="4" t="inlineStr">
        <is>
          <t>UA-2025-11-27-013291-a</t>
        </is>
      </c>
      <c r="B214" t="inlineStr">
        <is>
          <t>2025-11-27</t>
        </is>
      </c>
      <c r="C214" t="inlineStr">
        <is>
          <t>Департамент "Центр надання адміністративних послуг у місті Луцьку" Луцької міської ради</t>
        </is>
      </c>
      <c r="D214" t="inlineStr">
        <is>
          <t>Волинська область</t>
        </is>
      </c>
      <c r="E214" t="inlineStr">
        <is>
          <t>Комп'ютери настільні</t>
        </is>
      </c>
      <c r="F214" s="13" t="n">
        <v>268000</v>
      </c>
      <c r="G214" t="inlineStr">
        <is>
          <t>Запит пропозицій</t>
        </is>
      </c>
      <c r="H214" t="inlineStr"/>
    </row>
    <row r="215">
      <c r="A215" s="4" t="inlineStr">
        <is>
          <t>UA-2025-09-22-011472-a</t>
        </is>
      </c>
      <c r="B215" t="inlineStr">
        <is>
          <t>2025-09-22</t>
        </is>
      </c>
      <c r="C215" t="inlineStr">
        <is>
          <t>Гуманітарний відділ Литовезької сільської ради</t>
        </is>
      </c>
      <c r="D215" t="inlineStr">
        <is>
          <t>Волинська область</t>
        </is>
      </c>
      <c r="E215" t="inlineStr">
        <is>
          <t>Ноутбуки НУШ</t>
        </is>
      </c>
      <c r="F215" s="13" t="n">
        <v>267600</v>
      </c>
      <c r="G215" t="inlineStr">
        <is>
          <t>Запит пропозицій</t>
        </is>
      </c>
      <c r="H215" t="inlineStr">
        <is>
          <t>ФОП Кучерява Надія Михайлівна</t>
        </is>
      </c>
    </row>
    <row r="216">
      <c r="A216" s="4" t="inlineStr">
        <is>
          <t>UA-2026-06-29-011166-a</t>
        </is>
      </c>
      <c r="B216" t="inlineStr">
        <is>
          <t>2026-06-29</t>
        </is>
      </c>
      <c r="C216" t="inlineStr">
        <is>
          <t>Виконавчий комітет Ратнівської селищної ради</t>
        </is>
      </c>
      <c r="D216" t="inlineStr">
        <is>
          <t>Волинська область</t>
        </is>
      </c>
      <c r="E216" t="inlineStr">
        <is>
          <t>Планшет Samsung Galaxy Tab A11+ WiFi 6/128Gb Gray або еквівалент (код ДК 021:201</t>
        </is>
      </c>
      <c r="F216" s="13" t="n">
        <v>259200</v>
      </c>
      <c r="G216" t="inlineStr">
        <is>
          <t>Відкриті торги (нові)</t>
        </is>
      </c>
      <c r="H216" t="inlineStr"/>
    </row>
    <row r="217">
      <c r="A217" s="4" t="inlineStr">
        <is>
          <t>UA-2026-06-23-013118-a</t>
        </is>
      </c>
      <c r="B217" t="inlineStr">
        <is>
          <t>2026-06-23</t>
        </is>
      </c>
      <c r="C217" t="inlineStr">
        <is>
          <t>Виконавчий комітет Ратнівської селищної ради</t>
        </is>
      </c>
      <c r="D217" t="inlineStr">
        <is>
          <t>Волинська область</t>
        </is>
      </c>
      <c r="E217" t="inlineStr">
        <is>
          <t>Планшет Samsung Galaxy Tab A11+ WiFi 6/128Gb Gray (SM-X230NZAREUC)</t>
        </is>
      </c>
      <c r="F217" s="13" t="n">
        <v>259200</v>
      </c>
      <c r="G217" t="inlineStr">
        <is>
          <t>Запит пропозицій</t>
        </is>
      </c>
      <c r="H217" t="inlineStr"/>
    </row>
    <row r="218">
      <c r="A218" s="4" t="inlineStr">
        <is>
          <t>UA-2026-03-04-014179-a</t>
        </is>
      </c>
      <c r="B218" t="inlineStr">
        <is>
          <t>2026-03-04</t>
        </is>
      </c>
      <c r="C218" t="inlineStr">
        <is>
          <t>КП ""Луцькводоканал""</t>
        </is>
      </c>
      <c r="D218" t="inlineStr">
        <is>
          <t>Волинська область</t>
        </is>
      </c>
      <c r="E218" t="inlineStr">
        <is>
          <t>Комп’ютерне обладнання, код ДК 021:2015 - 30230000-0 (принтери)</t>
        </is>
      </c>
      <c r="F218" s="13" t="n">
        <v>258810</v>
      </c>
      <c r="G218" t="inlineStr">
        <is>
          <t>Запит пропозицій</t>
        </is>
      </c>
      <c r="H218" t="inlineStr">
        <is>
          <t>ФОП ІВАНЧЕНКО МАР'ЯНА МИКОЛАЇВНА</t>
        </is>
      </c>
    </row>
    <row r="219">
      <c r="A219" s="4" t="inlineStr">
        <is>
          <t>UA-2026-05-29-003362-a</t>
        </is>
      </c>
      <c r="B219" t="inlineStr">
        <is>
          <t>2026-05-29</t>
        </is>
      </c>
      <c r="C219" t="inlineStr">
        <is>
          <t>Виконавчий комітет Луцької міської ради</t>
        </is>
      </c>
      <c r="D219" t="inlineStr">
        <is>
          <t>Волинська область</t>
        </is>
      </c>
      <c r="E219" t="inlineStr">
        <is>
          <t>Ігровий ноутбук ACER Predator Helios 18 PH18-73 Abyssal Black (NH.QVXEU.003) (Дл</t>
        </is>
      </c>
      <c r="F219" s="13" t="n">
        <v>251000</v>
      </c>
      <c r="G219" t="inlineStr">
        <is>
          <t>Відкриті торги (нові)</t>
        </is>
      </c>
      <c r="H219" t="inlineStr">
        <is>
          <t>ТОВ «ЮДІТРЕЙД»</t>
        </is>
      </c>
    </row>
    <row r="220">
      <c r="A220" s="4" t="inlineStr">
        <is>
          <t>UA-2026-06-17-012977-a</t>
        </is>
      </c>
      <c r="B220" t="inlineStr">
        <is>
          <t>2026-06-17</t>
        </is>
      </c>
      <c r="C220" t="inlineStr">
        <is>
          <t>Виконавчий комітет Луцької міської ради</t>
        </is>
      </c>
      <c r="D220" t="inlineStr">
        <is>
          <t>Волинська область</t>
        </is>
      </c>
      <c r="E220" t="inlineStr">
        <is>
          <t>Ноутбук Lenovo IdeaPad Slim 3 15AMN8 (82XQ00LPRA)</t>
        </is>
      </c>
      <c r="F220" s="13" t="n">
        <v>250000</v>
      </c>
      <c r="G220" t="inlineStr">
        <is>
          <t>Запит пропозицій</t>
        </is>
      </c>
      <c r="H220" t="inlineStr"/>
    </row>
    <row r="221">
      <c r="A221" s="4" t="inlineStr">
        <is>
          <t>UA-2025-12-16-022135-a</t>
        </is>
      </c>
      <c r="B221" t="inlineStr">
        <is>
          <t>2025-12-16</t>
        </is>
      </c>
      <c r="C221" t="inlineStr">
        <is>
          <t>Територіальне управління Державної судової адміністрації України в Волинській області</t>
        </is>
      </c>
      <c r="D221" t="inlineStr">
        <is>
          <t>Волинська область</t>
        </is>
      </c>
      <c r="E221" t="inlineStr">
        <is>
          <t xml:space="preserve">код ДК 021:2015 30230000-0 «Комп’ютерне обладнання» Накопичувач SSD Apacer 2.5" </t>
        </is>
      </c>
      <c r="F221" s="13" t="n">
        <v>250000</v>
      </c>
      <c r="G221" t="inlineStr">
        <is>
          <t>Запит пропозицій</t>
        </is>
      </c>
      <c r="H221" t="inlineStr">
        <is>
          <t>ФОП "Собківська Тетяна Борисівна"</t>
        </is>
      </c>
    </row>
    <row r="222">
      <c r="A222" s="4" t="inlineStr">
        <is>
          <t>UA-2026-02-27-005041-a</t>
        </is>
      </c>
      <c r="B222" t="inlineStr">
        <is>
          <t>2026-02-27</t>
        </is>
      </c>
      <c r="C222" t="inlineStr">
        <is>
          <t>КП «ВОЛИНСЬКЕ ОБЛАСНЕ ТЕРИТОРІАЛЬНЕ МЕДИЧНЕ ОБ’ЄДНАНННЯ ЗАХИСТУ МАТЕРИНСТВА І ДИТИНСТВА» ВОЛИНСЬКОЇ ОБЛАСНОЇ РАДИ</t>
        </is>
      </c>
      <c r="D222" t="inlineStr">
        <is>
          <t>Волинська область</t>
        </is>
      </c>
      <c r="E222" t="inlineStr">
        <is>
          <t>БФП Canon i-SENSYS X 1440i (5951C003), АПД, Toner T13 BK</t>
        </is>
      </c>
      <c r="F222" s="13" t="n">
        <v>248120</v>
      </c>
      <c r="G222" t="inlineStr">
        <is>
          <t>Запит пропозицій</t>
        </is>
      </c>
      <c r="H222" t="inlineStr">
        <is>
          <t>ТОВ "ІНТЕКС ЦЕНТР"</t>
        </is>
      </c>
    </row>
    <row r="223">
      <c r="A223" s="4" t="inlineStr">
        <is>
          <t>UA-2026-04-02-002676-a</t>
        </is>
      </c>
      <c r="B223" t="inlineStr">
        <is>
          <t>2026-04-02</t>
        </is>
      </c>
      <c r="C223" t="inlineStr">
        <is>
          <t>Луцький національний технічний університет</t>
        </is>
      </c>
      <c r="D223" t="inlineStr">
        <is>
          <t>Волинська область</t>
        </is>
      </c>
      <c r="E223" t="inlineStr">
        <is>
          <t>Системні блоки</t>
        </is>
      </c>
      <c r="F223" s="13" t="n">
        <v>247500</v>
      </c>
      <c r="G223" t="inlineStr">
        <is>
          <t>Відкриті торги (нові)</t>
        </is>
      </c>
      <c r="H223" t="inlineStr"/>
    </row>
    <row r="224">
      <c r="A224" s="4" t="inlineStr">
        <is>
          <t>UA-2025-09-03-003380-a</t>
        </is>
      </c>
      <c r="B224" t="inlineStr">
        <is>
          <t>2025-09-03</t>
        </is>
      </c>
      <c r="C224" t="inlineStr">
        <is>
          <t>Військова частина 9971</t>
        </is>
      </c>
      <c r="D224" t="inlineStr">
        <is>
          <t>Волинська область</t>
        </is>
      </c>
      <c r="E224" t="inlineStr">
        <is>
          <t>Планшети</t>
        </is>
      </c>
      <c r="F224" s="13" t="n">
        <v>246400</v>
      </c>
      <c r="G224" t="inlineStr">
        <is>
          <t>Запит пропозицій</t>
        </is>
      </c>
      <c r="H224" t="inlineStr">
        <is>
          <t>ТОВ "СЕКУР ІНТЕГРАЦІЯ"</t>
        </is>
      </c>
    </row>
    <row r="225">
      <c r="A225" s="4" t="inlineStr">
        <is>
          <t>UA-2025-11-04-010282-a</t>
        </is>
      </c>
      <c r="B225" t="inlineStr">
        <is>
          <t>2025-11-04</t>
        </is>
      </c>
      <c r="C225" t="inlineStr">
        <is>
          <t>ВІДОКРЕМЛЕНИЙ СТРУКТУРНИЙ ПІДРОЗДІЛ "ВОЛИНСЬКИЙ ФАХОВИЙ КОЛЕДЖ НАЦІОНАЛЬНОГО УНІВЕРСИТЕТУ ХАРЧОВИХ ТЕХНОЛОГІЙ"</t>
        </is>
      </c>
      <c r="D225" t="inlineStr">
        <is>
          <t>Волинська область</t>
        </is>
      </c>
      <c r="E225" t="inlineStr">
        <is>
          <t>3D-принтер, код ДК 021:2015: 30230000-0-Комп’ютерне обладнання</t>
        </is>
      </c>
      <c r="F225" s="13" t="n">
        <v>240000</v>
      </c>
      <c r="G225" t="inlineStr">
        <is>
          <t>Відкриті торги (нові)</t>
        </is>
      </c>
      <c r="H225" t="inlineStr"/>
    </row>
    <row r="226">
      <c r="A226" s="4" t="inlineStr">
        <is>
          <t>UA-2025-10-29-002461-a</t>
        </is>
      </c>
      <c r="B226" t="inlineStr">
        <is>
          <t>2025-10-29</t>
        </is>
      </c>
      <c r="C226" t="inlineStr">
        <is>
          <t>Виконавчий комітет Луцької міської ради</t>
        </is>
      </c>
      <c r="D226" t="inlineStr">
        <is>
          <t>Волинська область</t>
        </is>
      </c>
      <c r="E226" t="inlineStr">
        <is>
          <t>БФП Canon i-SENSYS MF3010, бандл 2 x Картридж 725 (5252B034)</t>
        </is>
      </c>
      <c r="F226" s="13" t="n">
        <v>240000</v>
      </c>
      <c r="G226" t="inlineStr">
        <is>
          <t>Запит пропозицій</t>
        </is>
      </c>
      <c r="H226" t="inlineStr"/>
    </row>
    <row r="227">
      <c r="A227" s="4" t="inlineStr">
        <is>
          <t>UA-2025-09-02-001993-a</t>
        </is>
      </c>
      <c r="B227" t="inlineStr">
        <is>
          <t>2025-09-02</t>
        </is>
      </c>
      <c r="C227" t="inlineStr">
        <is>
          <t>Територіальне управління Державної судової адміністрації України в Волинській області</t>
        </is>
      </c>
      <c r="D227" t="inlineStr">
        <is>
          <t>Волинська область</t>
        </is>
      </c>
      <c r="E227" t="inlineStr">
        <is>
          <t>код ДК 021:2015 30230000-0 «Комп’ютерне обладнання» (Захищені носії особистих кл</t>
        </is>
      </c>
      <c r="F227" s="13" t="n">
        <v>235980</v>
      </c>
      <c r="G227" t="inlineStr">
        <is>
          <t>Запит пропозицій</t>
        </is>
      </c>
      <c r="H227" t="inlineStr">
        <is>
          <t>ПрАТ "ПрАТ "ІНСТИТУТ ІНФОРМАЦІЙНИХ ТЕХНОЛОГІЙ""</t>
        </is>
      </c>
    </row>
    <row r="228">
      <c r="A228" s="4" t="inlineStr">
        <is>
          <t>UA-2025-11-06-015400-a</t>
        </is>
      </c>
      <c r="B228" t="inlineStr">
        <is>
          <t>2025-11-06</t>
        </is>
      </c>
      <c r="C228" t="inlineStr">
        <is>
          <t>Виконавчий комітет Ковельської міської ради</t>
        </is>
      </c>
      <c r="D228" t="inlineStr">
        <is>
          <t>Волинська область</t>
        </is>
      </c>
      <c r="E228" t="inlineStr">
        <is>
          <t>Ноутбуки</t>
        </is>
      </c>
      <c r="F228" s="13" t="n">
        <v>234600</v>
      </c>
      <c r="G228" t="inlineStr">
        <is>
          <t>Відкриті торги (нові)</t>
        </is>
      </c>
      <c r="H228" t="inlineStr">
        <is>
          <t>ФОП "ЗАВАДСЬКА ВАЛЕНТИНА ВАСИЛІВНА"</t>
        </is>
      </c>
    </row>
    <row r="229">
      <c r="A229" s="4" t="inlineStr">
        <is>
          <t>UA-2025-12-17-023135-a</t>
        </is>
      </c>
      <c r="B229" t="inlineStr">
        <is>
          <t>2025-12-17</t>
        </is>
      </c>
      <c r="C229" t="inlineStr">
        <is>
          <t>ГОЛОВНЕ УПРАВЛІННЯ ПЕНСІЙНОГО ФОНДУ УКРАЇНИ У ВОЛИНСЬКІЙ ОБЛАСТІ</t>
        </is>
      </c>
      <c r="D229" t="inlineStr">
        <is>
          <t>Волинська область</t>
        </is>
      </c>
      <c r="E229" t="inlineStr">
        <is>
          <t>Джерела безперебійного живлення (ДК 021:2015 — 30230000-0 Комп’ютерне обладнання</t>
        </is>
      </c>
      <c r="F229" s="13" t="n">
        <v>234000</v>
      </c>
      <c r="G229" t="inlineStr">
        <is>
          <t>Запит пропозицій</t>
        </is>
      </c>
      <c r="H229" t="inlineStr">
        <is>
          <t>ТОВ "ПАВЕРТРЕЙД"</t>
        </is>
      </c>
    </row>
    <row r="230">
      <c r="A230" s="4" t="inlineStr">
        <is>
          <t>UA-2025-12-12-010601-a</t>
        </is>
      </c>
      <c r="B230" t="inlineStr">
        <is>
          <t>2025-12-12</t>
        </is>
      </c>
      <c r="C230" t="inlineStr">
        <is>
          <t>ГОЛОВНЕ УПРАВЛІННЯ ПЕНСІЙНОГО ФОНДУ УКРАЇНИ У ВОЛИНСЬКІЙ ОБЛАСТІ</t>
        </is>
      </c>
      <c r="D230" t="inlineStr">
        <is>
          <t>Волинська область</t>
        </is>
      </c>
      <c r="E230" t="inlineStr">
        <is>
          <t>Джерела безперебійного живлення (ДК 021:2015 — 30230000-0 Комп’ютерне обладнання</t>
        </is>
      </c>
      <c r="F230" s="13" t="n">
        <v>234000</v>
      </c>
      <c r="G230" t="inlineStr">
        <is>
          <t>Запит пропозицій</t>
        </is>
      </c>
      <c r="H230" t="inlineStr"/>
    </row>
    <row r="231">
      <c r="A231" s="4" t="inlineStr">
        <is>
          <t>UA-2026-07-17-008924-a</t>
        </is>
      </c>
      <c r="B231" t="inlineStr">
        <is>
          <t>2026-07-17</t>
        </is>
      </c>
      <c r="C231" t="inlineStr">
        <is>
          <t>Виконавчий комітет Луцької міської ради</t>
        </is>
      </c>
      <c r="D231" t="inlineStr">
        <is>
          <t>Волинська область</t>
        </is>
      </c>
      <c r="E231" t="inlineStr">
        <is>
          <t>Ноутбук Lenovo V15 G4 IRU Business Black (83A100X1RA)</t>
        </is>
      </c>
      <c r="F231" s="13" t="n">
        <v>233333.33</v>
      </c>
      <c r="G231" t="inlineStr">
        <is>
          <t>Запит пропозицій</t>
        </is>
      </c>
      <c r="H231" t="inlineStr">
        <is>
          <t>ТОВ «ПОРТАЛ АРЕНА»</t>
        </is>
      </c>
    </row>
    <row r="232">
      <c r="A232" s="4" t="inlineStr">
        <is>
          <t>UA-2026-03-31-001476-a</t>
        </is>
      </c>
      <c r="B232" t="inlineStr">
        <is>
          <t>2026-03-31</t>
        </is>
      </c>
      <c r="C232" t="inlineStr">
        <is>
          <t>Луцький національний технічний університет</t>
        </is>
      </c>
      <c r="D232" t="inlineStr">
        <is>
          <t>Волинська область</t>
        </is>
      </c>
      <c r="E232" t="inlineStr">
        <is>
          <t>Периферійне обладнання</t>
        </is>
      </c>
      <c r="F232" s="13" t="n">
        <v>230000</v>
      </c>
      <c r="G232" t="inlineStr">
        <is>
          <t>Відкриті торги (нові)</t>
        </is>
      </c>
      <c r="H232" t="inlineStr">
        <is>
          <t>ТОВ "МВКОМ"</t>
        </is>
      </c>
    </row>
    <row r="233">
      <c r="A233" s="4" t="inlineStr">
        <is>
          <t>UA-2026-03-11-005905-a</t>
        </is>
      </c>
      <c r="B233" t="inlineStr">
        <is>
          <t>2026-03-11</t>
        </is>
      </c>
      <c r="C233" t="inlineStr">
        <is>
          <t>Виконавчий комітет Луцької міської ради</t>
        </is>
      </c>
      <c r="D233" t="inlineStr">
        <is>
          <t>Волинська область</t>
        </is>
      </c>
      <c r="E233" t="inlineStr">
        <is>
          <t>Ноутбуки (Для потреб сил оборони)</t>
        </is>
      </c>
      <c r="F233" s="13" t="n">
        <v>225000</v>
      </c>
      <c r="G233" t="inlineStr">
        <is>
          <t>Запит пропозицій</t>
        </is>
      </c>
      <c r="H233" t="inlineStr"/>
    </row>
    <row r="234">
      <c r="A234" s="4" t="inlineStr">
        <is>
          <t>UA-2026-03-04-009702-a</t>
        </is>
      </c>
      <c r="B234" t="inlineStr">
        <is>
          <t>2026-03-04</t>
        </is>
      </c>
      <c r="C234" t="inlineStr">
        <is>
          <t>КП ""Луцькводоканал""</t>
        </is>
      </c>
      <c r="D234" t="inlineStr">
        <is>
          <t>Волинська область</t>
        </is>
      </c>
      <c r="E234" t="inlineStr">
        <is>
          <t>Машини для обробки даних (апаратна частина), код ДК 021:2015 -30210000-4 ( ноутб</t>
        </is>
      </c>
      <c r="F234" s="13" t="n">
        <v>224100</v>
      </c>
      <c r="G234" t="inlineStr">
        <is>
          <t>Запит пропозицій</t>
        </is>
      </c>
      <c r="H234" t="inlineStr"/>
    </row>
    <row r="235">
      <c r="A235" s="4" t="inlineStr">
        <is>
          <t>UA-2025-11-04-006800-a</t>
        </is>
      </c>
      <c r="B235" t="inlineStr">
        <is>
          <t>2025-11-04</t>
        </is>
      </c>
      <c r="C235" t="inlineStr">
        <is>
          <t>ВОЛИНСЬКА ОБЛАСНА ПРОКУРАТУРА</t>
        </is>
      </c>
      <c r="D235" t="inlineStr">
        <is>
          <t>Волинська область</t>
        </is>
      </c>
      <c r="E235" t="inlineStr">
        <is>
          <t>Монітори за кодом ДК 021:2015-30230000-0 Комп’ютерне обладнання</t>
        </is>
      </c>
      <c r="F235" s="13" t="n">
        <v>224000</v>
      </c>
      <c r="G235" t="inlineStr">
        <is>
          <t>Запит пропозицій</t>
        </is>
      </c>
      <c r="H235" t="inlineStr">
        <is>
          <t>ТОВ ПРИВАТЕНЕРГО</t>
        </is>
      </c>
    </row>
    <row r="236">
      <c r="A236" s="4" t="inlineStr">
        <is>
          <t>UA-2026-05-14-010464-a</t>
        </is>
      </c>
      <c r="B236" t="inlineStr">
        <is>
          <t>2026-05-14</t>
        </is>
      </c>
      <c r="C236" t="inlineStr">
        <is>
          <t>Виконавчий комітет Луцької міської ради</t>
        </is>
      </c>
      <c r="D236" t="inlineStr">
        <is>
          <t>Волинська область</t>
        </is>
      </c>
      <c r="E236" t="inlineStr">
        <is>
          <t>Ігровий ноутбук ACER Predator Helios 18 PH18-73 Abyssal Black (NH.QVXEU.003) (Дл</t>
        </is>
      </c>
      <c r="F236" s="13" t="n">
        <v>220000</v>
      </c>
      <c r="G236" t="inlineStr">
        <is>
          <t>Відкриті торги (нові)</t>
        </is>
      </c>
      <c r="H236" t="inlineStr"/>
    </row>
    <row r="237">
      <c r="A237" s="4" t="inlineStr">
        <is>
          <t>UA-2026-02-19-010901-a</t>
        </is>
      </c>
      <c r="B237" t="inlineStr">
        <is>
          <t>2026-02-19</t>
        </is>
      </c>
      <c r="C237" t="inlineStr">
        <is>
          <t>Виконавчий комітет Луцької міської ради</t>
        </is>
      </c>
      <c r="D237" t="inlineStr">
        <is>
          <t>Волинська область</t>
        </is>
      </c>
      <c r="E237" t="inlineStr">
        <is>
          <t>Ноутбуки (Для потреб сил оборони)</t>
        </is>
      </c>
      <c r="F237" s="13" t="n">
        <v>220000</v>
      </c>
      <c r="G237" t="inlineStr">
        <is>
          <t>Запит пропозицій</t>
        </is>
      </c>
      <c r="H237" t="inlineStr"/>
    </row>
    <row r="238">
      <c r="A238" s="4" t="inlineStr">
        <is>
          <t>UA-2026-03-24-012123-a</t>
        </is>
      </c>
      <c r="B238" t="inlineStr">
        <is>
          <t>2026-03-24</t>
        </is>
      </c>
      <c r="C238" t="inlineStr">
        <is>
          <t>КП «ВОЛИНСЬКЕ ОБЛАСНЕ ТЕРИТОРІАЛЬНЕ МЕДИЧНЕ ОБ’ЄДНАНННЯ ЗАХИСТУ МАТЕРИНСТВА І ДИТИНСТВА» ВОЛИНСЬКОЇ ОБЛАСНОЇ РАДИ</t>
        </is>
      </c>
      <c r="D238" t="inlineStr">
        <is>
          <t>Волинська область</t>
        </is>
      </c>
      <c r="E238" t="inlineStr">
        <is>
          <t>БФП Canon i-SENSYS MF461dw з Wi-Fi (5951C020). Комплект постачання: БФП, стартов</t>
        </is>
      </c>
      <c r="F238" s="13" t="n">
        <v>216990</v>
      </c>
      <c r="G238" t="inlineStr">
        <is>
          <t>Запит пропозицій</t>
        </is>
      </c>
      <c r="H238" t="inlineStr">
        <is>
          <t>ТОВ "САНТАРЕКС"</t>
        </is>
      </c>
    </row>
    <row r="239">
      <c r="A239" s="4" t="inlineStr">
        <is>
          <t>UA-2025-10-31-011658-a</t>
        </is>
      </c>
      <c r="B239" t="inlineStr">
        <is>
          <t>2025-10-31</t>
        </is>
      </c>
      <c r="C239" t="inlineStr">
        <is>
          <t>ГОЛОВНЕ УПРАВЛІННЯ ПЕНСІЙНОГО ФОНДУ УКРАЇНИ У ВОЛИНСЬКІЙ ОБЛАСТІ</t>
        </is>
      </c>
      <c r="D239" t="inlineStr">
        <is>
          <t>Волинська область</t>
        </is>
      </c>
      <c r="E239" t="inlineStr">
        <is>
          <t>Ноутбуки (діагональ екрану — не менше 18,0") (ДК 021:2015 — 30210000-4 Машини дл</t>
        </is>
      </c>
      <c r="F239" s="13" t="n">
        <v>215000</v>
      </c>
      <c r="G239" t="inlineStr">
        <is>
          <t>Відкриті торги (нові)</t>
        </is>
      </c>
      <c r="H239" t="inlineStr"/>
    </row>
    <row r="240">
      <c r="A240" s="4" t="inlineStr">
        <is>
          <t>UA-2025-12-08-019876-a</t>
        </is>
      </c>
      <c r="B240" t="inlineStr">
        <is>
          <t>2025-12-08</t>
        </is>
      </c>
      <c r="C240" t="inlineStr">
        <is>
          <t>ВОЛИНСЬКА ОБЛАСНА ПРОКУРАТУРА</t>
        </is>
      </c>
      <c r="D240" t="inlineStr">
        <is>
          <t>Волинська область</t>
        </is>
      </c>
      <c r="E240" t="inlineStr">
        <is>
          <t>Периферійне обладнання (пристрої для друку та сканування) за кодом (ДК 021:2015-</t>
        </is>
      </c>
      <c r="F240" s="13" t="n">
        <v>211200</v>
      </c>
      <c r="G240" t="inlineStr">
        <is>
          <t>Запит пропозицій</t>
        </is>
      </c>
      <c r="H240" t="inlineStr">
        <is>
          <t>ТОВ "САНТАРЕКС"</t>
        </is>
      </c>
    </row>
    <row r="241">
      <c r="A241" s="4" t="inlineStr">
        <is>
          <t>UA-2025-11-11-016946-a</t>
        </is>
      </c>
      <c r="B241" t="inlineStr">
        <is>
          <t>2025-11-11</t>
        </is>
      </c>
      <c r="C241" t="inlineStr">
        <is>
          <t>ГОСПОДАРСЬКИЙ СУД ВОЛИНСЬКОЇ ОБЛАСТІ</t>
        </is>
      </c>
      <c r="D241" t="inlineStr">
        <is>
          <t>Волинська область</t>
        </is>
      </c>
      <c r="E241" t="inlineStr">
        <is>
          <t>Багатофункціональні пристрої,Принтери</t>
        </is>
      </c>
      <c r="F241" s="13" t="n">
        <v>210000</v>
      </c>
      <c r="G241" t="inlineStr">
        <is>
          <t>Запит пропозицій</t>
        </is>
      </c>
      <c r="H241" t="inlineStr">
        <is>
          <t>ТОВ "ПАВЕРТРЕЙД"</t>
        </is>
      </c>
    </row>
    <row r="242">
      <c r="A242" s="4" t="inlineStr">
        <is>
          <t>UA-2025-11-11-016296-a</t>
        </is>
      </c>
      <c r="B242" t="inlineStr">
        <is>
          <t>2025-11-11</t>
        </is>
      </c>
      <c r="C242" t="inlineStr">
        <is>
          <t>ЛІЦЕЙ ІМЕНІ ОЛЕКСАНДРА ЦИНКАЛОВСЬКОГО ВОЛОДИМИРСЬКОЇ МІСЬКОЇ РАДИ</t>
        </is>
      </c>
      <c r="D242" t="inlineStr">
        <is>
          <t>Волинська область</t>
        </is>
      </c>
      <c r="E242" t="inlineStr">
        <is>
          <t>Багатофункціональні пристрої</t>
        </is>
      </c>
      <c r="F242" s="13" t="n">
        <v>210000</v>
      </c>
      <c r="G242" t="inlineStr">
        <is>
          <t>Запит пропозицій</t>
        </is>
      </c>
      <c r="H242" t="inlineStr"/>
    </row>
    <row r="243">
      <c r="A243" s="4" t="inlineStr">
        <is>
          <t>UA-2025-09-30-011311-a</t>
        </is>
      </c>
      <c r="B243" t="inlineStr">
        <is>
          <t>2025-09-30</t>
        </is>
      </c>
      <c r="C243" t="inlineStr">
        <is>
          <t>ВІДОКРЕМЛЕНИЙ СТРУКТУРНИЙ ПІДРОЗДІЛ "ВОЛИНСЬКИЙ ФАХОВИЙ КОЛЕДЖ НАЦІОНАЛЬНОГО УНІВЕРСИТЕТУ ХАРЧОВИХ ТЕХНОЛОГІЙ"</t>
        </is>
      </c>
      <c r="D243" t="inlineStr">
        <is>
          <t>Волинська область</t>
        </is>
      </c>
      <c r="E243" t="inlineStr">
        <is>
          <t>Лабораторія 3D ROBO з витратними матеріалами</t>
        </is>
      </c>
      <c r="F243" s="13" t="n">
        <v>207900</v>
      </c>
      <c r="G243" t="inlineStr">
        <is>
          <t>Відкриті торги (нові)</t>
        </is>
      </c>
      <c r="H243" t="inlineStr"/>
    </row>
    <row r="244">
      <c r="A244" s="4" t="inlineStr">
        <is>
          <t>UA-2026-02-06-003851-a</t>
        </is>
      </c>
      <c r="B244" t="inlineStr">
        <is>
          <t>2026-02-06</t>
        </is>
      </c>
      <c r="C244" t="inlineStr">
        <is>
          <t>ДЕПАРТАМЕНТ З ПИТАНЬ ВЕТЕРАНСЬКОЇ ПОЛІТИКИ ЛУЦЬКОЇ МІСЬКОЇ РАДИ</t>
        </is>
      </c>
      <c r="D244" t="inlineStr">
        <is>
          <t>Волинська область</t>
        </is>
      </c>
      <c r="E244" t="inlineStr">
        <is>
          <t>Моноблоки</t>
        </is>
      </c>
      <c r="F244" s="13" t="n">
        <v>206160</v>
      </c>
      <c r="G244" t="inlineStr">
        <is>
          <t>Запит пропозицій</t>
        </is>
      </c>
      <c r="H244" t="inlineStr">
        <is>
          <t>ФОП "ГАЛИЦЬКА МАРИНА МИКОЛАЇВНА"</t>
        </is>
      </c>
    </row>
    <row r="245">
      <c r="A245" s="4" t="inlineStr">
        <is>
          <t>UA-2026-06-26-007333-a</t>
        </is>
      </c>
      <c r="B245" t="inlineStr">
        <is>
          <t>2026-06-26</t>
        </is>
      </c>
      <c r="C245" t="inlineStr">
        <is>
          <t>Заболоттівська селищна рада</t>
        </is>
      </c>
      <c r="D245" t="inlineStr">
        <is>
          <t>Волинська область</t>
        </is>
      </c>
      <c r="E245" t="inlineStr">
        <is>
          <t>Ноутбуки НУШ</t>
        </is>
      </c>
      <c r="F245" s="13" t="n">
        <v>205000</v>
      </c>
      <c r="G245" t="inlineStr">
        <is>
          <t>Запит пропозицій</t>
        </is>
      </c>
      <c r="H245" t="inlineStr">
        <is>
          <t>ТОВ "СТЕМ ПРОСТІР"</t>
        </is>
      </c>
    </row>
    <row r="246">
      <c r="A246" s="4" t="inlineStr">
        <is>
          <t>UA-2026-05-08-000641-a</t>
        </is>
      </c>
      <c r="B246" t="inlineStr">
        <is>
          <t>2026-05-08</t>
        </is>
      </c>
      <c r="C246" t="inlineStr">
        <is>
          <t>ГОЛОВНЕ УПРАВЛІННЯ ПЕНСІЙНОГО ФОНДУ УКРАЇНИ У ВОЛИНСЬКІЙ ОБЛАСТІ</t>
        </is>
      </c>
      <c r="D246" t="inlineStr">
        <is>
          <t>Волинська область</t>
        </is>
      </c>
      <c r="E246" t="inlineStr">
        <is>
          <t>Багатофункціональний кольоровий лазерний пристрій формату А3 (ДК 021:2015 — 3023</t>
        </is>
      </c>
      <c r="F246" s="13" t="n">
        <v>205000</v>
      </c>
      <c r="G246" t="inlineStr">
        <is>
          <t>Відкриті торги (нові)</t>
        </is>
      </c>
      <c r="H246" t="inlineStr">
        <is>
          <t>ДП "КОНІКА МІНОЛТА УКРАЇНА"</t>
        </is>
      </c>
    </row>
    <row r="247">
      <c r="A247" s="4" t="inlineStr">
        <is>
          <t>UA-2025-12-10-002364-a</t>
        </is>
      </c>
      <c r="B247" t="inlineStr">
        <is>
          <t>2025-12-10</t>
        </is>
      </c>
      <c r="C247" t="inlineStr">
        <is>
          <t>КОПАЧІВСЬКА СІЛЬСЬКА РАДА</t>
        </is>
      </c>
      <c r="D247" t="inlineStr">
        <is>
          <t>Волинська область</t>
        </is>
      </c>
      <c r="E247" t="inlineStr">
        <is>
          <t>Комп’ютери настільні та ноутбуки (ДК 021:2015: 30210000-4Машини для обробки дани</t>
        </is>
      </c>
      <c r="F247" s="13" t="n">
        <v>204000</v>
      </c>
      <c r="G247" t="inlineStr">
        <is>
          <t>Запит пропозицій</t>
        </is>
      </c>
      <c r="H247" t="inlineStr">
        <is>
          <t>ФОП "ДАНИЛЬЧУК СЕРГІЙ ВАЛЕРІЙОВИЧ"</t>
        </is>
      </c>
    </row>
    <row r="248">
      <c r="A248" s="4" t="inlineStr">
        <is>
          <t>UA-2026-04-21-012151-a</t>
        </is>
      </c>
      <c r="B248" t="inlineStr">
        <is>
          <t>2026-04-21</t>
        </is>
      </c>
      <c r="C248" t="inlineStr">
        <is>
          <t>КП "Медичне об'єднання Луцької міської територіальної громади"</t>
        </is>
      </c>
      <c r="D248" t="inlineStr">
        <is>
          <t>Волинська область</t>
        </is>
      </c>
      <c r="E248" t="inlineStr">
        <is>
          <t>код ДК021:2015 - 30230000-0: Комп’ютерне обладнання (Монітори)</t>
        </is>
      </c>
      <c r="F248" s="13" t="n">
        <v>202500</v>
      </c>
      <c r="G248" t="inlineStr">
        <is>
          <t>Відкриті торги (нові)</t>
        </is>
      </c>
      <c r="H248" t="inlineStr">
        <is>
          <t>ТОВ «ЮДІТРЕЙД»</t>
        </is>
      </c>
    </row>
    <row r="249">
      <c r="A249" s="4" t="inlineStr">
        <is>
          <t>UA-2026-03-12-003768-a</t>
        </is>
      </c>
      <c r="B249" t="inlineStr">
        <is>
          <t>2026-03-12</t>
        </is>
      </c>
      <c r="C249" t="inlineStr">
        <is>
          <t>КП "Медичне об'єднання Луцької міської територіальної громади"</t>
        </is>
      </c>
      <c r="D249" t="inlineStr">
        <is>
          <t>Волинська область</t>
        </is>
      </c>
      <c r="E249" t="inlineStr">
        <is>
          <t>код ДК021:2015 - 30230000-0: Комп’ютерне обладнання (Монітори)</t>
        </is>
      </c>
      <c r="F249" s="13" t="n">
        <v>202500</v>
      </c>
      <c r="G249" t="inlineStr">
        <is>
          <t>Відкриті торги (нові)</t>
        </is>
      </c>
      <c r="H249" t="inlineStr"/>
    </row>
    <row r="250">
      <c r="A250" s="4" t="inlineStr">
        <is>
          <t>UA-2025-12-12-020701-a</t>
        </is>
      </c>
      <c r="B250" t="inlineStr">
        <is>
          <t>2025-12-12</t>
        </is>
      </c>
      <c r="C250" t="inlineStr">
        <is>
          <t>УПРАВЛІННЯ ГУМАНІТАРНОЇ ПОЛІТИКИ КАМІНЬ-КАШИРСЬКОЇ МІСЬКОЇ РАДИ</t>
        </is>
      </c>
      <c r="D250" t="inlineStr">
        <is>
          <t>Волинська область</t>
        </is>
      </c>
      <c r="E250" t="inlineStr">
        <is>
          <t>Android-планшет від 10” для навчального кабінету “Захист України”</t>
        </is>
      </c>
      <c r="F250" s="13" t="n">
        <v>200000</v>
      </c>
      <c r="G250" t="inlineStr">
        <is>
          <t>Запит пропозицій</t>
        </is>
      </c>
      <c r="H250" t="inlineStr">
        <is>
          <t>ФОП "Семенюк Віталій Миколайович"</t>
        </is>
      </c>
    </row>
    <row r="251">
      <c r="A251" s="4" t="inlineStr">
        <is>
          <t>UA-2025-12-05-014534-a</t>
        </is>
      </c>
      <c r="B251" t="inlineStr">
        <is>
          <t>2025-12-05</t>
        </is>
      </c>
      <c r="C251" t="inlineStr">
        <is>
          <t>УПРАВЛІННЯ ГУМАНІТАРНОЇ ПОЛІТИКИ КАМІНЬ-КАШИРСЬКОЇ МІСЬКОЇ РАДИ</t>
        </is>
      </c>
      <c r="D251" t="inlineStr">
        <is>
          <t>Волинська область</t>
        </is>
      </c>
      <c r="E251" t="inlineStr">
        <is>
          <t xml:space="preserve">Android-планшет від 10” для навчального кабінету “Захист України” (ДК 021:2015: </t>
        </is>
      </c>
      <c r="F251" s="13" t="n">
        <v>200000</v>
      </c>
      <c r="G251" t="inlineStr">
        <is>
          <t>Запит пропозицій</t>
        </is>
      </c>
      <c r="H251" t="inlineStr"/>
    </row>
    <row r="252">
      <c r="A252" s="4" t="inlineStr">
        <is>
          <t>UA-2025-10-01-009397-a</t>
        </is>
      </c>
      <c r="B252" t="inlineStr">
        <is>
          <t>2025-10-01</t>
        </is>
      </c>
      <c r="C252" t="inlineStr">
        <is>
          <t>Територіальне управління Державної судової адміністрації України в Волинській області</t>
        </is>
      </c>
      <c r="D252" t="inlineStr">
        <is>
          <t>Волинська область</t>
        </is>
      </c>
      <c r="E252" t="inlineStr">
        <is>
          <t>код ДК 021:2015 30230000-0 «Комп’ютерне обладнання» ДБЖ LP LP-UL800VA-8PS для по</t>
        </is>
      </c>
      <c r="F252" s="13" t="n">
        <v>200000</v>
      </c>
      <c r="G252" t="inlineStr">
        <is>
          <t>Запит пропозицій</t>
        </is>
      </c>
      <c r="H252" t="inlineStr">
        <is>
          <t>ТОВ "ЛАЙТ ЕНЕРДЖІ ПЛЮС"</t>
        </is>
      </c>
    </row>
    <row r="253">
      <c r="A253" s="4" t="inlineStr">
        <is>
          <t>UA-2025-11-28-014373-a</t>
        </is>
      </c>
      <c r="B253" t="inlineStr">
        <is>
          <t>2025-11-28</t>
        </is>
      </c>
      <c r="C253" t="inlineStr">
        <is>
          <t>Нововолинський електромеханічний фаховий коледж</t>
        </is>
      </c>
      <c r="D253" t="inlineStr">
        <is>
          <t>Волинська область</t>
        </is>
      </c>
      <c r="E253" t="inlineStr">
        <is>
          <t>Машини для обробки даних (апаратна частина) (Персональний комп’ютер)</t>
        </is>
      </c>
      <c r="F253" s="13" t="n">
        <v>198000</v>
      </c>
      <c r="G253" t="inlineStr">
        <is>
          <t>Відкриті торги (нові)</t>
        </is>
      </c>
      <c r="H253" t="inlineStr">
        <is>
          <t>ТОВ "СИСТЕМАТИКА УКРАЇНА"</t>
        </is>
      </c>
    </row>
    <row r="254">
      <c r="A254" s="4" t="inlineStr">
        <is>
          <t>UA-2025-09-19-009000-a</t>
        </is>
      </c>
      <c r="B254" t="inlineStr">
        <is>
          <t>2025-09-19</t>
        </is>
      </c>
      <c r="C254" t="inlineStr">
        <is>
          <t>Територіальне управління Державної судової адміністрації України в Волинській області</t>
        </is>
      </c>
      <c r="D254" t="inlineStr">
        <is>
          <t>Волинська область</t>
        </is>
      </c>
      <c r="E254" t="inlineStr">
        <is>
          <t>код ДК 021:2015 30230000-0 «Комп’ютерне обладнання» ДБЖ LP LP-UL800VA-8PS для по</t>
        </is>
      </c>
      <c r="F254" s="13" t="n">
        <v>197277</v>
      </c>
      <c r="G254" t="inlineStr">
        <is>
          <t>Запит пропозицій</t>
        </is>
      </c>
      <c r="H254" t="inlineStr">
        <is>
          <t>ТОВ "ЛАЙТ ЕНЕРДЖІ ПЛЮС"</t>
        </is>
      </c>
    </row>
    <row r="255">
      <c r="A255" s="4" t="inlineStr">
        <is>
          <t>UA-2026-08-25-002821-a</t>
        </is>
      </c>
      <c r="B255" t="inlineStr">
        <is>
          <t>2026-08-25</t>
        </is>
      </c>
      <c r="C255" t="inlineStr">
        <is>
          <t>Вишнівська сільська рада</t>
        </is>
      </c>
      <c r="D255" t="inlineStr">
        <is>
          <t>Волинська область</t>
        </is>
      </c>
      <c r="E255" t="inlineStr">
        <is>
          <t xml:space="preserve">Ноутбуки Acer Nitro V 16 AI ANV16-42-ROS5 Black AMD Ryzen 5 240 / 16 ГБ, DDR5 в </t>
        </is>
      </c>
      <c r="F255" s="13" t="n">
        <v>195438.2</v>
      </c>
      <c r="G255" t="inlineStr">
        <is>
          <t>Звіт про договір</t>
        </is>
      </c>
      <c r="H255" t="inlineStr">
        <is>
          <t>ТОВ "ПАРСЕР"</t>
        </is>
      </c>
    </row>
    <row r="256">
      <c r="A256" s="4" t="inlineStr">
        <is>
          <t>UA-2025-11-17-006240-a</t>
        </is>
      </c>
      <c r="B256" t="inlineStr">
        <is>
          <t>2025-11-17</t>
        </is>
      </c>
      <c r="C256" t="inlineStr">
        <is>
          <t>ВОЛИНСЬКИЙ НАУКОВО-ДОСЛІДНИЙ ЕКСПЕРТНО-КРИМІНАЛІСТИЧНИЙ ЦЕНТР МВС УКРАЇНИ</t>
        </is>
      </c>
      <c r="D256" t="inlineStr">
        <is>
          <t>Волинська область</t>
        </is>
      </c>
      <c r="E256" t="inlineStr">
        <is>
          <t>Комп’ютери в комплекті: системний блок, монітор, маніпулятор миша, клавіатура</t>
        </is>
      </c>
      <c r="F256" s="13" t="n">
        <v>192655</v>
      </c>
      <c r="G256" t="inlineStr">
        <is>
          <t>Відкриті торги (нові)</t>
        </is>
      </c>
      <c r="H256" t="inlineStr">
        <is>
          <t>ТОВ "ЮДІТРЕЙД"</t>
        </is>
      </c>
    </row>
    <row r="257">
      <c r="A257" s="4" t="inlineStr">
        <is>
          <t>UA-2025-09-26-012440-a</t>
        </is>
      </c>
      <c r="B257" t="inlineStr">
        <is>
          <t>2025-09-26</t>
        </is>
      </c>
      <c r="C257" t="inlineStr">
        <is>
          <t>Військова частина А 0959</t>
        </is>
      </c>
      <c r="D257" t="inlineStr">
        <is>
          <t>Волинська область</t>
        </is>
      </c>
      <c r="E257" t="inlineStr">
        <is>
          <t>Ноутбуки</t>
        </is>
      </c>
      <c r="F257" s="13" t="n">
        <v>192622</v>
      </c>
      <c r="G257" t="inlineStr">
        <is>
          <t>Допорогова</t>
        </is>
      </c>
      <c r="H257" t="inlineStr">
        <is>
          <t>ФОП "ЛОГАЧОВА ЛЮДМИЛА МИКОЛАЇВНА"</t>
        </is>
      </c>
    </row>
    <row r="258">
      <c r="A258" s="4" t="inlineStr">
        <is>
          <t>UA-2026-01-14-011038-a</t>
        </is>
      </c>
      <c r="B258" t="inlineStr">
        <is>
          <t>2026-01-14</t>
        </is>
      </c>
      <c r="C258" t="inlineStr">
        <is>
          <t>Вишнівська сільська рада</t>
        </is>
      </c>
      <c r="D258" t="inlineStr">
        <is>
          <t>Волинська область</t>
        </is>
      </c>
      <c r="E258" t="inlineStr">
        <is>
          <t>Процесор 10-ядерний Intel Core i7-13620H (2.4 - 4.9 ГГц), Дискретна відеокарта G</t>
        </is>
      </c>
      <c r="F258" s="13" t="n">
        <v>192000</v>
      </c>
      <c r="G258" t="inlineStr">
        <is>
          <t>Запит пропозицій</t>
        </is>
      </c>
      <c r="H258" t="inlineStr"/>
    </row>
    <row r="259">
      <c r="A259" s="4" t="inlineStr">
        <is>
          <t>UA-2025-10-20-001216-a</t>
        </is>
      </c>
      <c r="B259" t="inlineStr">
        <is>
          <t>2025-10-20</t>
        </is>
      </c>
      <c r="C259" t="inlineStr">
        <is>
          <t>ЛІЦЕЙ ІМЕНІ ОЛЕКСАНДРА ЦИНКАЛОВСЬКОГО ВОЛОДИМИРСЬКОЇ МІСЬКОЇ РАДИ</t>
        </is>
      </c>
      <c r="D259" t="inlineStr">
        <is>
          <t>Волинська область</t>
        </is>
      </c>
      <c r="E259" t="inlineStr">
        <is>
          <t>Принтер</t>
        </is>
      </c>
      <c r="F259" s="13" t="n">
        <v>191100</v>
      </c>
      <c r="G259" t="inlineStr">
        <is>
          <t>Відкриті торги (нові)</t>
        </is>
      </c>
      <c r="H259" t="inlineStr"/>
    </row>
    <row r="260">
      <c r="A260" s="4" t="inlineStr">
        <is>
          <t>UA-2026-04-14-006552-a</t>
        </is>
      </c>
      <c r="B260" t="inlineStr">
        <is>
          <t>2026-04-14</t>
        </is>
      </c>
      <c r="C260" t="inlineStr">
        <is>
          <t>Військова частина 9971</t>
        </is>
      </c>
      <c r="D260" t="inlineStr">
        <is>
          <t>Волинська область</t>
        </is>
      </c>
      <c r="E260" t="inlineStr">
        <is>
          <t>Багатофункціональні пристрої</t>
        </is>
      </c>
      <c r="F260" s="13" t="n">
        <v>190800</v>
      </c>
      <c r="G260" t="inlineStr">
        <is>
          <t>Запит пропозицій</t>
        </is>
      </c>
      <c r="H260" t="inlineStr">
        <is>
          <t>ФОП "АНДРІЇВ РОМАН ВАСИЛЬОВИЧ "</t>
        </is>
      </c>
    </row>
    <row r="261">
      <c r="A261" s="4" t="inlineStr">
        <is>
          <t>UA-2025-11-18-015919-a</t>
        </is>
      </c>
      <c r="B261" t="inlineStr">
        <is>
          <t>2025-11-18</t>
        </is>
      </c>
      <c r="C261" t="inlineStr">
        <is>
          <t>Департамент освіти Луцької міської ради</t>
        </is>
      </c>
      <c r="D261" t="inlineStr">
        <is>
          <t>Волинська область</t>
        </is>
      </c>
      <c r="E261" t="inlineStr">
        <is>
          <t>Ноутбуки</t>
        </is>
      </c>
      <c r="F261" s="13" t="n">
        <v>190000</v>
      </c>
      <c r="G261" t="inlineStr">
        <is>
          <t>Відкриті торги (нові)</t>
        </is>
      </c>
      <c r="H261" t="inlineStr">
        <is>
          <t>ТОВ "КОРВЕТ"</t>
        </is>
      </c>
    </row>
    <row r="262">
      <c r="A262" s="4" t="inlineStr">
        <is>
          <t>UA-2025-09-23-001220-a</t>
        </is>
      </c>
      <c r="B262" t="inlineStr">
        <is>
          <t>2025-09-23</t>
        </is>
      </c>
      <c r="C262" t="inlineStr">
        <is>
          <t>Нововолинський науковий ліцей Волинської обласної ради</t>
        </is>
      </c>
      <c r="D262" t="inlineStr">
        <is>
          <t>Волинська область</t>
        </is>
      </c>
      <c r="E262" t="inlineStr">
        <is>
          <t xml:space="preserve">30210000-4 Машини для обробки даних (апаратна частина) (Планшет Lenovo Idea Tab </t>
        </is>
      </c>
      <c r="F262" s="13" t="n">
        <v>190000</v>
      </c>
      <c r="G262" t="inlineStr">
        <is>
          <t>Запит пропозицій</t>
        </is>
      </c>
      <c r="H262" t="inlineStr">
        <is>
          <t>ТОВ "ПРИНТ ЕКСПЕРТ"</t>
        </is>
      </c>
    </row>
    <row r="263">
      <c r="A263" s="4" t="inlineStr">
        <is>
          <t>UA-2026-08-11-011984-a</t>
        </is>
      </c>
      <c r="B263" t="inlineStr">
        <is>
          <t>2026-08-11</t>
        </is>
      </c>
      <c r="C263" t="inlineStr">
        <is>
          <t>Виконавчий комітет Луцької міської ради</t>
        </is>
      </c>
      <c r="D263" t="inlineStr">
        <is>
          <t>Волинська область</t>
        </is>
      </c>
      <c r="E263" t="inlineStr">
        <is>
          <t>Планшети</t>
        </is>
      </c>
      <c r="F263" s="13" t="n">
        <v>187500</v>
      </c>
      <c r="G263" t="inlineStr">
        <is>
          <t>Запит пропозицій</t>
        </is>
      </c>
      <c r="H263" t="inlineStr">
        <is>
          <t>ТОВ "ПАРСЕР"</t>
        </is>
      </c>
    </row>
    <row r="264">
      <c r="A264" s="4" t="inlineStr">
        <is>
          <t>UA-2025-10-24-006324-a</t>
        </is>
      </c>
      <c r="B264" t="inlineStr">
        <is>
          <t>2025-10-24</t>
        </is>
      </c>
      <c r="C264" t="inlineStr">
        <is>
          <t>Нововолинський науковий ліцей Волинської обласної ради</t>
        </is>
      </c>
      <c r="D264" t="inlineStr">
        <is>
          <t>Волинська область</t>
        </is>
      </c>
      <c r="E264" t="inlineStr">
        <is>
          <t>30210000-4 Машини для обробки даних (апаратна частина) – Ноутбуки НР</t>
        </is>
      </c>
      <c r="F264" s="13" t="n">
        <v>185000</v>
      </c>
      <c r="G264" t="inlineStr">
        <is>
          <t>Запит пропозицій</t>
        </is>
      </c>
      <c r="H264" t="inlineStr">
        <is>
          <t>ФОП Галушкіна Олеся Михайлівна</t>
        </is>
      </c>
    </row>
    <row r="265">
      <c r="A265" s="4" t="inlineStr">
        <is>
          <t>UA-2026-01-28-014638-a</t>
        </is>
      </c>
      <c r="B265" t="inlineStr">
        <is>
          <t>2026-01-28</t>
        </is>
      </c>
      <c r="C265" t="inlineStr">
        <is>
          <t>Вишнівська сільська рада</t>
        </is>
      </c>
      <c r="D265" t="inlineStr">
        <is>
          <t>Волинська область</t>
        </is>
      </c>
      <c r="E265" t="inlineStr">
        <is>
          <t>Ноутбуки MSI Cyborg 15</t>
        </is>
      </c>
      <c r="F265" s="13" t="n">
        <v>183999.98</v>
      </c>
      <c r="G265" t="inlineStr">
        <is>
          <t>Звіт про договір</t>
        </is>
      </c>
      <c r="H265" t="inlineStr">
        <is>
          <t>ТОВ "ПАРСЕР"</t>
        </is>
      </c>
    </row>
    <row r="266">
      <c r="A266" s="4" t="inlineStr">
        <is>
          <t>UA-2026-04-28-013748-a</t>
        </is>
      </c>
      <c r="B266" t="inlineStr">
        <is>
          <t>2026-04-28</t>
        </is>
      </c>
      <c r="C266" t="inlineStr">
        <is>
          <t>КП "Медичне об'єднання Луцької міської територіальної громади"</t>
        </is>
      </c>
      <c r="D266" t="inlineStr">
        <is>
          <t>Волинська область</t>
        </is>
      </c>
      <c r="E266" t="inlineStr">
        <is>
          <t>код ДК 021:2015 - 30230000-0 Комп’ютерне обладнання (Накопичувачі HDD)</t>
        </is>
      </c>
      <c r="F266" s="13" t="n">
        <v>180000</v>
      </c>
      <c r="G266" t="inlineStr">
        <is>
          <t>Відкриті торги (нові)</t>
        </is>
      </c>
      <c r="H266" t="inlineStr">
        <is>
          <t>ФОП "ВОЛЖЕНІН ЮРІЙ ВАДИМОВИЧ"</t>
        </is>
      </c>
    </row>
    <row r="267">
      <c r="A267" s="4" t="inlineStr">
        <is>
          <t>UA-2025-12-11-013739-a</t>
        </is>
      </c>
      <c r="B267" t="inlineStr">
        <is>
          <t>2025-12-11</t>
        </is>
      </c>
      <c r="C267" t="inlineStr">
        <is>
          <t>Територіальне управління Державної судової адміністрації України в Волинській області</t>
        </is>
      </c>
      <c r="D267" t="inlineStr">
        <is>
          <t>Волинська область</t>
        </is>
      </c>
      <c r="E267" t="inlineStr">
        <is>
          <t xml:space="preserve">код ДК 021:2015 30230000-0 «Комп’ютерне обладнання» Накопичувач SSD Apacer 2.5" </t>
        </is>
      </c>
      <c r="F267" s="13" t="n">
        <v>180000</v>
      </c>
      <c r="G267" t="inlineStr">
        <is>
          <t>Запит пропозицій</t>
        </is>
      </c>
      <c r="H267" t="inlineStr"/>
    </row>
    <row r="268">
      <c r="A268" s="4" t="inlineStr">
        <is>
          <t>UA-2025-11-26-016793-a</t>
        </is>
      </c>
      <c r="B268" t="inlineStr">
        <is>
          <t>2025-11-26</t>
        </is>
      </c>
      <c r="C268" t="inlineStr">
        <is>
          <t>УПРАВЛІННЯ СЛУЖБИ БЕЗПЕКИ УКРАЇНИ У ВОЛИНСЬКІЙ ОБЛАСТІ</t>
        </is>
      </c>
      <c r="D268" t="inlineStr">
        <is>
          <t>Волинська область</t>
        </is>
      </c>
      <c r="E268" t="inlineStr">
        <is>
          <t>30230000-0 Комп’ютерне обладнання: Лот 1 Диск DVD MyMedia DVD-R 4.7GB 16X Wrap M</t>
        </is>
      </c>
      <c r="F268" s="13" t="n">
        <v>180000</v>
      </c>
      <c r="G268" t="inlineStr">
        <is>
          <t>Відкриті торги (нові)</t>
        </is>
      </c>
      <c r="H268" t="inlineStr">
        <is>
          <t>ТОВ "КОМПЛЕКСНІ РІШЕННЯ МЕРЕЖ", ФОП Кіреєва Вікторія Анатолі</t>
        </is>
      </c>
    </row>
    <row r="269">
      <c r="A269" s="4" t="inlineStr">
        <is>
          <t>UA-2026-04-09-011959-a</t>
        </is>
      </c>
      <c r="B269" t="inlineStr">
        <is>
          <t>2026-04-09</t>
        </is>
      </c>
      <c r="C269" t="inlineStr">
        <is>
          <t>ГОЛОВНЕ УПРАВЛІННЯ ПЕНСІЙНОГО ФОНДУ УКРАЇНИ У ВОЛИНСЬКІЙ ОБЛАСТІ</t>
        </is>
      </c>
      <c r="D269" t="inlineStr">
        <is>
          <t>Волинська область</t>
        </is>
      </c>
      <c r="E269" t="inlineStr">
        <is>
          <t>Багатофункціональний кольоровий лазерний пристрій формату А3 (ДК 021:2015 — 3023</t>
        </is>
      </c>
      <c r="F269" s="13" t="n">
        <v>175000</v>
      </c>
      <c r="G269" t="inlineStr">
        <is>
          <t>Відкриті торги (нові)</t>
        </is>
      </c>
      <c r="H269" t="inlineStr"/>
    </row>
    <row r="270">
      <c r="A270" s="4" t="inlineStr">
        <is>
          <t>UA-2025-12-10-023797-a</t>
        </is>
      </c>
      <c r="B270" t="inlineStr">
        <is>
          <t>2025-12-10</t>
        </is>
      </c>
      <c r="C270" t="inlineStr">
        <is>
          <t>Державний професійно-технічний навчальний заклад "Камінь-Каширське вище професійне училище"</t>
        </is>
      </c>
      <c r="D270" t="inlineStr">
        <is>
          <t>Волинська область</t>
        </is>
      </c>
      <c r="E270" t="inlineStr">
        <is>
          <t>Ноутбук для педагогічного працівника високого рівня: 15.6", Intel Core i7 12(13)</t>
        </is>
      </c>
      <c r="F270" s="13" t="n">
        <v>175000</v>
      </c>
      <c r="G270" t="inlineStr">
        <is>
          <t>Запит пропозицій</t>
        </is>
      </c>
      <c r="H270" t="inlineStr"/>
    </row>
    <row r="271">
      <c r="A271" s="4" t="inlineStr">
        <is>
          <t>UA-2025-10-01-005167-a</t>
        </is>
      </c>
      <c r="B271" t="inlineStr">
        <is>
          <t>2025-10-01</t>
        </is>
      </c>
      <c r="C271" t="inlineStr">
        <is>
          <t>УПРАВЛІННЯ ГУМАНІТАРНОЇ ПОЛІТИКИ ЛОКАЧИНСЬКОЇ СЕЛИЩНОЇ РАДИ</t>
        </is>
      </c>
      <c r="D271" t="inlineStr">
        <is>
          <t>Волинська область</t>
        </is>
      </c>
      <c r="E271" t="inlineStr">
        <is>
          <t>ДК 021:2015 «Єдиний закупівельний словник» – 30210000-4 Машини для обробки даних</t>
        </is>
      </c>
      <c r="F271" s="13" t="n">
        <v>175000</v>
      </c>
      <c r="G271" t="inlineStr">
        <is>
          <t>Запит пропозицій</t>
        </is>
      </c>
      <c r="H271" t="inlineStr">
        <is>
          <t>ТОВ "ДИДАКТИКЛАБ"</t>
        </is>
      </c>
    </row>
    <row r="272">
      <c r="A272" s="4" t="inlineStr">
        <is>
          <t>UA-2026-06-29-010728-a</t>
        </is>
      </c>
      <c r="B272" t="inlineStr">
        <is>
          <t>2026-06-29</t>
        </is>
      </c>
      <c r="C272" t="inlineStr">
        <is>
          <t>УПРАВЛІННЯ СЛУЖБИ БЕЗПЕКИ УКРАЇНИ У ВОЛИНСЬКІЙ ОБЛАСТІ</t>
        </is>
      </c>
      <c r="D272" t="inlineStr">
        <is>
          <t>Волинська область</t>
        </is>
      </c>
      <c r="E272" t="inlineStr">
        <is>
          <t>ДК 021:2015 – 30230000-0 «Комп'ютерне обладнання» Лот 1 Накопичувач SSD USB Type</t>
        </is>
      </c>
      <c r="F272" s="13" t="n">
        <v>174000</v>
      </c>
      <c r="G272" t="inlineStr">
        <is>
          <t>Відкриті торги (нові)</t>
        </is>
      </c>
      <c r="H272" t="inlineStr">
        <is>
          <t>ФОП "Згоннікова Юлія Станіславівна "</t>
        </is>
      </c>
    </row>
    <row r="273">
      <c r="A273" s="4" t="inlineStr">
        <is>
          <t>UA-2025-10-31-007060-a</t>
        </is>
      </c>
      <c r="B273" t="inlineStr">
        <is>
          <t>2025-10-31</t>
        </is>
      </c>
      <c r="C273" t="inlineStr">
        <is>
          <t>Головне управління ДПС у Волинській області</t>
        </is>
      </c>
      <c r="D273" t="inlineStr">
        <is>
          <t>Волинська область</t>
        </is>
      </c>
      <c r="E273" t="inlineStr">
        <is>
          <t>Комп'ютерне обладнання</t>
        </is>
      </c>
      <c r="F273" s="13" t="n">
        <v>170300</v>
      </c>
      <c r="G273" t="inlineStr">
        <is>
          <t>Звіт про договір</t>
        </is>
      </c>
      <c r="H273" t="inlineStr">
        <is>
          <t>ФОП Варшик Ольга Миколаївна</t>
        </is>
      </c>
    </row>
    <row r="274">
      <c r="A274" s="4" t="inlineStr">
        <is>
          <t>UA-2025-10-23-012436-a</t>
        </is>
      </c>
      <c r="B274" t="inlineStr">
        <is>
          <t>2025-10-23</t>
        </is>
      </c>
      <c r="C274" t="inlineStr">
        <is>
          <t>КОМУНАЛЬНИЙ ЗАКЛАД "ЛУЦЬКИЙ НАВЧАЛЬНО-РЕАБІЛІТАЦІЙНИЙ ЦЕНТР ЛУЦЬКОЇ МІСЬКОЇ РАДИ"</t>
        </is>
      </c>
      <c r="D274" t="inlineStr">
        <is>
          <t>Волинська область</t>
        </is>
      </c>
      <c r="E274" t="inlineStr">
        <is>
          <t>Код ДК 021:2015: 30210000-4: Машини для обробки даних (апаратна частина) (ноутбу</t>
        </is>
      </c>
      <c r="F274" s="13" t="n">
        <v>169065</v>
      </c>
      <c r="G274" t="inlineStr">
        <is>
          <t>Відкриті торги (нові)</t>
        </is>
      </c>
      <c r="H274" t="inlineStr">
        <is>
          <t>ТОВ "АНТАНДАР"</t>
        </is>
      </c>
    </row>
    <row r="275">
      <c r="A275" s="4" t="inlineStr">
        <is>
          <t>UA-2025-12-09-006191-a</t>
        </is>
      </c>
      <c r="B275" t="inlineStr">
        <is>
          <t>2025-12-09</t>
        </is>
      </c>
      <c r="C275" t="inlineStr">
        <is>
          <t>Вишнівська сільська рада</t>
        </is>
      </c>
      <c r="D275" t="inlineStr">
        <is>
          <t>Волинська область</t>
        </is>
      </c>
      <c r="E275" t="inlineStr">
        <is>
          <t>Ноутбуки з характеристиками ( Процесор Восьмиядерний Intel Core i5-12450H (3.3 -</t>
        </is>
      </c>
      <c r="F275" s="13" t="n">
        <v>168000</v>
      </c>
      <c r="G275" t="inlineStr">
        <is>
          <t>Запит пропозицій</t>
        </is>
      </c>
      <c r="H275" t="inlineStr">
        <is>
          <t>ТОВ "КОМПАКОМ"</t>
        </is>
      </c>
    </row>
    <row r="276">
      <c r="A276" s="4" t="inlineStr">
        <is>
          <t>UA-2025-09-30-000282-a</t>
        </is>
      </c>
      <c r="B276" t="inlineStr">
        <is>
          <t>2025-09-30</t>
        </is>
      </c>
      <c r="C276" t="inlineStr">
        <is>
          <t>КП "Медичне об'єднання Луцької міської територіальної громади"</t>
        </is>
      </c>
      <c r="D276" t="inlineStr">
        <is>
          <t>Волинська область</t>
        </is>
      </c>
      <c r="E276" t="inlineStr">
        <is>
          <t>код ДК021:2015 - 30230000-0: Комп’ютерне обладнання (Монітори)</t>
        </is>
      </c>
      <c r="F276" s="13" t="n">
        <v>168000</v>
      </c>
      <c r="G276" t="inlineStr">
        <is>
          <t>Відкриті торги (нові)</t>
        </is>
      </c>
      <c r="H276" t="inlineStr">
        <is>
          <t>ТОВ "МОБАЙЛ АЙТІ"</t>
        </is>
      </c>
    </row>
    <row r="277">
      <c r="A277" s="4" t="inlineStr">
        <is>
          <t>UA-2025-09-16-008784-a</t>
        </is>
      </c>
      <c r="B277" t="inlineStr">
        <is>
          <t>2025-09-16</t>
        </is>
      </c>
      <c r="C277" t="inlineStr">
        <is>
          <t>КП "Медичне об'єднання Луцької міської територіальної громади"</t>
        </is>
      </c>
      <c r="D277" t="inlineStr">
        <is>
          <t>Волинська область</t>
        </is>
      </c>
      <c r="E277" t="inlineStr">
        <is>
          <t>код ДК021:2015 - 30230000-0: Комп’ютерне обладнання (Монітори)</t>
        </is>
      </c>
      <c r="F277" s="13" t="n">
        <v>168000</v>
      </c>
      <c r="G277" t="inlineStr">
        <is>
          <t>Відкриті торги (нові)</t>
        </is>
      </c>
      <c r="H277" t="inlineStr"/>
    </row>
    <row r="278">
      <c r="A278" s="4" t="inlineStr">
        <is>
          <t>UA-2025-09-02-009042-a</t>
        </is>
      </c>
      <c r="B278" t="inlineStr">
        <is>
          <t>2025-09-02</t>
        </is>
      </c>
      <c r="C278" t="inlineStr">
        <is>
          <t>КП "Медичне об'єднання Луцької міської територіальної громади"</t>
        </is>
      </c>
      <c r="D278" t="inlineStr">
        <is>
          <t>Волинська область</t>
        </is>
      </c>
      <c r="E278" t="inlineStr">
        <is>
          <t>код ДК021:2015 - 30230000-0: Комп’ютерне обладнання (Монітори)</t>
        </is>
      </c>
      <c r="F278" s="13" t="n">
        <v>168000</v>
      </c>
      <c r="G278" t="inlineStr">
        <is>
          <t>Відкриті торги (нові)</t>
        </is>
      </c>
      <c r="H278" t="inlineStr"/>
    </row>
    <row r="279">
      <c r="A279" s="4" t="inlineStr">
        <is>
          <t>UA-2025-11-13-005008-a</t>
        </is>
      </c>
      <c r="B279" t="inlineStr">
        <is>
          <t>2025-11-13</t>
        </is>
      </c>
      <c r="C279" t="inlineStr">
        <is>
          <t>КОМУНАЛЬНИЙ ЗАКЛАД ЗАГАЛЬНОЇ СЕРЕДНЬОЇ ОСВІТИ "ЛУЦЬКИЙ ЛІЦЕЙ №25 ЛУЦЬКОЇ МІСЬКОЇ РАДИ"</t>
        </is>
      </c>
      <c r="D279" t="inlineStr">
        <is>
          <t>Волинська область</t>
        </is>
      </c>
      <c r="E279" t="inlineStr">
        <is>
          <t>НУШ Ноутбуки</t>
        </is>
      </c>
      <c r="F279" s="13" t="n">
        <v>165689</v>
      </c>
      <c r="G279" t="inlineStr">
        <is>
          <t>Запит пропозицій</t>
        </is>
      </c>
      <c r="H279" t="inlineStr">
        <is>
          <t>ФОП "КОВАЛЬ ЮРІЙ МИХАЙЛОВИЧ"</t>
        </is>
      </c>
    </row>
    <row r="280">
      <c r="A280" s="4" t="inlineStr">
        <is>
          <t>UA-2026-06-30-001916-a</t>
        </is>
      </c>
      <c r="B280" t="inlineStr">
        <is>
          <t>2026-06-30</t>
        </is>
      </c>
      <c r="C280" t="inlineStr">
        <is>
          <t>ВІДДІЛ ОСВІТИ КОЛКІВСЬКОЇ СЕЛИЩНОЇ РАДИ ВОЛИНСЬКОЇ ОБЛАСТІ</t>
        </is>
      </c>
      <c r="D280" t="inlineStr">
        <is>
          <t>Волинська область</t>
        </is>
      </c>
      <c r="E280" t="inlineStr">
        <is>
          <t>Ноутбук для педагогічного працівника середнього рівня: 15.6", Intel Core i3 12(1</t>
        </is>
      </c>
      <c r="F280" s="13" t="n">
        <v>165000</v>
      </c>
      <c r="G280" t="inlineStr">
        <is>
          <t>Запит пропозицій</t>
        </is>
      </c>
      <c r="H280" t="inlineStr"/>
    </row>
    <row r="281">
      <c r="A281" s="4" t="inlineStr">
        <is>
          <t>UA-2026-06-19-011119-a</t>
        </is>
      </c>
      <c r="B281" t="inlineStr">
        <is>
          <t>2026-06-19</t>
        </is>
      </c>
      <c r="C281" t="inlineStr">
        <is>
          <t>ВІДДІЛ ОСВІТИ КОЛКІВСЬКОЇ СЕЛИЩНОЇ РАДИ ВОЛИНСЬКОЇ ОБЛАСТІ</t>
        </is>
      </c>
      <c r="D281" t="inlineStr">
        <is>
          <t>Волинська область</t>
        </is>
      </c>
      <c r="E281" t="inlineStr">
        <is>
          <t>Ноутбук для педагогічного працівника середнього рівня: 15.6", Intel Core i5 12(1</t>
        </is>
      </c>
      <c r="F281" s="13" t="n">
        <v>165000</v>
      </c>
      <c r="G281" t="inlineStr">
        <is>
          <t>Запит пропозицій</t>
        </is>
      </c>
      <c r="H281" t="inlineStr"/>
    </row>
    <row r="282">
      <c r="A282" s="4" t="inlineStr">
        <is>
          <t>UA-2025-12-16-001573-a</t>
        </is>
      </c>
      <c r="B282" t="inlineStr">
        <is>
          <t>2025-12-16</t>
        </is>
      </c>
      <c r="C282" t="inlineStr">
        <is>
          <t>КНП "ЛЮБОМЛЬСЬКЕ ТЕРИТОРІАЛЬНЕ МЕДИЧНЕ ОБ'ЄДНАННЯ" ЛЮБОМЛЬСЬКОЇ МІСЬКОЇ РАДИ</t>
        </is>
      </c>
      <c r="D282" t="inlineStr">
        <is>
          <t>Волинська область</t>
        </is>
      </c>
      <c r="E282" t="inlineStr">
        <is>
          <t>Монітори; Монітори; Багатофункціональні пристрої</t>
        </is>
      </c>
      <c r="F282" s="13" t="n">
        <v>165000</v>
      </c>
      <c r="G282" t="inlineStr">
        <is>
          <t>Запит пропозицій</t>
        </is>
      </c>
      <c r="H282" t="inlineStr">
        <is>
          <t>ТОВ "ПРИНТ ЕКСПЕРТ"</t>
        </is>
      </c>
    </row>
    <row r="283">
      <c r="A283" s="4" t="inlineStr">
        <is>
          <t>UA-2025-09-30-005210-a</t>
        </is>
      </c>
      <c r="B283" t="inlineStr">
        <is>
          <t>2025-09-30</t>
        </is>
      </c>
      <c r="C283" t="inlineStr">
        <is>
          <t>ВОЛИНСЬКА ОБЛАСНА ПРОКУРАТУРА</t>
        </is>
      </c>
      <c r="D283" t="inlineStr">
        <is>
          <t>Волинська область</t>
        </is>
      </c>
      <c r="E283" t="inlineStr">
        <is>
          <t>Системні блоки за кодом ДК 021:2015-30210000-4 - Машини для обробки даних (апара</t>
        </is>
      </c>
      <c r="F283" s="13" t="n">
        <v>164520</v>
      </c>
      <c r="G283" t="inlineStr">
        <is>
          <t>Запит пропозицій</t>
        </is>
      </c>
      <c r="H283" t="inlineStr">
        <is>
          <t>ТОВ "СИСТЕМАТИКА УКРАЇНА"</t>
        </is>
      </c>
    </row>
    <row r="284">
      <c r="A284" s="4" t="inlineStr">
        <is>
          <t>UA-2025-09-09-006638-a</t>
        </is>
      </c>
      <c r="B284" t="inlineStr">
        <is>
          <t>2025-09-09</t>
        </is>
      </c>
      <c r="C284" t="inlineStr">
        <is>
          <t>НОВОВОЛИНСЬКИЙ ЛІЦЕЙ №4 ІМЕНІ Т.Г.ШЕВЧЕНКА НОВОВОЛИНСЬКОЇ МІСЬКОЇ РАДИ ВОЛИНСЬКОЇ ОБЛАСТІ</t>
        </is>
      </c>
      <c r="D284" t="inlineStr">
        <is>
          <t>Волинська область</t>
        </is>
      </c>
      <c r="E284" t="inlineStr">
        <is>
          <t>Ноутбук Acer Aspire 3 A315-59 (NX.K6SEU.00M) 15.6", 1920х1080 (FullHD), IPS, Int</t>
        </is>
      </c>
      <c r="F284" s="13" t="n">
        <v>164430</v>
      </c>
      <c r="G284" t="inlineStr">
        <is>
          <t>Відкриті торги (нові)</t>
        </is>
      </c>
      <c r="H284" t="inlineStr">
        <is>
          <t>ТОВ "ЮДІТРЕЙД"</t>
        </is>
      </c>
    </row>
    <row r="285">
      <c r="A285" s="4" t="inlineStr">
        <is>
          <t>UA-2026-06-10-010026-a</t>
        </is>
      </c>
      <c r="B285" t="inlineStr">
        <is>
          <t>2026-06-10</t>
        </is>
      </c>
      <c r="C285" t="inlineStr">
        <is>
          <t>Вишнівська сільська рада</t>
        </is>
      </c>
      <c r="D285" t="inlineStr">
        <is>
          <t>Волинська область</t>
        </is>
      </c>
      <c r="E285" t="inlineStr">
        <is>
          <t>ноутбуки - 15.6FM/R5 150/16/512/RTX 3050_6GB/DOS/BL/L una Grey LENOVO LOQ 15ARP1</t>
        </is>
      </c>
      <c r="F285" s="13" t="n">
        <v>164000</v>
      </c>
      <c r="G285" t="inlineStr">
        <is>
          <t>Звіт про договір</t>
        </is>
      </c>
      <c r="H285" t="inlineStr">
        <is>
          <t>ТОВ "ПАРСЕР"</t>
        </is>
      </c>
    </row>
    <row r="286">
      <c r="A286" s="4" t="inlineStr">
        <is>
          <t>UA-2026-05-25-010605-a</t>
        </is>
      </c>
      <c r="B286" t="inlineStr">
        <is>
          <t>2026-05-25</t>
        </is>
      </c>
      <c r="C286" t="inlineStr">
        <is>
          <t>Вишнівська сільська рада</t>
        </is>
      </c>
      <c r="D286" t="inlineStr">
        <is>
          <t>Волинська область</t>
        </is>
      </c>
      <c r="E286" t="inlineStr">
        <is>
          <t>Ноутбук ASUS TUF Gaming A15 -2шт. (еквівалент) Ноутбук Lenovo LOQ 15ARP9 (83JC00</t>
        </is>
      </c>
      <c r="F286" s="13" t="n">
        <v>164000</v>
      </c>
      <c r="G286" t="inlineStr">
        <is>
          <t>Запит пропозицій</t>
        </is>
      </c>
      <c r="H286" t="inlineStr"/>
    </row>
    <row r="287">
      <c r="A287" s="4" t="inlineStr">
        <is>
          <t>UA-2026-04-24-009053-a</t>
        </is>
      </c>
      <c r="B287" t="inlineStr">
        <is>
          <t>2026-04-24</t>
        </is>
      </c>
      <c r="C287" t="inlineStr">
        <is>
          <t>Головне Управління Державної служби України з надзвичайних ситуацій у Волинській області</t>
        </is>
      </c>
      <c r="D287" t="inlineStr">
        <is>
          <t>Волинська область</t>
        </is>
      </c>
      <c r="E287" t="inlineStr">
        <is>
          <t>Джерела безперебійного живлення</t>
        </is>
      </c>
      <c r="F287" s="13" t="n">
        <v>162240</v>
      </c>
      <c r="G287" t="inlineStr">
        <is>
          <t>Запит пропозицій</t>
        </is>
      </c>
      <c r="H287" t="inlineStr">
        <is>
          <t>ФОП "ФОП ТОМАШЕВСЬКИЙ АРТУР ІВАНОВИЧ"</t>
        </is>
      </c>
    </row>
    <row r="288">
      <c r="A288" s="4" t="inlineStr">
        <is>
          <t>UA-2025-10-24-012403-a</t>
        </is>
      </c>
      <c r="B288" t="inlineStr">
        <is>
          <t>2025-10-24</t>
        </is>
      </c>
      <c r="C288" t="inlineStr">
        <is>
          <t>Територіальне управління Державної судової адміністрації України в Волинській області</t>
        </is>
      </c>
      <c r="D288" t="inlineStr">
        <is>
          <t>Волинська область</t>
        </is>
      </c>
      <c r="E288" t="inlineStr">
        <is>
          <t>код ДК 021:2015 30230000-0 «Комп’ютерне обладнання» ДБЖ LP LP-UL800VA-8PS для по</t>
        </is>
      </c>
      <c r="F288" s="13" t="n">
        <v>161000</v>
      </c>
      <c r="G288" t="inlineStr">
        <is>
          <t>Запит пропозицій</t>
        </is>
      </c>
      <c r="H288" t="inlineStr">
        <is>
          <t>ФОП Нодь Аліна Юріївна</t>
        </is>
      </c>
    </row>
    <row r="289">
      <c r="A289" s="4" t="inlineStr">
        <is>
          <t>UA-2026-08-12-012133-a</t>
        </is>
      </c>
      <c r="B289" t="inlineStr">
        <is>
          <t>2026-08-12</t>
        </is>
      </c>
      <c r="C289" t="inlineStr">
        <is>
          <t>ГРОМАДСЬКА ОРГАНІЗАЦІЯ ВОЛИНСЬКИЙ ОБЛАСНИЙ ОСЕРЕДОК ВСЕУКРАЇНСЬКОЇ ГРОМАДСЬКОЇ ОРГАНІЗАЦІЇ ЛЮДЕЙ З ІНВАЛІДНІСТЮ ПО ЗОРУ "ГЕНЕРАЦІЯ УСПІШНОЇ ДІЇ"</t>
        </is>
      </c>
      <c r="D289" t="inlineStr">
        <is>
          <t>Волинська область</t>
        </is>
      </c>
      <c r="E289" t="inlineStr">
        <is>
          <t xml:space="preserve">Портативний дисплей Брайля з QWERTY-клавіатурою з захисним чохлом (ДК 021:2015: </t>
        </is>
      </c>
      <c r="F289" s="13" t="n">
        <v>160000</v>
      </c>
      <c r="G289" t="inlineStr">
        <is>
          <t>Відкриті торги (нові)</t>
        </is>
      </c>
      <c r="H289" t="inlineStr">
        <is>
          <t>ФОП "УЗЛОВА ОЛЕНА ЮРІЇВНА"</t>
        </is>
      </c>
    </row>
    <row r="290">
      <c r="A290" s="4" t="inlineStr">
        <is>
          <t>UA-2025-11-13-015196-a</t>
        </is>
      </c>
      <c r="B290" t="inlineStr">
        <is>
          <t>2025-11-13</t>
        </is>
      </c>
      <c r="C290" t="inlineStr">
        <is>
          <t>ВІДОКРЕМЛЕНИЙ СТРУКТУРНИЙ ПІДРОЗДІЛ "ВОЛИНСЬКИЙ ФАХОВИЙ КОЛЕДЖ НАЦІОНАЛЬНОГО УНІВЕРСИТЕТУ ХАРЧОВИХ ТЕХНОЛОГІЙ"</t>
        </is>
      </c>
      <c r="D290" t="inlineStr">
        <is>
          <t>Волинська область</t>
        </is>
      </c>
      <c r="E290" t="inlineStr">
        <is>
          <t>3D-принтер, код ДК 021:2015: 30230000-0-Комп’ютерне обладнання</t>
        </is>
      </c>
      <c r="F290" s="13" t="n">
        <v>160000</v>
      </c>
      <c r="G290" t="inlineStr">
        <is>
          <t>Відкриті торги (нові)</t>
        </is>
      </c>
      <c r="H290" t="inlineStr"/>
    </row>
    <row r="291">
      <c r="A291" s="4" t="inlineStr">
        <is>
          <t>UA-2025-11-13-012102-a</t>
        </is>
      </c>
      <c r="B291" t="inlineStr">
        <is>
          <t>2025-11-13</t>
        </is>
      </c>
      <c r="C291" t="inlineStr">
        <is>
          <t>Управління Держспецзв'язку у Волинській області</t>
        </is>
      </c>
      <c r="D291" t="inlineStr">
        <is>
          <t>Волинська область</t>
        </is>
      </c>
      <c r="E291" t="inlineStr">
        <is>
          <t>Комп’ютерне обладнання</t>
        </is>
      </c>
      <c r="F291" s="13" t="n">
        <v>160000</v>
      </c>
      <c r="G291" t="inlineStr">
        <is>
          <t>Відкриті торги (нові)</t>
        </is>
      </c>
      <c r="H291" t="inlineStr"/>
    </row>
    <row r="292">
      <c r="A292" s="4" t="inlineStr">
        <is>
          <t>UA-2026-06-18-010839-a</t>
        </is>
      </c>
      <c r="B292" t="inlineStr">
        <is>
          <t>2026-06-18</t>
        </is>
      </c>
      <c r="C292" t="inlineStr">
        <is>
          <t>ВОЛИНСЬКА ОБЛАСНА ПРОКУРАТУРА</t>
        </is>
      </c>
      <c r="D292" t="inlineStr">
        <is>
          <t>Волинська область</t>
        </is>
      </c>
      <c r="E292" t="inlineStr">
        <is>
          <t>Системні блоки за кодом ДК 021:2015-30210000-4 - Машини для обробки даних (апара</t>
        </is>
      </c>
      <c r="F292" s="13" t="n">
        <v>159192</v>
      </c>
      <c r="G292" t="inlineStr">
        <is>
          <t>Запит пропозицій</t>
        </is>
      </c>
      <c r="H292" t="inlineStr"/>
    </row>
    <row r="293">
      <c r="A293" s="4" t="inlineStr">
        <is>
          <t>UA-2025-12-12-010223-a</t>
        </is>
      </c>
      <c r="B293" t="inlineStr">
        <is>
          <t>2025-12-12</t>
        </is>
      </c>
      <c r="C293" t="inlineStr">
        <is>
          <t>Військова частина А 0959</t>
        </is>
      </c>
      <c r="D293" t="inlineStr">
        <is>
          <t>Волинська область</t>
        </is>
      </c>
      <c r="E293" t="inlineStr">
        <is>
          <t>Планшети</t>
        </is>
      </c>
      <c r="F293" s="13" t="n">
        <v>151313.54</v>
      </c>
      <c r="G293" t="inlineStr">
        <is>
          <t>Запит пропозицій</t>
        </is>
      </c>
      <c r="H293" t="inlineStr">
        <is>
          <t>ФОП "Семенюк Віталій Миколайович"</t>
        </is>
      </c>
    </row>
    <row r="294">
      <c r="A294" s="4" t="inlineStr">
        <is>
          <t>UA-2026-06-30-015380-a</t>
        </is>
      </c>
      <c r="B294" t="inlineStr">
        <is>
          <t>2026-06-30</t>
        </is>
      </c>
      <c r="C294" t="inlineStr">
        <is>
          <t>КП "ВОЛИНСЬКА ОБЛАСНА ПСИХІАТРИЧНА ЛІКАРНЯ М.ЛУЦЬКА" ВОЛИНСЬКОЇ ОБЛАСНОЇ РАДИ</t>
        </is>
      </c>
      <c r="D294" t="inlineStr">
        <is>
          <t>Волинська область</t>
        </is>
      </c>
      <c r="E294" t="inlineStr">
        <is>
          <t>Комп'ютер в комплектації (ДК 021:2015:30213300-8-настільні комп'ютери (код ДК 02</t>
        </is>
      </c>
      <c r="F294" s="13" t="n">
        <v>151290</v>
      </c>
      <c r="G294" t="inlineStr">
        <is>
          <t>Відкриті торги (нові)</t>
        </is>
      </c>
      <c r="H294" t="inlineStr"/>
    </row>
    <row r="295">
      <c r="A295" s="4" t="inlineStr">
        <is>
          <t>UA-2026-01-22-017729-a</t>
        </is>
      </c>
      <c r="B295" t="inlineStr">
        <is>
          <t>2026-01-22</t>
        </is>
      </c>
      <c r="C295" t="inlineStr">
        <is>
          <t>ВОЛОДИМИРСЬКИЙ ПЕДАГОГІЧНИЙ ФАХОВИЙ КОЛЕДЖ ІМЕНІ АГАТАНГЕЛА КРИМСЬКОГО ВОЛИНСЬКОЇ ОБЛАСНОЇ РАДИ</t>
        </is>
      </c>
      <c r="D295" t="inlineStr">
        <is>
          <t>Волинська область</t>
        </is>
      </c>
      <c r="E295" t="inlineStr">
        <is>
          <t>Персональні комп'ютери (в комплекті), ноутбуки код згідно ДК 021:2015 Єдиний зак</t>
        </is>
      </c>
      <c r="F295" s="13" t="n">
        <v>150264</v>
      </c>
      <c r="G295" t="inlineStr">
        <is>
          <t>Відкриті торги (нові)</t>
        </is>
      </c>
      <c r="H295" t="inlineStr">
        <is>
          <t>ТОВ "ДІСТРІ ІНВАЙТ ІТ"</t>
        </is>
      </c>
    </row>
    <row r="296">
      <c r="A296" s="4" t="inlineStr">
        <is>
          <t>UA-2026-04-10-006512-a</t>
        </is>
      </c>
      <c r="B296" t="inlineStr">
        <is>
          <t>2026-04-10</t>
        </is>
      </c>
      <c r="C296" t="inlineStr">
        <is>
          <t>Військова частина А 0959</t>
        </is>
      </c>
      <c r="D296" t="inlineStr">
        <is>
          <t>Волинська область</t>
        </is>
      </c>
      <c r="E296" t="inlineStr">
        <is>
          <t>Ноутбуки</t>
        </is>
      </c>
      <c r="F296" s="13" t="n">
        <v>150000</v>
      </c>
      <c r="G296" t="inlineStr">
        <is>
          <t>Допорогова</t>
        </is>
      </c>
      <c r="H296" t="inlineStr">
        <is>
          <t>ТОВ "ПОРТАЛ АРЕНА"</t>
        </is>
      </c>
    </row>
    <row r="297">
      <c r="A297" s="4" t="inlineStr">
        <is>
          <t>UA-2026-03-25-009541-a</t>
        </is>
      </c>
      <c r="B297" t="inlineStr">
        <is>
          <t>2026-03-25</t>
        </is>
      </c>
      <c r="C297" t="inlineStr">
        <is>
          <t>ГОЛОВНЕ УПРАВЛІННЯ ПЕНСІЙНОГО ФОНДУ УКРАЇНИ У ВОЛИНСЬКІЙ ОБЛАСТІ</t>
        </is>
      </c>
      <c r="D297" t="inlineStr">
        <is>
          <t>Волинська область</t>
        </is>
      </c>
      <c r="E297" t="inlineStr">
        <is>
          <t>Сканер протяжний (ДК 021:2015 30210000-4 — Машини для обробки даних (апаратна ча</t>
        </is>
      </c>
      <c r="F297" s="13" t="n">
        <v>150000</v>
      </c>
      <c r="G297" t="inlineStr">
        <is>
          <t>Відкриті торги (нові)</t>
        </is>
      </c>
      <c r="H297" t="inlineStr">
        <is>
          <t>ФОП КОСТЕНКО ІРИНА ВАЛЕНТИНІВНА</t>
        </is>
      </c>
    </row>
    <row r="298">
      <c r="A298" s="4" t="inlineStr">
        <is>
          <t>UA-2025-12-11-002243-a</t>
        </is>
      </c>
      <c r="B298" t="inlineStr">
        <is>
          <t>2025-12-11</t>
        </is>
      </c>
      <c r="C298" t="inlineStr">
        <is>
          <t>Виконавчий комітет Луцької міської ради</t>
        </is>
      </c>
      <c r="D298" t="inlineStr">
        <is>
          <t>Волинська область</t>
        </is>
      </c>
      <c r="E298" t="inlineStr">
        <is>
          <t>Ноутбук ASUS Expertbook B1 B1502CVA-BQ2127X (90NX06X1-M02KP0)</t>
        </is>
      </c>
      <c r="F298" s="13" t="n">
        <v>150000</v>
      </c>
      <c r="G298" t="inlineStr">
        <is>
          <t>Запит пропозицій</t>
        </is>
      </c>
      <c r="H298" t="inlineStr">
        <is>
          <t>ТОВ "ТІНОС-Д"</t>
        </is>
      </c>
    </row>
    <row r="299">
      <c r="A299" s="4" t="inlineStr">
        <is>
          <t>UA-2025-10-02-012457-a</t>
        </is>
      </c>
      <c r="B299" t="inlineStr">
        <is>
          <t>2025-10-02</t>
        </is>
      </c>
      <c r="C299" t="inlineStr">
        <is>
          <t>Заклад професійної (професійно-технічної) освіти "Регіональний професійний коледж м. Володимир"</t>
        </is>
      </c>
      <c r="D299" t="inlineStr">
        <is>
          <t>Волинська область</t>
        </is>
      </c>
      <c r="E299" t="inlineStr">
        <is>
          <t>ДК 021:2015: 30210000-4 Машини для обробки даних (апаратна частина). Планшети (к</t>
        </is>
      </c>
      <c r="F299" s="13" t="n">
        <v>150000</v>
      </c>
      <c r="G299" t="inlineStr">
        <is>
          <t>Відкриті торги (нові)</t>
        </is>
      </c>
      <c r="H299" t="inlineStr"/>
    </row>
    <row r="300">
      <c r="A300" s="4" t="inlineStr">
        <is>
          <t>UA-2025-09-19-001886-a</t>
        </is>
      </c>
      <c r="B300" t="inlineStr">
        <is>
          <t>2025-09-19</t>
        </is>
      </c>
      <c r="C300" t="inlineStr">
        <is>
          <t>Заклад професійної (професійно-технічної) освіти "Регіональний професійний коледж м. Володимир"</t>
        </is>
      </c>
      <c r="D300" t="inlineStr">
        <is>
          <t>Волинська область</t>
        </is>
      </c>
      <c r="E300" t="inlineStr">
        <is>
          <t>ДК 021:2015: 30210000-4 Машини для обробки даних (апаратна частина). Планшети (к</t>
        </is>
      </c>
      <c r="F300" s="13" t="n">
        <v>150000</v>
      </c>
      <c r="G300" t="inlineStr">
        <is>
          <t>Відкриті торги (нові)</t>
        </is>
      </c>
      <c r="H300" t="inlineStr"/>
    </row>
    <row r="301">
      <c r="A301" s="4" t="inlineStr">
        <is>
          <t>UA-2025-09-05-006416-a</t>
        </is>
      </c>
      <c r="B301" t="inlineStr">
        <is>
          <t>2025-09-05</t>
        </is>
      </c>
      <c r="C301" t="inlineStr">
        <is>
          <t>Заклад професійної (професійно-технічної) освіти "Регіональний професійний коледж м. Володимир"</t>
        </is>
      </c>
      <c r="D301" t="inlineStr">
        <is>
          <t>Волинська область</t>
        </is>
      </c>
      <c r="E301" t="inlineStr">
        <is>
          <t>30210000-4 «Машини для обробки даних (апаратна частина)» Планшет Sigma Tab A1025</t>
        </is>
      </c>
      <c r="F301" s="13" t="n">
        <v>150000</v>
      </c>
      <c r="G301" t="inlineStr">
        <is>
          <t>Запит пропозицій</t>
        </is>
      </c>
      <c r="H301" t="inlineStr"/>
    </row>
    <row r="302">
      <c r="A302" s="4" t="inlineStr">
        <is>
          <t>UA-2026-03-31-003542-a</t>
        </is>
      </c>
      <c r="B302" t="inlineStr">
        <is>
          <t>2026-03-31</t>
        </is>
      </c>
      <c r="C302" t="inlineStr">
        <is>
          <t>Військова частина 9971</t>
        </is>
      </c>
      <c r="D302" t="inlineStr">
        <is>
          <t>Волинська область</t>
        </is>
      </c>
      <c r="E302" t="inlineStr">
        <is>
          <t>Оптичний диск, карта пам’яті, накопичувач USB</t>
        </is>
      </c>
      <c r="F302" s="13" t="n">
        <v>148460</v>
      </c>
      <c r="G302" t="inlineStr">
        <is>
          <t>Відкриті торги (нові)</t>
        </is>
      </c>
      <c r="H302" t="inlineStr">
        <is>
          <t>ТОВ "ДІАВЕСТЕНД КОМПЛЕКСНІ РІШЕННЯ"</t>
        </is>
      </c>
    </row>
    <row r="303">
      <c r="A303" s="4" t="inlineStr">
        <is>
          <t>UA-2026-04-16-012803-a</t>
        </is>
      </c>
      <c r="B303" t="inlineStr">
        <is>
          <t>2026-04-16</t>
        </is>
      </c>
      <c r="C303" t="inlineStr">
        <is>
          <t>ВИКОНАВЧИЙ КОМІТЕТ НОВОВОЛИНСЬКОЇ МІСЬКОЇ РАДИ</t>
        </is>
      </c>
      <c r="D303" t="inlineStr">
        <is>
          <t>Волинська область</t>
        </is>
      </c>
      <c r="E303" t="inlineStr">
        <is>
          <t>Пристрій безперебійного живлення APC Easy UPS 800VA Schuko (BV800I-GR)</t>
        </is>
      </c>
      <c r="F303" s="13" t="n">
        <v>147900</v>
      </c>
      <c r="G303" t="inlineStr">
        <is>
          <t>Запит пропозицій</t>
        </is>
      </c>
      <c r="H303" t="inlineStr">
        <is>
          <t>ТОВ "БЕСТТЕХНОПОСТАЧ"</t>
        </is>
      </c>
    </row>
    <row r="304">
      <c r="A304" s="4" t="inlineStr">
        <is>
          <t>UA-2026-05-14-008673-a</t>
        </is>
      </c>
      <c r="B304" t="inlineStr">
        <is>
          <t>2026-05-14</t>
        </is>
      </c>
      <c r="C304" t="inlineStr">
        <is>
          <t>Головне Управління Державної служби України з надзвичайних ситуацій у Волинській області</t>
        </is>
      </c>
      <c r="D304" t="inlineStr">
        <is>
          <t>Волинська область</t>
        </is>
      </c>
      <c r="E304" t="inlineStr">
        <is>
          <t>Джерела безперебійного живлення</t>
        </is>
      </c>
      <c r="F304" s="13" t="n">
        <v>145855.6</v>
      </c>
      <c r="G304" t="inlineStr">
        <is>
          <t>Запит пропозицій</t>
        </is>
      </c>
      <c r="H304" t="inlineStr">
        <is>
          <t>ФОП "ГРІНЧЕНКО ЗОЯ ОЛЕКСІЇВНА"</t>
        </is>
      </c>
    </row>
    <row r="305">
      <c r="A305" s="4" t="inlineStr">
        <is>
          <t>UA-2025-11-17-017262-a</t>
        </is>
      </c>
      <c r="B305" t="inlineStr">
        <is>
          <t>2025-11-17</t>
        </is>
      </c>
      <c r="C305" t="inlineStr">
        <is>
          <t>Державний професійно-технічний навчальний заклад "Камінь-Каширське вище професійне училище"</t>
        </is>
      </c>
      <c r="D305" t="inlineStr">
        <is>
          <t>Волинська область</t>
        </is>
      </c>
      <c r="E305" t="inlineStr">
        <is>
          <t xml:space="preserve">3D принтер (Співфінансується за кошти Європейського Союзу згідно з інструментом </t>
        </is>
      </c>
      <c r="F305" s="13" t="n">
        <v>145000</v>
      </c>
      <c r="G305" t="inlineStr">
        <is>
          <t>Відкриті торги (нові)</t>
        </is>
      </c>
      <c r="H305" t="inlineStr"/>
    </row>
    <row r="306">
      <c r="A306" s="4" t="inlineStr">
        <is>
          <t>UA-2025-11-17-012888-a</t>
        </is>
      </c>
      <c r="B306" t="inlineStr">
        <is>
          <t>2025-11-17</t>
        </is>
      </c>
      <c r="C306" t="inlineStr">
        <is>
          <t>Відділ освіти, культури, молоді та спорту Підгайцівської сільської ради</t>
        </is>
      </c>
      <c r="D306" t="inlineStr">
        <is>
          <t>Волинська область</t>
        </is>
      </c>
      <c r="E306" t="inlineStr">
        <is>
          <t>Ноутбуки (Код ДК 021:2015 30210000-4 Машини для обробки даних (апаратна частина)</t>
        </is>
      </c>
      <c r="F306" s="13" t="n">
        <v>143300</v>
      </c>
      <c r="G306" t="inlineStr">
        <is>
          <t>Відкриті торги (нові)</t>
        </is>
      </c>
      <c r="H306" t="inlineStr">
        <is>
          <t>ТОВ "КОРВЕТ"</t>
        </is>
      </c>
    </row>
    <row r="307">
      <c r="A307" s="4" t="inlineStr">
        <is>
          <t>UA-2026-07-31-006035-a</t>
        </is>
      </c>
      <c r="B307" t="inlineStr">
        <is>
          <t>2026-07-31</t>
        </is>
      </c>
      <c r="C307" t="inlineStr">
        <is>
          <t>КП "Медичне об'єднання Луцької міської територіальної громади"</t>
        </is>
      </c>
      <c r="D307" t="inlineStr">
        <is>
          <t>Волинська область</t>
        </is>
      </c>
      <c r="E307" t="inlineStr">
        <is>
          <t>код ДК 021:2015 - 30230000-0 Комп’ютерне обладнання (Накопичувач HDD Toshiba 22T</t>
        </is>
      </c>
      <c r="F307" s="13" t="n">
        <v>142260</v>
      </c>
      <c r="G307" t="inlineStr">
        <is>
          <t>Запит пропозицій</t>
        </is>
      </c>
      <c r="H307" t="inlineStr">
        <is>
          <t>ТОВ "МОБАЙЛ АЙТІ"</t>
        </is>
      </c>
    </row>
    <row r="308">
      <c r="A308" s="4" t="inlineStr">
        <is>
          <t>UA-2026-04-08-006315-a</t>
        </is>
      </c>
      <c r="B308" t="inlineStr">
        <is>
          <t>2026-04-08</t>
        </is>
      </c>
      <c r="C308" t="inlineStr">
        <is>
          <t>ВІЙСЬКОВА ЧАСТИНА 1141 НАЦІОНАЛЬНОЇ ГВАРДІЇ УКРАЇНИ</t>
        </is>
      </c>
      <c r="D308" t="inlineStr">
        <is>
          <t>Волинська область</t>
        </is>
      </c>
      <c r="E308" t="inlineStr">
        <is>
          <t>Ноутбуки Lenovo V15 G5 IRL</t>
        </is>
      </c>
      <c r="F308" s="13" t="n">
        <v>141995</v>
      </c>
      <c r="G308" t="inlineStr">
        <is>
          <t>Запит пропозицій</t>
        </is>
      </c>
      <c r="H308" t="inlineStr">
        <is>
          <t>ФОП "КУЧЕРЯВИЙ КОСТЯНТИН ГРИГОРОВИЧ"</t>
        </is>
      </c>
    </row>
    <row r="309">
      <c r="A309" s="4" t="inlineStr">
        <is>
          <t>UA-2026-01-23-013674-a</t>
        </is>
      </c>
      <c r="B309" t="inlineStr">
        <is>
          <t>2026-01-23</t>
        </is>
      </c>
      <c r="C309" t="inlineStr">
        <is>
          <t>КНП «Камінь-Каширська центральна районна лікарня» Камінь-Каширської міської ради Волинської області</t>
        </is>
      </c>
      <c r="D309" t="inlineStr">
        <is>
          <t>Волинська область</t>
        </is>
      </c>
      <c r="E309" t="inlineStr">
        <is>
          <t>ДК 021:2015:30210000-4 Машини для обробки даних (апаратна частина) (Моноблоки)</t>
        </is>
      </c>
      <c r="F309" s="13" t="n">
        <v>141000</v>
      </c>
      <c r="G309" t="inlineStr">
        <is>
          <t>Запит пропозицій</t>
        </is>
      </c>
      <c r="H309" t="inlineStr">
        <is>
          <t>ТОВ "АРТЛАЙН ІНТЕГРАЦІЯ"</t>
        </is>
      </c>
    </row>
    <row r="310">
      <c r="A310" s="4" t="inlineStr">
        <is>
          <t>UA-2026-04-17-005811-a</t>
        </is>
      </c>
      <c r="B310" t="inlineStr">
        <is>
          <t>2026-04-17</t>
        </is>
      </c>
      <c r="C310" t="inlineStr">
        <is>
          <t>Любомльська міська рада</t>
        </is>
      </c>
      <c r="D310" t="inlineStr">
        <is>
          <t>Волинська область</t>
        </is>
      </c>
      <c r="E310" t="inlineStr">
        <is>
          <t xml:space="preserve">Системний блок (Intel Core i5, 12-13 покоління, DDR4 16GB, SSD 1 Tb, Windows 11 </t>
        </is>
      </c>
      <c r="F310" s="13" t="n">
        <v>140000</v>
      </c>
      <c r="G310" t="inlineStr">
        <is>
          <t>Запит пропозицій</t>
        </is>
      </c>
      <c r="H310" t="inlineStr">
        <is>
          <t>ТОВ "НАВІГАТОР СИСТЕМ"</t>
        </is>
      </c>
    </row>
    <row r="311">
      <c r="A311" s="4" t="inlineStr">
        <is>
          <t>UA-2026-03-16-004185-a</t>
        </is>
      </c>
      <c r="B311" t="inlineStr">
        <is>
          <t>2026-03-16</t>
        </is>
      </c>
      <c r="C311" t="inlineStr">
        <is>
          <t>ВІДДІЛ ОСВІТИ, МОЛОДІ ТА СПОРТУ МАНЕВИЦЬКОЇ СЕЛИЩНОЇ РАДИ</t>
        </is>
      </c>
      <c r="D311" t="inlineStr">
        <is>
          <t>Волинська область</t>
        </is>
      </c>
      <c r="E311" t="inlineStr">
        <is>
          <t>Комп'ютерне обладнання</t>
        </is>
      </c>
      <c r="F311" s="13" t="n">
        <v>136500</v>
      </c>
      <c r="G311" t="inlineStr">
        <is>
          <t>Запит пропозицій</t>
        </is>
      </c>
      <c r="H311" t="inlineStr">
        <is>
          <t>ТОВ "КПІ-МАРКЕТ"</t>
        </is>
      </c>
    </row>
    <row r="312">
      <c r="A312" s="4" t="inlineStr">
        <is>
          <t>UA-2026-04-07-005580-a</t>
        </is>
      </c>
      <c r="B312" t="inlineStr">
        <is>
          <t>2026-04-07</t>
        </is>
      </c>
      <c r="C312" t="inlineStr">
        <is>
          <t>КП "Медичне об'єднання Луцької міської територіальної громади"</t>
        </is>
      </c>
      <c r="D312" t="inlineStr">
        <is>
          <t>Волинська область</t>
        </is>
      </c>
      <c r="E312" t="inlineStr">
        <is>
          <t>код ДК021:2015 - 30230000-0 Комп’ютерне обладнання (Накопичувачі HDD)</t>
        </is>
      </c>
      <c r="F312" s="13" t="n">
        <v>135000</v>
      </c>
      <c r="G312" t="inlineStr">
        <is>
          <t>Відкриті торги (нові)</t>
        </is>
      </c>
      <c r="H312" t="inlineStr"/>
    </row>
    <row r="313">
      <c r="A313" s="4" t="inlineStr">
        <is>
          <t>UA-2025-12-02-019436-a</t>
        </is>
      </c>
      <c r="B313" t="inlineStr">
        <is>
          <t>2025-12-02</t>
        </is>
      </c>
      <c r="C313" t="inlineStr">
        <is>
          <t>УПРАВЛІННЯ ГУМАНІТАРНОЇ ПОЛІТИКИ РАТНІВСЬКОЇ СЕЛИЩНОЇ РАДИ</t>
        </is>
      </c>
      <c r="D313" t="inlineStr">
        <is>
          <t>Волинська область</t>
        </is>
      </c>
      <c r="E313" t="inlineStr">
        <is>
          <t>Монітори, системні блоки (ДК 021:2015: 30230000-0 Комп’ютерне обладнання )</t>
        </is>
      </c>
      <c r="F313" s="13" t="n">
        <v>135000</v>
      </c>
      <c r="G313" t="inlineStr">
        <is>
          <t>Відкриті торги (нові)</t>
        </is>
      </c>
      <c r="H313" t="inlineStr">
        <is>
          <t>ТОВ "СИСТЕМАТИКА УКРАЇНА"</t>
        </is>
      </c>
    </row>
    <row r="314">
      <c r="A314" s="4" t="inlineStr">
        <is>
          <t>UA-2026-02-12-014782-a</t>
        </is>
      </c>
      <c r="B314" t="inlineStr">
        <is>
          <t>2026-02-12</t>
        </is>
      </c>
      <c r="C314" t="inlineStr">
        <is>
          <t>ВІЙСЬКОВА ЧАСТИНА 1141 НАЦІОНАЛЬНОЇ ГВАРДІЇ УКРАЇНИ</t>
        </is>
      </c>
      <c r="D314" t="inlineStr">
        <is>
          <t>Волинська область</t>
        </is>
      </c>
      <c r="E314" t="inlineStr">
        <is>
          <t>Комп'ютер ARTLINE Gaming X43 (X43v45)</t>
        </is>
      </c>
      <c r="F314" s="13" t="n">
        <v>134640</v>
      </c>
      <c r="G314" t="inlineStr">
        <is>
          <t>Допорогова</t>
        </is>
      </c>
      <c r="H314" t="inlineStr">
        <is>
          <t>ТОВ "АРТЛАЙН ІНТЕГРАЦІЯ"</t>
        </is>
      </c>
    </row>
    <row r="315">
      <c r="A315" s="4" t="inlineStr">
        <is>
          <t>UA-2025-10-27-009025-a</t>
        </is>
      </c>
      <c r="B315" t="inlineStr">
        <is>
          <t>2025-10-27</t>
        </is>
      </c>
      <c r="C315" t="inlineStr">
        <is>
          <t>Військова частина 9971</t>
        </is>
      </c>
      <c r="D315" t="inlineStr">
        <is>
          <t>Волинська область</t>
        </is>
      </c>
      <c r="E315" t="inlineStr">
        <is>
          <t>Жорсткий диск</t>
        </is>
      </c>
      <c r="F315" s="13" t="n">
        <v>130620</v>
      </c>
      <c r="G315" t="inlineStr">
        <is>
          <t>Відкриті торги (нові)</t>
        </is>
      </c>
      <c r="H315" t="inlineStr">
        <is>
          <t>ТОВ "ЛІНТУ"</t>
        </is>
      </c>
    </row>
    <row r="316">
      <c r="A316" s="4" t="inlineStr">
        <is>
          <t>UA-2026-01-27-008698-a</t>
        </is>
      </c>
      <c r="B316" t="inlineStr">
        <is>
          <t>2026-01-27</t>
        </is>
      </c>
      <c r="C316" t="inlineStr">
        <is>
          <t>Військова частина А 1008</t>
        </is>
      </c>
      <c r="D316" t="inlineStr">
        <is>
          <t>Волинська область</t>
        </is>
      </c>
      <c r="E316" t="inlineStr">
        <is>
          <t>3D принтер Bambu Lab P1S – 5 штук</t>
        </is>
      </c>
      <c r="F316" s="13" t="n">
        <v>130000</v>
      </c>
      <c r="G316" t="inlineStr">
        <is>
          <t>Допорогова</t>
        </is>
      </c>
      <c r="H316" t="inlineStr">
        <is>
          <t>ФОП РУДЕНЬ СЕРГІЙ ЮРІЙОВИЧ</t>
        </is>
      </c>
    </row>
    <row r="317">
      <c r="A317" s="4" t="inlineStr">
        <is>
          <t>UA-2025-10-27-006892-a</t>
        </is>
      </c>
      <c r="B317" t="inlineStr">
        <is>
          <t>2025-10-27</t>
        </is>
      </c>
      <c r="C317" t="inlineStr">
        <is>
          <t>ВИКОНАВЧИЙ КОМІТЕТ НОВОВОЛИНСЬКОЇ МІСЬКОЇ РАДИ</t>
        </is>
      </c>
      <c r="D317" t="inlineStr">
        <is>
          <t>Волинська область</t>
        </is>
      </c>
      <c r="E317" t="inlineStr">
        <is>
          <t>Системні блоки, ноутбуки</t>
        </is>
      </c>
      <c r="F317" s="13" t="n">
        <v>130000</v>
      </c>
      <c r="G317" t="inlineStr">
        <is>
          <t>Запит пропозицій</t>
        </is>
      </c>
      <c r="H317" t="inlineStr">
        <is>
          <t>ТОВ "ТІНОС-Д"</t>
        </is>
      </c>
    </row>
    <row r="318">
      <c r="A318" s="4" t="inlineStr">
        <is>
          <t>UA-2025-09-30-000353-a</t>
        </is>
      </c>
      <c r="B318" t="inlineStr">
        <is>
          <t>2025-09-30</t>
        </is>
      </c>
      <c r="C318" t="inlineStr">
        <is>
          <t>КП "Медичне об'єднання Луцької міської територіальної громади"</t>
        </is>
      </c>
      <c r="D318" t="inlineStr">
        <is>
          <t>Волинська область</t>
        </is>
      </c>
      <c r="E318" t="inlineStr">
        <is>
          <t>код ДК021:2015 - 30210000-4: Машини для обробки даних (апаратна частина)</t>
        </is>
      </c>
      <c r="F318" s="13" t="n">
        <v>130000</v>
      </c>
      <c r="G318" t="inlineStr">
        <is>
          <t>Відкриті торги (нові)</t>
        </is>
      </c>
      <c r="H318" t="inlineStr">
        <is>
          <t>ТОВ "СИСТЕМАТИКА УКРАЇНА"</t>
        </is>
      </c>
    </row>
    <row r="319">
      <c r="A319" s="4" t="inlineStr">
        <is>
          <t>UA-2026-08-29-000239-a</t>
        </is>
      </c>
      <c r="B319" t="inlineStr">
        <is>
          <t>2026-08-29</t>
        </is>
      </c>
      <c r="C319" t="inlineStr">
        <is>
          <t>ВІЙСЬКОВА ЧАСТИНА 1141 НАЦІОНАЛЬНОЇ ГВАРДІЇ УКРАЇНИ</t>
        </is>
      </c>
      <c r="D319" t="inlineStr">
        <is>
          <t>Волинська область</t>
        </is>
      </c>
      <c r="E319" t="inlineStr">
        <is>
          <t>Комп’ютер ARTLINE Gaming X43</t>
        </is>
      </c>
      <c r="F319" s="13" t="n">
        <v>126000</v>
      </c>
      <c r="G319" t="inlineStr">
        <is>
          <t>Допорогова</t>
        </is>
      </c>
      <c r="H319" t="inlineStr"/>
    </row>
    <row r="320">
      <c r="A320" s="4" t="inlineStr">
        <is>
          <t>UA-2026-07-23-004824-a</t>
        </is>
      </c>
      <c r="B320" t="inlineStr">
        <is>
          <t>2026-07-23</t>
        </is>
      </c>
      <c r="C320" t="inlineStr">
        <is>
          <t>ВІДДІЛ ОСВІТИ КОЛКІВСЬКОЇ СЕЛИЩНОЇ РАДИ ВОЛИНСЬКОЇ ОБЛАСТІ</t>
        </is>
      </c>
      <c r="D320" t="inlineStr">
        <is>
          <t>Волинська область</t>
        </is>
      </c>
      <c r="E320" t="inlineStr">
        <is>
          <t>30210000-4 Машини для обробки даних (апаратна частина)</t>
        </is>
      </c>
      <c r="F320" s="13" t="n">
        <v>125000</v>
      </c>
      <c r="G320" t="inlineStr">
        <is>
          <t>Відкриті торги (нові)</t>
        </is>
      </c>
      <c r="H320" t="inlineStr">
        <is>
          <t>ФОП "КРЕЩЕНКО ТЕТЯНА АНАТОЛІЇВНА"</t>
        </is>
      </c>
    </row>
    <row r="321">
      <c r="A321" s="4" t="inlineStr">
        <is>
          <t>UA-2026-07-08-005432-a</t>
        </is>
      </c>
      <c r="B321" t="inlineStr">
        <is>
          <t>2026-07-08</t>
        </is>
      </c>
      <c r="C321" t="inlineStr">
        <is>
          <t>Виконавчий комітет Луцької міської ради</t>
        </is>
      </c>
      <c r="D321" t="inlineStr">
        <is>
          <t>Волинська область</t>
        </is>
      </c>
      <c r="E321" t="inlineStr">
        <is>
          <t>Планшети</t>
        </is>
      </c>
      <c r="F321" s="13" t="n">
        <v>125000</v>
      </c>
      <c r="G321" t="inlineStr">
        <is>
          <t>Запит пропозицій</t>
        </is>
      </c>
      <c r="H321" t="inlineStr">
        <is>
          <t>ТОВ "ОПТІМА ТЕЧ"</t>
        </is>
      </c>
    </row>
    <row r="322">
      <c r="A322" s="4" t="inlineStr">
        <is>
          <t>UA-2026-04-23-002238-a</t>
        </is>
      </c>
      <c r="B322" t="inlineStr">
        <is>
          <t>2026-04-23</t>
        </is>
      </c>
      <c r="C322" t="inlineStr">
        <is>
          <t>Державний архів Волинської області</t>
        </is>
      </c>
      <c r="D322" t="inlineStr">
        <is>
          <t>Волинська область</t>
        </is>
      </c>
      <c r="E322" t="inlineStr">
        <is>
          <t>Накопичувачі HDD</t>
        </is>
      </c>
      <c r="F322" s="13" t="n">
        <v>125000</v>
      </c>
      <c r="G322" t="inlineStr">
        <is>
          <t>Запит пропозицій</t>
        </is>
      </c>
      <c r="H322" t="inlineStr">
        <is>
          <t>ФОП "Ковнер Юрій Вікторович"</t>
        </is>
      </c>
    </row>
    <row r="323">
      <c r="A323" s="4" t="inlineStr">
        <is>
          <t>UA-2025-09-15-004289-a</t>
        </is>
      </c>
      <c r="B323" t="inlineStr">
        <is>
          <t>2025-09-15</t>
        </is>
      </c>
      <c r="C323" t="inlineStr">
        <is>
          <t>ВИКОНАВЧИЙ КОМІТЕТ НОВОВОЛИНСЬКОЇ МІСЬКОЇ РАДИ</t>
        </is>
      </c>
      <c r="D323" t="inlineStr">
        <is>
          <t>Волинська область</t>
        </is>
      </c>
      <c r="E323" t="inlineStr">
        <is>
          <t>Моноблок Artline Business M61 v 25</t>
        </is>
      </c>
      <c r="F323" s="13" t="n">
        <v>125000</v>
      </c>
      <c r="G323" t="inlineStr">
        <is>
          <t>Запит пропозицій</t>
        </is>
      </c>
      <c r="H323" t="inlineStr">
        <is>
          <t>ТОВ "АРТЛАЙН ІНТЕГРАЦІЯ"</t>
        </is>
      </c>
    </row>
    <row r="324">
      <c r="A324" s="4" t="inlineStr">
        <is>
          <t>UA-2026-06-16-013741-a</t>
        </is>
      </c>
      <c r="B324" t="inlineStr">
        <is>
          <t>2026-06-16</t>
        </is>
      </c>
      <c r="C324" t="inlineStr">
        <is>
          <t>ВІЙСЬКОВА ЧАСТИНА 1141 НАЦІОНАЛЬНОЇ ГВАРДІЇ УКРАЇНИ</t>
        </is>
      </c>
      <c r="D324" t="inlineStr">
        <is>
          <t>Волинська область</t>
        </is>
      </c>
      <c r="E324" t="inlineStr">
        <is>
          <t>ноутбук MSI Thin 15 B13UC</t>
        </is>
      </c>
      <c r="F324" s="13" t="n">
        <v>122997</v>
      </c>
      <c r="G324" t="inlineStr">
        <is>
          <t>Допорогова</t>
        </is>
      </c>
      <c r="H324" t="inlineStr">
        <is>
          <t>ФОП ЗАЛІЗИНСЬКА ЮЛІАНА ДАРІУСІВНА</t>
        </is>
      </c>
    </row>
    <row r="325">
      <c r="A325" s="4" t="inlineStr">
        <is>
          <t>UA-2025-12-12-007408-a</t>
        </is>
      </c>
      <c r="B325" t="inlineStr">
        <is>
          <t>2025-12-12</t>
        </is>
      </c>
      <c r="C325" t="inlineStr">
        <is>
          <t>Управління освіти виконавчого комітету Ковельської міської ради</t>
        </is>
      </c>
      <c r="D325" t="inlineStr">
        <is>
          <t>Волинська область</t>
        </is>
      </c>
      <c r="E325" t="inlineStr">
        <is>
          <t>Ноутбук для педагогічного працівника високого рівня: 15.6", Intel Core i5 12(13)</t>
        </is>
      </c>
      <c r="F325" s="13" t="n">
        <v>122993</v>
      </c>
      <c r="G325" t="inlineStr">
        <is>
          <t>Запит пропозицій</t>
        </is>
      </c>
      <c r="H325" t="inlineStr">
        <is>
          <t>ТОВ "ТІНОС-Д"</t>
        </is>
      </c>
    </row>
    <row r="326">
      <c r="A326" s="4" t="inlineStr">
        <is>
          <t>UA-2025-12-09-021103-a</t>
        </is>
      </c>
      <c r="B326" t="inlineStr">
        <is>
          <t>2025-12-09</t>
        </is>
      </c>
      <c r="C326" t="inlineStr">
        <is>
          <t>Управління освіти виконавчого комітету Ковельської міської ради</t>
        </is>
      </c>
      <c r="D326" t="inlineStr">
        <is>
          <t>Волинська область</t>
        </is>
      </c>
      <c r="E326" t="inlineStr">
        <is>
          <t>Ноутбук для педагогічного працівника високого рівня: 15.6", Intel Core i5 12(13)</t>
        </is>
      </c>
      <c r="F326" s="13" t="n">
        <v>122993</v>
      </c>
      <c r="G326" t="inlineStr">
        <is>
          <t>Запит пропозицій</t>
        </is>
      </c>
      <c r="H326" t="inlineStr"/>
    </row>
    <row r="327">
      <c r="A327" s="4" t="inlineStr">
        <is>
          <t>UA-2025-11-19-016090-a</t>
        </is>
      </c>
      <c r="B327" t="inlineStr">
        <is>
          <t>2025-11-19</t>
        </is>
      </c>
      <c r="C327" t="inlineStr">
        <is>
          <t>Військова частина А4825</t>
        </is>
      </c>
      <c r="D327" t="inlineStr">
        <is>
          <t>Волинська область</t>
        </is>
      </c>
      <c r="E327" t="inlineStr">
        <is>
          <t>Ноутбуки</t>
        </is>
      </c>
      <c r="F327" s="13" t="n">
        <v>122800</v>
      </c>
      <c r="G327" t="inlineStr">
        <is>
          <t>Запит пропозицій</t>
        </is>
      </c>
      <c r="H327" t="inlineStr"/>
    </row>
    <row r="328">
      <c r="A328" s="4" t="inlineStr">
        <is>
          <t>UA-2025-11-07-009521-a</t>
        </is>
      </c>
      <c r="B328" t="inlineStr">
        <is>
          <t>2025-11-07</t>
        </is>
      </c>
      <c r="C328" t="inlineStr">
        <is>
          <t>ВІЙСЬКОВА ЧАСТИНА 1141 НАЦІОНАЛЬНОЇ ГВАРДІЇ УКРАЇНИ</t>
        </is>
      </c>
      <c r="D328" t="inlineStr">
        <is>
          <t>Волинська область</t>
        </is>
      </c>
      <c r="E328" t="inlineStr">
        <is>
          <t>Комп'ютерне обладнання</t>
        </is>
      </c>
      <c r="F328" s="13" t="n">
        <v>122325</v>
      </c>
      <c r="G328" t="inlineStr">
        <is>
          <t>Допорогова</t>
        </is>
      </c>
      <c r="H328" t="inlineStr"/>
    </row>
    <row r="329">
      <c r="A329" s="4" t="inlineStr">
        <is>
          <t>UA-2026-01-13-004832-a</t>
        </is>
      </c>
      <c r="B329" t="inlineStr">
        <is>
          <t>2026-01-13</t>
        </is>
      </c>
      <c r="C329" t="inlineStr">
        <is>
          <t>Волинський фаховий коледж культури і мистецтв імені І.Ф. Стравінського Волинської обласної ради</t>
        </is>
      </c>
      <c r="D329" t="inlineStr">
        <is>
          <t>Волинська область</t>
        </is>
      </c>
      <c r="E329" t="inlineStr">
        <is>
          <t>ПК (офісна техніка)</t>
        </is>
      </c>
      <c r="F329" s="13" t="n">
        <v>121300</v>
      </c>
      <c r="G329" t="inlineStr">
        <is>
          <t>Звіт про договір</t>
        </is>
      </c>
      <c r="H329" t="inlineStr">
        <is>
          <t>ФОП Жигало В.М.</t>
        </is>
      </c>
    </row>
    <row r="330">
      <c r="A330" s="4" t="inlineStr">
        <is>
          <t>UA-2026-06-18-002875-a</t>
        </is>
      </c>
      <c r="B330" t="inlineStr">
        <is>
          <t>2026-06-18</t>
        </is>
      </c>
      <c r="C330" t="inlineStr">
        <is>
          <t>Військова частина 9971</t>
        </is>
      </c>
      <c r="D330" t="inlineStr">
        <is>
          <t>Волинська область</t>
        </is>
      </c>
      <c r="E330" t="inlineStr">
        <is>
          <t>Ноутбук</t>
        </is>
      </c>
      <c r="F330" s="13" t="n">
        <v>120000</v>
      </c>
      <c r="G330" t="inlineStr">
        <is>
          <t>Відкриті торги (нові)</t>
        </is>
      </c>
      <c r="H330" t="inlineStr">
        <is>
          <t>ФОП Верстюк Анастасія Іванівна</t>
        </is>
      </c>
    </row>
    <row r="331">
      <c r="A331" s="4" t="inlineStr">
        <is>
          <t>UA-2026-04-09-009013-a</t>
        </is>
      </c>
      <c r="B331" t="inlineStr">
        <is>
          <t>2026-04-09</t>
        </is>
      </c>
      <c r="C331" t="inlineStr">
        <is>
          <t>Державний архів Волинської області</t>
        </is>
      </c>
      <c r="D331" t="inlineStr">
        <is>
          <t>Волинська область</t>
        </is>
      </c>
      <c r="E331" t="inlineStr">
        <is>
          <t>Накопичувачі HDD</t>
        </is>
      </c>
      <c r="F331" s="13" t="n">
        <v>120000</v>
      </c>
      <c r="G331" t="inlineStr">
        <is>
          <t>Запит пропозицій</t>
        </is>
      </c>
      <c r="H331" t="inlineStr"/>
    </row>
    <row r="332">
      <c r="A332" s="4" t="inlineStr">
        <is>
          <t>UA-2026-04-06-005908-a</t>
        </is>
      </c>
      <c r="B332" t="inlineStr">
        <is>
          <t>2026-04-06</t>
        </is>
      </c>
      <c r="C332" t="inlineStr">
        <is>
          <t>Державний архів Волинської області</t>
        </is>
      </c>
      <c r="D332" t="inlineStr">
        <is>
          <t>Волинська область</t>
        </is>
      </c>
      <c r="E332" t="inlineStr">
        <is>
          <t>Накопичувачі HDD</t>
        </is>
      </c>
      <c r="F332" s="13" t="n">
        <v>120000</v>
      </c>
      <c r="G332" t="inlineStr">
        <is>
          <t>Запит пропозицій</t>
        </is>
      </c>
      <c r="H332" t="inlineStr"/>
    </row>
    <row r="333">
      <c r="A333" s="4" t="inlineStr">
        <is>
          <t>UA-2026-02-02-004641-a</t>
        </is>
      </c>
      <c r="B333" t="inlineStr">
        <is>
          <t>2026-02-02</t>
        </is>
      </c>
      <c r="C333" t="inlineStr">
        <is>
          <t>Військова частина А 0959</t>
        </is>
      </c>
      <c r="D333" t="inlineStr">
        <is>
          <t>Волинська область</t>
        </is>
      </c>
      <c r="E333" t="inlineStr">
        <is>
          <t>Планшети</t>
        </is>
      </c>
      <c r="F333" s="13" t="n">
        <v>120000</v>
      </c>
      <c r="G333" t="inlineStr">
        <is>
          <t>Запит пропозицій</t>
        </is>
      </c>
      <c r="H333" t="inlineStr">
        <is>
          <t>ФОП ДАРАДУДА БОГДАНА МИКОЛАЇВНА</t>
        </is>
      </c>
    </row>
    <row r="334">
      <c r="A334" s="4" t="inlineStr">
        <is>
          <t>UA-2025-09-17-012561-a</t>
        </is>
      </c>
      <c r="B334" t="inlineStr">
        <is>
          <t>2025-09-17</t>
        </is>
      </c>
      <c r="C334" t="inlineStr">
        <is>
          <t>КП "Медичне об'єднання Луцької міської територіальної громади"</t>
        </is>
      </c>
      <c r="D334" t="inlineStr">
        <is>
          <t>Волинська область</t>
        </is>
      </c>
      <c r="E334" t="inlineStr">
        <is>
          <t>код ДК021:2015 - 30210000-4: Машини для обробки даних (апаратна частина)</t>
        </is>
      </c>
      <c r="F334" s="13" t="n">
        <v>120000</v>
      </c>
      <c r="G334" t="inlineStr">
        <is>
          <t>Відкриті торги (нові)</t>
        </is>
      </c>
      <c r="H334" t="inlineStr">
        <is>
          <t>ТОВ "СИСТЕМАТИКА УКРАЇНА"</t>
        </is>
      </c>
    </row>
    <row r="335">
      <c r="A335" s="4" t="inlineStr">
        <is>
          <t>UA-2025-11-26-017289-a</t>
        </is>
      </c>
      <c r="B335" t="inlineStr">
        <is>
          <t>2025-11-26</t>
        </is>
      </c>
      <c r="C335" t="inlineStr">
        <is>
          <t>ВІЙСЬКОВА ЧАСТИНА 1141 НАЦІОНАЛЬНОЇ ГВАРДІЇ УКРАЇНИ</t>
        </is>
      </c>
      <c r="D335" t="inlineStr">
        <is>
          <t>Волинська область</t>
        </is>
      </c>
      <c r="E335" t="inlineStr">
        <is>
          <t>Ноутбук для робочих завдань 15.6", Intel Core i5 13-покоління, 16 Гб, 512 Гб, DO</t>
        </is>
      </c>
      <c r="F335" s="13" t="n">
        <v>119990</v>
      </c>
      <c r="G335" t="inlineStr">
        <is>
          <t>Запит пропозицій</t>
        </is>
      </c>
      <c r="H335" t="inlineStr">
        <is>
          <t>ФОП "ГАЛИЦЬКА МАРИНА МИКОЛАЇВНА"</t>
        </is>
      </c>
    </row>
    <row r="336">
      <c r="A336" s="4" t="inlineStr">
        <is>
          <t>UA-2025-11-05-009156-a</t>
        </is>
      </c>
      <c r="B336" t="inlineStr">
        <is>
          <t>2025-11-05</t>
        </is>
      </c>
      <c r="C336" t="inlineStr">
        <is>
          <t>Військова частина А 0959</t>
        </is>
      </c>
      <c r="D336" t="inlineStr">
        <is>
          <t>Волинська область</t>
        </is>
      </c>
      <c r="E336" t="inlineStr">
        <is>
          <t>Багатофункціональні пристрої</t>
        </is>
      </c>
      <c r="F336" s="13" t="n">
        <v>117350</v>
      </c>
      <c r="G336" t="inlineStr">
        <is>
          <t>Допорогова</t>
        </is>
      </c>
      <c r="H336" t="inlineStr">
        <is>
          <t>ФОП "Храпко Іван Володимирович"</t>
        </is>
      </c>
    </row>
    <row r="337">
      <c r="A337" s="4" t="inlineStr">
        <is>
          <t>UA-2025-10-18-000746-a</t>
        </is>
      </c>
      <c r="B337" t="inlineStr">
        <is>
          <t>2025-10-18</t>
        </is>
      </c>
      <c r="C337" t="inlineStr">
        <is>
          <t>Військова частина А 0959</t>
        </is>
      </c>
      <c r="D337" t="inlineStr">
        <is>
          <t>Волинська область</t>
        </is>
      </c>
      <c r="E337" t="inlineStr">
        <is>
          <t>Багатофункціональні пристрої</t>
        </is>
      </c>
      <c r="F337" s="13" t="n">
        <v>117350</v>
      </c>
      <c r="G337" t="inlineStr">
        <is>
          <t>Допорогова</t>
        </is>
      </c>
      <c r="H337" t="inlineStr"/>
    </row>
    <row r="338">
      <c r="A338" s="4" t="inlineStr">
        <is>
          <t>UA-2026-08-26-000489-a</t>
        </is>
      </c>
      <c r="B338" t="inlineStr">
        <is>
          <t>2026-08-26</t>
        </is>
      </c>
      <c r="C338" t="inlineStr">
        <is>
          <t>ВІЙСЬКОВА ЧАСТИНА 1141 НАЦІОНАЛЬНОЇ ГВАРДІЇ УКРАЇНИ</t>
        </is>
      </c>
      <c r="D338" t="inlineStr">
        <is>
          <t>Волинська область</t>
        </is>
      </c>
      <c r="E338" t="inlineStr">
        <is>
          <t>Ноутбук MSI Thin 15 B13VE-3438XUA (9S7-16R831-3438)</t>
        </is>
      </c>
      <c r="F338" s="13" t="n">
        <v>116832.5</v>
      </c>
      <c r="G338" t="inlineStr">
        <is>
          <t>Запит пропозицій</t>
        </is>
      </c>
      <c r="H338" t="inlineStr"/>
    </row>
    <row r="339">
      <c r="A339" s="4" t="inlineStr">
        <is>
          <t>UA-2026-07-23-002735-a</t>
        </is>
      </c>
      <c r="B339" t="inlineStr">
        <is>
          <t>2026-07-23</t>
        </is>
      </c>
      <c r="C339" t="inlineStr">
        <is>
          <t>ВІЙСЬКОВА ЧАСТИНА 1141 НАЦІОНАЛЬНОЇ ГВАРДІЇ УКРАЇНИ</t>
        </is>
      </c>
      <c r="D339" t="inlineStr">
        <is>
          <t>Волинська область</t>
        </is>
      </c>
      <c r="E339" t="inlineStr">
        <is>
          <t>Ноутбуки</t>
        </is>
      </c>
      <c r="F339" s="13" t="n">
        <v>116450.4</v>
      </c>
      <c r="G339" t="inlineStr">
        <is>
          <t>Запит пропозицій</t>
        </is>
      </c>
      <c r="H339" t="inlineStr">
        <is>
          <t>ТОВ "ПАВЕРТРЕЙД"</t>
        </is>
      </c>
    </row>
    <row r="340">
      <c r="A340" s="4" t="inlineStr">
        <is>
          <t>UA-2025-10-14-015829-a</t>
        </is>
      </c>
      <c r="B340" t="inlineStr">
        <is>
          <t>2025-10-14</t>
        </is>
      </c>
      <c r="C340" t="inlineStr">
        <is>
          <t>Державний професійно-технічний навчальний заклад "Камінь-Каширське вище професійне училище"</t>
        </is>
      </c>
      <c r="D340" t="inlineStr">
        <is>
          <t>Волинська область</t>
        </is>
      </c>
      <c r="E340" t="inlineStr">
        <is>
          <t>Ноутбуки (Код ДК 021:2015: 30210000-4: Машини для обробки даних (апаратна частин</t>
        </is>
      </c>
      <c r="F340" s="13" t="n">
        <v>115000</v>
      </c>
      <c r="G340" t="inlineStr">
        <is>
          <t>Відкриті торги (нові)</t>
        </is>
      </c>
      <c r="H340" t="inlineStr"/>
    </row>
    <row r="341">
      <c r="A341" s="4" t="inlineStr">
        <is>
          <t>UA-2025-10-07-010412-a</t>
        </is>
      </c>
      <c r="B341" t="inlineStr">
        <is>
          <t>2025-10-07</t>
        </is>
      </c>
      <c r="C341" t="inlineStr">
        <is>
          <t>ГОЛОВНЕ УПРАВЛІННЯ ПЕНСІЙНОГО ФОНДУ УКРАЇНИ У ВОЛИНСЬКІЙ ОБЛАСТІ</t>
        </is>
      </c>
      <c r="D341" t="inlineStr">
        <is>
          <t>Волинська область</t>
        </is>
      </c>
      <c r="E341" t="inlineStr">
        <is>
          <t>Машини для обробки даних (апаратна частина) (сканер протяжний)</t>
        </is>
      </c>
      <c r="F341" s="13" t="n">
        <v>115000</v>
      </c>
      <c r="G341" t="inlineStr">
        <is>
          <t>Запит пропозицій</t>
        </is>
      </c>
      <c r="H341" t="inlineStr">
        <is>
          <t>ТОВ "САНТАРЕКС"</t>
        </is>
      </c>
    </row>
    <row r="342">
      <c r="A342" s="4" t="inlineStr">
        <is>
          <t>UA-2026-05-11-006085-a</t>
        </is>
      </c>
      <c r="B342" t="inlineStr">
        <is>
          <t>2026-05-11</t>
        </is>
      </c>
      <c r="C342" t="inlineStr">
        <is>
          <t>ВИКОНАВЧИЙ КОМІТЕТ НОВОВОЛИНСЬКОЇ МІСЬКОЇ РАДИ</t>
        </is>
      </c>
      <c r="D342" t="inlineStr">
        <is>
          <t>Волинська область</t>
        </is>
      </c>
      <c r="E342" t="inlineStr">
        <is>
          <t>Комп'ютерна техніка</t>
        </is>
      </c>
      <c r="F342" s="13" t="n">
        <v>114000</v>
      </c>
      <c r="G342" t="inlineStr">
        <is>
          <t>Запит пропозицій</t>
        </is>
      </c>
      <c r="H342" t="inlineStr"/>
    </row>
    <row r="343">
      <c r="A343" s="4" t="inlineStr">
        <is>
          <t>UA-2025-11-25-009235-a</t>
        </is>
      </c>
      <c r="B343" t="inlineStr">
        <is>
          <t>2025-11-25</t>
        </is>
      </c>
      <c r="C343" t="inlineStr">
        <is>
          <t>ВОЛИНСЬКА ОБЛАСНА ПРОКУРАТУРА</t>
        </is>
      </c>
      <c r="D343" t="inlineStr">
        <is>
          <t>Волинська область</t>
        </is>
      </c>
      <c r="E343" t="inlineStr">
        <is>
          <t>Монітори за кодом ДК 021:2015-30230000-0 «Комп’ютерне обладнання»</t>
        </is>
      </c>
      <c r="F343" s="13" t="n">
        <v>112540</v>
      </c>
      <c r="G343" t="inlineStr">
        <is>
          <t>Запит пропозицій</t>
        </is>
      </c>
      <c r="H343" t="inlineStr">
        <is>
          <t>ТОВ "МОБАЙЛ АЙТІ"</t>
        </is>
      </c>
    </row>
    <row r="344">
      <c r="A344" s="4" t="inlineStr">
        <is>
          <t>UA-2026-03-25-006894-a</t>
        </is>
      </c>
      <c r="B344" t="inlineStr">
        <is>
          <t>2026-03-25</t>
        </is>
      </c>
      <c r="C344" t="inlineStr">
        <is>
          <t>ВИКОНАВЧИЙ КОМІТЕТ НОВОВОЛИНСЬКОЇ МІСЬКОЇ РАДИ</t>
        </is>
      </c>
      <c r="D344" t="inlineStr">
        <is>
          <t>Волинська область</t>
        </is>
      </c>
      <c r="E344" t="inlineStr">
        <is>
          <t>Пристрій безперебійного живлення Vinga LCD 1500VA plastic case (VPC-1500P)</t>
        </is>
      </c>
      <c r="F344" s="13" t="n">
        <v>112500</v>
      </c>
      <c r="G344" t="inlineStr">
        <is>
          <t>Запит пропозицій</t>
        </is>
      </c>
      <c r="H344" t="inlineStr"/>
    </row>
    <row r="345">
      <c r="A345" s="4" t="inlineStr">
        <is>
          <t>UA-2026-06-11-001506-a</t>
        </is>
      </c>
      <c r="B345" t="inlineStr">
        <is>
          <t>2026-06-11</t>
        </is>
      </c>
      <c r="C345" t="inlineStr">
        <is>
          <t>Гуманітарний відділ Городищенської сільської ради</t>
        </is>
      </c>
      <c r="D345" t="inlineStr">
        <is>
          <t>Волинська область</t>
        </is>
      </c>
      <c r="E345" t="inlineStr">
        <is>
          <t>Ноутбуки - ДК 021:2015:30210000-4 Машини для обробки даних (апаратна частина)</t>
        </is>
      </c>
      <c r="F345" s="13" t="n">
        <v>112000</v>
      </c>
      <c r="G345" t="inlineStr">
        <is>
          <t>Запит пропозицій</t>
        </is>
      </c>
      <c r="H345" t="inlineStr">
        <is>
          <t>ФОП "Пасічник Ніна Іванівна"</t>
        </is>
      </c>
    </row>
    <row r="346">
      <c r="A346" s="4" t="inlineStr">
        <is>
          <t>UA-2025-11-27-016123-a</t>
        </is>
      </c>
      <c r="B346" t="inlineStr">
        <is>
          <t>2025-11-27</t>
        </is>
      </c>
      <c r="C346" t="inlineStr">
        <is>
          <t>КНП "ЛЮБОМЛЬСЬКЕ ТЕРИТОРІАЛЬНЕ МЕДИЧНЕ ОБ'ЄДНАННЯ" ЛЮБОМЛЬСЬКОЇ МІСЬКОЇ РАДИ</t>
        </is>
      </c>
      <c r="D346" t="inlineStr">
        <is>
          <t>Волинська область</t>
        </is>
      </c>
      <c r="E346" t="inlineStr">
        <is>
          <t>Багатофункціональні пристрої; Монітори; БФП струменевий, кольоровий, A4, 37 ст./</t>
        </is>
      </c>
      <c r="F346" s="13" t="n">
        <v>112000</v>
      </c>
      <c r="G346" t="inlineStr">
        <is>
          <t>Запит пропозицій</t>
        </is>
      </c>
      <c r="H346" t="inlineStr"/>
    </row>
    <row r="347">
      <c r="A347" s="4" t="inlineStr">
        <is>
          <t>UA-2025-11-27-015828-a</t>
        </is>
      </c>
      <c r="B347" t="inlineStr">
        <is>
          <t>2025-11-27</t>
        </is>
      </c>
      <c r="C347" t="inlineStr">
        <is>
          <t>КНП "ЛЮБОМЛЬСЬКЕ ТЕРИТОРІАЛЬНЕ МЕДИЧНЕ ОБ'ЄДНАННЯ" ЛЮБОМЛЬСЬКОЇ МІСЬКОЇ РАДИ</t>
        </is>
      </c>
      <c r="D347" t="inlineStr">
        <is>
          <t>Волинська область</t>
        </is>
      </c>
      <c r="E347" t="inlineStr">
        <is>
          <t>Комп'ютери настільні; Ноутбуки</t>
        </is>
      </c>
      <c r="F347" s="13" t="n">
        <v>111000</v>
      </c>
      <c r="G347" t="inlineStr">
        <is>
          <t>Запит пропозицій</t>
        </is>
      </c>
      <c r="H347" t="inlineStr">
        <is>
          <t>ТОВ "ТІНОС-Д"</t>
        </is>
      </c>
    </row>
    <row r="348">
      <c r="A348" s="4" t="inlineStr">
        <is>
          <t>UA-2026-03-10-013355-a</t>
        </is>
      </c>
      <c r="B348" t="inlineStr">
        <is>
          <t>2026-03-10</t>
        </is>
      </c>
      <c r="C348" t="inlineStr">
        <is>
          <t>ВІДДІЛ ОСВІТИ, МОЛОДІ ТА СПОРТУ МАНЕВИЦЬКОЇ СЕЛИЩНОЇ РАДИ</t>
        </is>
      </c>
      <c r="D348" t="inlineStr">
        <is>
          <t>Волинська область</t>
        </is>
      </c>
      <c r="E348" t="inlineStr">
        <is>
          <t>Комп'ютерне обладнання</t>
        </is>
      </c>
      <c r="F348" s="13" t="n">
        <v>110500</v>
      </c>
      <c r="G348" t="inlineStr">
        <is>
          <t>Запит пропозицій</t>
        </is>
      </c>
      <c r="H348" t="inlineStr"/>
    </row>
    <row r="349">
      <c r="A349" s="4" t="inlineStr">
        <is>
          <t>UA-2025-10-21-005630-a</t>
        </is>
      </c>
      <c r="B349" t="inlineStr">
        <is>
          <t>2025-10-21</t>
        </is>
      </c>
      <c r="C349" t="inlineStr">
        <is>
          <t>Департамент "Центр надання адміністративних послуг у місті Луцьку" Луцької міської ради</t>
        </is>
      </c>
      <c r="D349" t="inlineStr">
        <is>
          <t>Волинська область</t>
        </is>
      </c>
      <c r="E349" t="inlineStr">
        <is>
          <t>Багатофункціональні пристрої Canon i-SENSYS MF3010 (5252B004)</t>
        </is>
      </c>
      <c r="F349" s="13" t="n">
        <v>110000</v>
      </c>
      <c r="G349" t="inlineStr">
        <is>
          <t>Запит пропозицій</t>
        </is>
      </c>
      <c r="H349" t="inlineStr">
        <is>
          <t>ТОВ "САНТАРЕКС"</t>
        </is>
      </c>
    </row>
    <row r="350">
      <c r="A350" s="4" t="inlineStr">
        <is>
          <t>UA-2026-03-16-004487-a</t>
        </is>
      </c>
      <c r="B350" t="inlineStr">
        <is>
          <t>2026-03-16</t>
        </is>
      </c>
      <c r="C350" t="inlineStr">
        <is>
          <t>ДЕПАРТАМЕНТ З ПИТАНЬ ВЕТЕРАНСЬКОЇ ПОЛІТИКИ ЛУЦЬКОЇ МІСЬКОЇ РАДИ</t>
        </is>
      </c>
      <c r="D350" t="inlineStr">
        <is>
          <t>Волинська область</t>
        </is>
      </c>
      <c r="E350" t="inlineStr">
        <is>
          <t>Моноблок HP ProOne 240 G10</t>
        </is>
      </c>
      <c r="F350" s="13" t="n">
        <v>108104</v>
      </c>
      <c r="G350" t="inlineStr">
        <is>
          <t>Запит пропозицій</t>
        </is>
      </c>
      <c r="H350" t="inlineStr">
        <is>
          <t>ТОВ "СИСТЕМАТИКА УКРАЇНА"</t>
        </is>
      </c>
    </row>
    <row r="351">
      <c r="A351" s="4" t="inlineStr">
        <is>
          <t>UA-2026-08-21-010634-a</t>
        </is>
      </c>
      <c r="B351" t="inlineStr">
        <is>
          <t>2026-08-21</t>
        </is>
      </c>
      <c r="C351" t="inlineStr">
        <is>
          <t>КАМІНЬ-КАШИРСЬКА МІСЬКА РАДА</t>
        </is>
      </c>
      <c r="D351" t="inlineStr">
        <is>
          <t>Волинська область</t>
        </is>
      </c>
      <c r="E351" t="inlineStr">
        <is>
          <t>Ноутбук</t>
        </is>
      </c>
      <c r="F351" s="13" t="n">
        <v>107955.83</v>
      </c>
      <c r="G351" t="inlineStr">
        <is>
          <t>Відкриті торги (нові)</t>
        </is>
      </c>
      <c r="H351" t="inlineStr">
        <is>
          <t>ТОВ "КОМПАКОМ"</t>
        </is>
      </c>
    </row>
    <row r="352">
      <c r="A352" s="4" t="inlineStr">
        <is>
          <t>UA-2025-12-03-008683-a</t>
        </is>
      </c>
      <c r="B352" t="inlineStr">
        <is>
          <t>2025-12-03</t>
        </is>
      </c>
      <c r="C352" t="inlineStr">
        <is>
          <t>УПРАВЛІННЯ СЛУЖБИ БЕЗПЕКИ УКРАЇНИ У ВОЛИНСЬКІЙ ОБЛАСТІ</t>
        </is>
      </c>
      <c r="D352" t="inlineStr">
        <is>
          <t>Волинська область</t>
        </is>
      </c>
      <c r="E352" t="inlineStr">
        <is>
          <t>ДК 021:2015 – 30230000-0 «Комп’ютерне обладнання» Лот 1 Монітор MSI PRO MP273A I</t>
        </is>
      </c>
      <c r="F352" s="13" t="n">
        <v>107790</v>
      </c>
      <c r="G352" t="inlineStr">
        <is>
          <t>Відкриті торги (нові)</t>
        </is>
      </c>
      <c r="H352" t="inlineStr">
        <is>
          <t>ТОВ "ЕКО ДРУК"</t>
        </is>
      </c>
    </row>
    <row r="353">
      <c r="A353" s="4" t="inlineStr">
        <is>
          <t>UA-2026-08-04-009295-a</t>
        </is>
      </c>
      <c r="B353" t="inlineStr">
        <is>
          <t>2026-08-04</t>
        </is>
      </c>
      <c r="C353" t="inlineStr">
        <is>
          <t>Військова частина 9971</t>
        </is>
      </c>
      <c r="D353" t="inlineStr">
        <is>
          <t>Волинська область</t>
        </is>
      </c>
      <c r="E353" t="inlineStr">
        <is>
          <t>Багатофункціональні пристрої</t>
        </is>
      </c>
      <c r="F353" s="13" t="n">
        <v>105450</v>
      </c>
      <c r="G353" t="inlineStr">
        <is>
          <t>Запит пропозицій</t>
        </is>
      </c>
      <c r="H353" t="inlineStr">
        <is>
          <t>ТОВ "ЛЕОПОЛІС КОМП'ЮТЕР"</t>
        </is>
      </c>
    </row>
    <row r="354">
      <c r="A354" s="4" t="inlineStr">
        <is>
          <t>UA-2025-12-03-022343-a</t>
        </is>
      </c>
      <c r="B354" t="inlineStr">
        <is>
          <t>2025-12-03</t>
        </is>
      </c>
      <c r="C354" t="inlineStr">
        <is>
          <t>ВІДОКРЕМЛЕНИЙ СТРУКТУРНИЙ ПІДРОЗДІЛ "ВОЛИНСЬКИЙ ФАХОВИЙ КОЛЕДЖ НАЦІОНАЛЬНОГО УНІВЕРСИТЕТУ ХАРЧОВИХ ТЕХНОЛОГІЙ"</t>
        </is>
      </c>
      <c r="D354" t="inlineStr">
        <is>
          <t>Волинська область</t>
        </is>
      </c>
      <c r="E354" t="inlineStr">
        <is>
          <t>Монітори</t>
        </is>
      </c>
      <c r="F354" s="13" t="n">
        <v>105200</v>
      </c>
      <c r="G354" t="inlineStr">
        <is>
          <t>Запит пропозицій</t>
        </is>
      </c>
      <c r="H354" t="inlineStr"/>
    </row>
    <row r="355">
      <c r="A355" s="4" t="inlineStr">
        <is>
          <t>UA-2025-09-10-001180-a</t>
        </is>
      </c>
      <c r="B355" t="inlineStr">
        <is>
          <t>2025-09-10</t>
        </is>
      </c>
      <c r="C355" t="inlineStr">
        <is>
          <t>НОВОВОЛИНСЬКИЙ ЛІЦЕЙ №2 НОВОВОЛИНСЬКОЇ МІСЬКОЇ РАДИ ВОЛИНСЬКОЇ ОБЛАСТІ</t>
        </is>
      </c>
      <c r="D355" t="inlineStr">
        <is>
          <t>Волинська область</t>
        </is>
      </c>
      <c r="E355" t="inlineStr">
        <is>
          <t>Машини для обробки даних (апаратна частина)</t>
        </is>
      </c>
      <c r="F355" s="13" t="n">
        <v>105070</v>
      </c>
      <c r="G355" t="inlineStr">
        <is>
          <t>Запит пропозицій</t>
        </is>
      </c>
      <c r="H355" t="inlineStr">
        <is>
          <t>ФОП Лаврентієв Сергій Миколайович</t>
        </is>
      </c>
    </row>
    <row r="356">
      <c r="A356" s="4" t="inlineStr">
        <is>
          <t>UA-2025-10-29-007290-a</t>
        </is>
      </c>
      <c r="B356" t="inlineStr">
        <is>
          <t>2025-10-29</t>
        </is>
      </c>
      <c r="C356" t="inlineStr">
        <is>
          <t>Виконавчий комітет Луцької міської ради</t>
        </is>
      </c>
      <c r="D356" t="inlineStr">
        <is>
          <t>Волинська область</t>
        </is>
      </c>
      <c r="E356" t="inlineStr">
        <is>
          <t>БФП Canon i-SENSYS MF3010, бандл 2 x Картридж 725 (5252B034)</t>
        </is>
      </c>
      <c r="F356" s="13" t="n">
        <v>105000</v>
      </c>
      <c r="G356" t="inlineStr">
        <is>
          <t>Запит пропозицій</t>
        </is>
      </c>
      <c r="H356" t="inlineStr">
        <is>
          <t>ФОП "БЕЗКОРОВАЙНА ОЛЬГА МИХАЙЛІВНА"</t>
        </is>
      </c>
    </row>
    <row r="357">
      <c r="A357" s="4" t="inlineStr">
        <is>
          <t>UA-2025-10-24-011502-a</t>
        </is>
      </c>
      <c r="B357" t="inlineStr">
        <is>
          <t>2025-10-24</t>
        </is>
      </c>
      <c r="C357" t="inlineStr">
        <is>
          <t>НОВОВОЛИНСЬКИЙ ЛІЦЕЙ №6 НОВОВОЛИНСЬКОЇ МІСЬКОЇ РАДИ ВОЛИНСЬКОЇ ОБЛАСТІ</t>
        </is>
      </c>
      <c r="D357" t="inlineStr">
        <is>
          <t>Волинська область</t>
        </is>
      </c>
      <c r="E357" t="inlineStr">
        <is>
          <t>Машини для обробки даних (апаратна частина)</t>
        </is>
      </c>
      <c r="F357" s="13" t="n">
        <v>103750</v>
      </c>
      <c r="G357" t="inlineStr">
        <is>
          <t>Запит пропозицій</t>
        </is>
      </c>
      <c r="H357" t="inlineStr">
        <is>
          <t>ФОП Козловський Сергій Павлович</t>
        </is>
      </c>
    </row>
    <row r="358">
      <c r="A358" s="4" t="inlineStr">
        <is>
          <t>UA-2026-09-01-008665-a</t>
        </is>
      </c>
      <c r="B358" t="inlineStr">
        <is>
          <t>2026-09-01</t>
        </is>
      </c>
      <c r="C358" t="inlineStr">
        <is>
          <t>Виконавчий комітет Ковельської міської ради</t>
        </is>
      </c>
      <c r="D358" t="inlineStr">
        <is>
          <t>Волинська область</t>
        </is>
      </c>
      <c r="E358" t="inlineStr">
        <is>
          <t>Ноутбук Acer Aspire Go 15 AG15-42P-R40Z або еквівалент</t>
        </is>
      </c>
      <c r="F358" s="13" t="n">
        <v>103333.35</v>
      </c>
      <c r="G358" t="inlineStr">
        <is>
          <t>Відкриті торги (нові)</t>
        </is>
      </c>
      <c r="H358" t="inlineStr"/>
    </row>
    <row r="359">
      <c r="A359" s="4" t="inlineStr">
        <is>
          <t>UA-2026-08-18-002713-a</t>
        </is>
      </c>
      <c r="B359" t="inlineStr">
        <is>
          <t>2026-08-18</t>
        </is>
      </c>
      <c r="C359" t="inlineStr">
        <is>
          <t>Виконавчий комітет Луцької міської ради</t>
        </is>
      </c>
      <c r="D359" t="inlineStr">
        <is>
          <t>Волинська область</t>
        </is>
      </c>
      <c r="E359" t="inlineStr">
        <is>
          <t>Ноутбук MSI Thin 15 B13VE-3438XUA (9S7-16R831-3438)</t>
        </is>
      </c>
      <c r="F359" s="13" t="n">
        <v>100000</v>
      </c>
      <c r="G359" t="inlineStr">
        <is>
          <t>Запит пропозицій</t>
        </is>
      </c>
      <c r="H359" t="inlineStr"/>
    </row>
    <row r="360">
      <c r="A360" s="4" t="inlineStr">
        <is>
          <t>UA-2026-02-10-012534-a</t>
        </is>
      </c>
      <c r="B360" t="inlineStr">
        <is>
          <t>2026-02-10</t>
        </is>
      </c>
      <c r="C360" t="inlineStr">
        <is>
          <t>Управління Держспецзв'язку у Волинській області</t>
        </is>
      </c>
      <c r="D360" t="inlineStr">
        <is>
          <t>Волинська область</t>
        </is>
      </c>
      <c r="E360" t="inlineStr">
        <is>
          <t>Комп’ютерне обладнання</t>
        </is>
      </c>
      <c r="F360" s="13" t="n">
        <v>100000</v>
      </c>
      <c r="G360" t="inlineStr">
        <is>
          <t>Відкриті торги (нові)</t>
        </is>
      </c>
      <c r="H360" t="inlineStr">
        <is>
          <t>ТОВ "ДІАВЕСТЕНД КОМПЛЕКСНІ РІШЕННЯ"</t>
        </is>
      </c>
    </row>
    <row r="361">
      <c r="A361" s="4" t="inlineStr">
        <is>
          <t>UA-2025-12-09-020374-a</t>
        </is>
      </c>
      <c r="B361" t="inlineStr">
        <is>
          <t>2025-12-09</t>
        </is>
      </c>
      <c r="C361" t="inlineStr">
        <is>
          <t>ВІДДІЛ ОСВІТИ, МОЛОДІ ТА СПОРТУ МАНЕВИЦЬКОЇ СЕЛИЩНОЇ РАДИ</t>
        </is>
      </c>
      <c r="D361" t="inlineStr">
        <is>
          <t>Волинська область</t>
        </is>
      </c>
      <c r="E361" t="inlineStr">
        <is>
          <t>Ноутбуки</t>
        </is>
      </c>
      <c r="F361" s="13" t="n">
        <v>100000</v>
      </c>
      <c r="G361" t="inlineStr">
        <is>
          <t>Запит пропозицій</t>
        </is>
      </c>
      <c r="H361" t="inlineStr">
        <is>
          <t>ТОВ "КОМПАКОМ"</t>
        </is>
      </c>
    </row>
    <row r="362">
      <c r="A362" s="4" t="inlineStr">
        <is>
          <t>UA-2025-11-26-016214-a</t>
        </is>
      </c>
      <c r="B362" t="inlineStr">
        <is>
          <t>2025-11-26</t>
        </is>
      </c>
      <c r="C362" t="inlineStr">
        <is>
          <t>Ківерцівський фаховий медичний коледж Волинської обласної ради</t>
        </is>
      </c>
      <c r="D362" t="inlineStr">
        <is>
          <t>Волинська область</t>
        </is>
      </c>
      <c r="E362" t="inlineStr">
        <is>
          <t>Комп'ютери настільні НУШ</t>
        </is>
      </c>
      <c r="F362" s="13" t="n">
        <v>100000</v>
      </c>
      <c r="G362" t="inlineStr">
        <is>
          <t>Запит пропозицій</t>
        </is>
      </c>
      <c r="H362" t="inlineStr">
        <is>
          <t>ТОВ "ДИДАКТИКЛАБ"</t>
        </is>
      </c>
    </row>
    <row r="363">
      <c r="A363" s="4" t="inlineStr">
        <is>
          <t>UA-2025-10-27-014765-a</t>
        </is>
      </c>
      <c r="B363" t="inlineStr">
        <is>
          <t>2025-10-27</t>
        </is>
      </c>
      <c r="C363" t="inlineStr">
        <is>
          <t>Виконавчий комітет Луцької міської ради</t>
        </is>
      </c>
      <c r="D363" t="inlineStr">
        <is>
          <t>Волинська область</t>
        </is>
      </c>
      <c r="E363" t="inlineStr">
        <is>
          <t>Ноутбук Lenovo ThinkPad L16 Black Gen 1</t>
        </is>
      </c>
      <c r="F363" s="13" t="n">
        <v>100000</v>
      </c>
      <c r="G363" t="inlineStr">
        <is>
          <t>Запит пропозицій</t>
        </is>
      </c>
      <c r="H363" t="inlineStr">
        <is>
          <t>ТОВ "ТІНОС-Д"</t>
        </is>
      </c>
    </row>
    <row r="364">
      <c r="A364" s="4" t="inlineStr">
        <is>
          <t>UA-2025-10-02-010895-a</t>
        </is>
      </c>
      <c r="B364" t="inlineStr">
        <is>
          <t>2025-10-02</t>
        </is>
      </c>
      <c r="C364" t="inlineStr">
        <is>
          <t>КП "Медичне об'єднання Луцької міської територіальної громади"</t>
        </is>
      </c>
      <c r="D364" t="inlineStr">
        <is>
          <t>Волинська область</t>
        </is>
      </c>
      <c r="E364" t="inlineStr">
        <is>
          <t>код ДК021:2015 - 30230000-0: Комп’ютерне обладнання (3D принтер Bambu Lab X1 Car</t>
        </is>
      </c>
      <c r="F364" s="13" t="n">
        <v>100000</v>
      </c>
      <c r="G364" t="inlineStr">
        <is>
          <t>Запит пропозицій</t>
        </is>
      </c>
      <c r="H364" t="inlineStr">
        <is>
          <t>ОСАДЧА ОЛЕНА ЮРІЇВНА</t>
        </is>
      </c>
    </row>
    <row r="365">
      <c r="A365" s="4" t="inlineStr">
        <is>
          <t>UA-2025-09-23-010837-a</t>
        </is>
      </c>
      <c r="B365" t="inlineStr">
        <is>
          <t>2025-09-23</t>
        </is>
      </c>
      <c r="C365" t="inlineStr">
        <is>
          <t>Державний професійно-технічний навчальний заклад "Камінь-Каширське вище професійне училище"</t>
        </is>
      </c>
      <c r="D365" t="inlineStr">
        <is>
          <t>Волинська область</t>
        </is>
      </c>
      <c r="E365" t="inlineStr">
        <is>
          <t>3D принтер типу K2 Plus Combo (Співфінансується за кошти Європейського Союзу згі</t>
        </is>
      </c>
      <c r="F365" s="13" t="n">
        <v>100000</v>
      </c>
      <c r="G365" t="inlineStr">
        <is>
          <t>Відкриті торги (нові)</t>
        </is>
      </c>
      <c r="H365" t="inlineStr"/>
    </row>
    <row r="366">
      <c r="A366" s="4" t="inlineStr">
        <is>
          <t>UA-2025-09-15-002159-a</t>
        </is>
      </c>
      <c r="B366" t="inlineStr">
        <is>
          <t>2025-09-15</t>
        </is>
      </c>
      <c r="C366" t="inlineStr">
        <is>
          <t>ВИКОНАВЧИЙ КОМІТЕТ НОВОВОЛИНСЬКОЇ МІСЬКОЇ РАДИ</t>
        </is>
      </c>
      <c r="D366" t="inlineStr">
        <is>
          <t>Волинська область</t>
        </is>
      </c>
      <c r="E366" t="inlineStr">
        <is>
          <t>Моноблок Artline Business M61 v 25</t>
        </is>
      </c>
      <c r="F366" s="13" t="n">
        <v>100000</v>
      </c>
      <c r="G366" t="inlineStr">
        <is>
          <t>Запит пропозицій</t>
        </is>
      </c>
      <c r="H366" t="inlineStr"/>
    </row>
    <row r="367">
      <c r="A367" s="4" t="inlineStr">
        <is>
          <t>UA-2025-09-09-011083-a</t>
        </is>
      </c>
      <c r="B367" t="inlineStr">
        <is>
          <t>2025-09-09</t>
        </is>
      </c>
      <c r="C367" t="inlineStr">
        <is>
          <t>Державний професійно-технічний навчальний заклад "Камінь-Каширське вище професійне училище"</t>
        </is>
      </c>
      <c r="D367" t="inlineStr">
        <is>
          <t>Волинська область</t>
        </is>
      </c>
      <c r="E367" t="inlineStr">
        <is>
          <t>3D принтер типу K2 Plus Combo (Співфінансується за кошти Європейського Союзу згі</t>
        </is>
      </c>
      <c r="F367" s="13" t="n">
        <v>100000</v>
      </c>
      <c r="G367" t="inlineStr">
        <is>
          <t>Відкриті торги (нові)</t>
        </is>
      </c>
      <c r="H367" t="inlineStr"/>
    </row>
    <row r="368">
      <c r="A368" s="4" t="inlineStr">
        <is>
          <t>UA-2025-11-28-001862-a</t>
        </is>
      </c>
      <c r="B368" t="inlineStr">
        <is>
          <t>2025-11-28</t>
        </is>
      </c>
      <c r="C368" t="inlineStr">
        <is>
          <t>Буцинський ліцей Дубівської сільської ради Ковельського району Волинської області</t>
        </is>
      </c>
      <c r="D368" t="inlineStr">
        <is>
          <t>Волинська область</t>
        </is>
      </c>
      <c r="E368" t="inlineStr">
        <is>
          <t>Ноутбуки НУШ</t>
        </is>
      </c>
      <c r="F368" s="13" t="n">
        <v>99997</v>
      </c>
      <c r="G368" t="inlineStr">
        <is>
          <t>Запит пропозицій</t>
        </is>
      </c>
      <c r="H368" t="inlineStr">
        <is>
          <t>ФОП "Ахмедова Анна Ігорівна"</t>
        </is>
      </c>
    </row>
    <row r="369">
      <c r="A369" s="4" t="inlineStr">
        <is>
          <t>UA-2025-10-07-010643-a</t>
        </is>
      </c>
      <c r="B369" t="inlineStr">
        <is>
          <t>2025-10-07</t>
        </is>
      </c>
      <c r="C369" t="inlineStr">
        <is>
          <t>Дубівський ліцей Дубівської сільської ради Ковельського району Волинської області</t>
        </is>
      </c>
      <c r="D369" t="inlineStr">
        <is>
          <t>Волинська область</t>
        </is>
      </c>
      <c r="E369" t="inlineStr">
        <is>
          <t>30210000-4 - Машини для обробки даних (апаратна частина) (Комп'ютер Brain)</t>
        </is>
      </c>
      <c r="F369" s="13" t="n">
        <v>99992</v>
      </c>
      <c r="G369" t="inlineStr">
        <is>
          <t>Звіт про договір</t>
        </is>
      </c>
      <c r="H369" t="inlineStr">
        <is>
          <t>ФОП Тарасов Олександр Олегович</t>
        </is>
      </c>
    </row>
    <row r="370">
      <c r="A370" s="4" t="inlineStr">
        <is>
          <t>UA-2026-06-30-002197-a</t>
        </is>
      </c>
      <c r="B370" t="inlineStr">
        <is>
          <t>2026-06-30</t>
        </is>
      </c>
      <c r="C370" t="inlineStr">
        <is>
          <t>КОМУНАЛЬНИЙ ЗАКЛАД ЗАГАЛЬНОЇ СЕРЕДНЬОЇ ОСВІТИ "ЛУЦЬКИЙ ЛІЦЕЙ №27 ЛУЦЬКОЇ МІСЬКОЇ РАДИ"</t>
        </is>
      </c>
      <c r="D370" t="inlineStr">
        <is>
          <t>Волинська область</t>
        </is>
      </c>
      <c r="E370" t="inlineStr">
        <is>
          <t>Ноутбуки Dell</t>
        </is>
      </c>
      <c r="F370" s="13" t="n">
        <v>99990</v>
      </c>
      <c r="G370" t="inlineStr">
        <is>
          <t>Звіт про договір</t>
        </is>
      </c>
      <c r="H370" t="inlineStr">
        <is>
          <t>ДАНИЛЬЧУК СЕРГІЙ ПАВЛОВИЧ</t>
        </is>
      </c>
    </row>
    <row r="371">
      <c r="A371" s="4" t="inlineStr">
        <is>
          <t>UA-2025-12-15-020069-a</t>
        </is>
      </c>
      <c r="B371" t="inlineStr">
        <is>
          <t>2025-12-15</t>
        </is>
      </c>
      <c r="C371" t="inlineStr">
        <is>
          <t>КОМУНАЛЬНИЙ ЗАКЛАД ЗАГАЛЬНОЇ СЕРЕДНЬОЇ ОСВІТИ "ЛУЦЬКИЙ ЛІЦЕЙ №27 ЛУЦЬКОЇ МІСЬКОЇ РАДИ"</t>
        </is>
      </c>
      <c r="D371" t="inlineStr">
        <is>
          <t>Волинська область</t>
        </is>
      </c>
      <c r="E371" t="inlineStr">
        <is>
          <t>Ноутбук НР</t>
        </is>
      </c>
      <c r="F371" s="13" t="n">
        <v>99990</v>
      </c>
      <c r="G371" t="inlineStr">
        <is>
          <t>Звіт про договір</t>
        </is>
      </c>
      <c r="H371" t="inlineStr">
        <is>
          <t>ДАНИЛЬЧУК СЕРГІЙ ПАВЛОВИЧ</t>
        </is>
      </c>
    </row>
    <row r="372">
      <c r="A372" s="4" t="inlineStr">
        <is>
          <t>UA-2025-11-28-014699-a</t>
        </is>
      </c>
      <c r="B372" t="inlineStr">
        <is>
          <t>2025-11-28</t>
        </is>
      </c>
      <c r="C372" t="inlineStr">
        <is>
          <t>КОМУНАЛЬНИЙ ЗАКЛАД ЗАГАЛЬНОЇ СЕРЕДНЬОЇ ОСВІТИ "ЛУЦЬКИЙ ЛІЦЕЙ №27 ЛУЦЬКОЇ МІСЬКОЇ РАДИ"</t>
        </is>
      </c>
      <c r="D372" t="inlineStr">
        <is>
          <t>Волинська область</t>
        </is>
      </c>
      <c r="E372" t="inlineStr">
        <is>
          <t>Ноутбук HP</t>
        </is>
      </c>
      <c r="F372" s="13" t="n">
        <v>99990</v>
      </c>
      <c r="G372" t="inlineStr">
        <is>
          <t>Звіт про договір</t>
        </is>
      </c>
      <c r="H372" t="inlineStr">
        <is>
          <t>ДАНИЛЬЧУК СЕРГІЙ ПАВЛОВИЧ</t>
        </is>
      </c>
    </row>
    <row r="373">
      <c r="A373" s="4" t="inlineStr">
        <is>
          <t>UA-2026-03-03-014440-a</t>
        </is>
      </c>
      <c r="B373" t="inlineStr">
        <is>
          <t>2026-03-03</t>
        </is>
      </c>
      <c r="C373" t="inlineStr">
        <is>
          <t>СТАРОВИЖІВСЬКА СЕЛИЩНА РАДА</t>
        </is>
      </c>
      <c r="D373" t="inlineStr">
        <is>
          <t>Волинська область</t>
        </is>
      </c>
      <c r="E373" t="inlineStr">
        <is>
          <t>Комп'ютер Vinga Advanced D5759(R5M8INT.D5759</t>
        </is>
      </c>
      <c r="F373" s="13" t="n">
        <v>99954</v>
      </c>
      <c r="G373" t="inlineStr">
        <is>
          <t>Звіт про договір</t>
        </is>
      </c>
      <c r="H373" t="inlineStr">
        <is>
          <t>КУЗЬМИЧ СЕРГІЙ ПЕТРОВИЧ</t>
        </is>
      </c>
    </row>
    <row r="374">
      <c r="A374" s="4" t="inlineStr">
        <is>
          <t>UA-2026-07-22-007958-a</t>
        </is>
      </c>
      <c r="B374" t="inlineStr">
        <is>
          <t>2026-07-22</t>
        </is>
      </c>
      <c r="C374" t="inlineStr">
        <is>
          <t>КП "Луцька міська клінічна стоматологічна поліклініка"</t>
        </is>
      </c>
      <c r="D374" t="inlineStr">
        <is>
          <t>Волинська область</t>
        </is>
      </c>
      <c r="E374" t="inlineStr">
        <is>
          <t>ДК 021:2015: 30233180-6 Носії інформації. Флеш-накопичувач Flash Wibrand USB 2.0</t>
        </is>
      </c>
      <c r="F374" s="13" t="n">
        <v>99900</v>
      </c>
      <c r="G374" t="inlineStr">
        <is>
          <t>Звіт про договір</t>
        </is>
      </c>
      <c r="H374" t="inlineStr">
        <is>
          <t>ТОВ "КСМ ЮА"</t>
        </is>
      </c>
    </row>
    <row r="375">
      <c r="A375" s="4" t="inlineStr">
        <is>
          <t>UA-2026-03-30-001969-a</t>
        </is>
      </c>
      <c r="B375" t="inlineStr">
        <is>
          <t>2026-03-30</t>
        </is>
      </c>
      <c r="C375" t="inlineStr">
        <is>
          <t>КП Нововолинськводоканал НМР</t>
        </is>
      </c>
      <c r="D375" t="inlineStr">
        <is>
          <t>Волинська область</t>
        </is>
      </c>
      <c r="E375" t="inlineStr">
        <is>
          <t>Комп’ютерне обладнання (монітори, системні блоки, сканери, принтери, комплекти к</t>
        </is>
      </c>
      <c r="F375" s="13" t="n">
        <v>99900</v>
      </c>
      <c r="G375" t="inlineStr">
        <is>
          <t>Звіт про договір</t>
        </is>
      </c>
      <c r="H375" t="inlineStr">
        <is>
          <t>ФОП Цяк Валерій Михайлович</t>
        </is>
      </c>
    </row>
    <row r="376">
      <c r="A376" s="4" t="inlineStr">
        <is>
          <t>UA-2025-09-16-006271-a</t>
        </is>
      </c>
      <c r="B376" t="inlineStr">
        <is>
          <t>2025-09-16</t>
        </is>
      </c>
      <c r="C376" t="inlineStr">
        <is>
          <t>Управління капітального будівництва Луцької міської ради</t>
        </is>
      </c>
      <c r="D376" t="inlineStr">
        <is>
          <t>Волинська область</t>
        </is>
      </c>
      <c r="E376" t="inlineStr">
        <is>
          <t>Товар - моноблоки</t>
        </is>
      </c>
      <c r="F376" s="13" t="n">
        <v>99900</v>
      </c>
      <c r="G376" t="inlineStr">
        <is>
          <t>Звіт про договір</t>
        </is>
      </c>
      <c r="H376" t="inlineStr">
        <is>
          <t>ФОП Зінчук Юлія Федорівна</t>
        </is>
      </c>
    </row>
    <row r="377">
      <c r="A377" s="4" t="inlineStr">
        <is>
          <t>UA-2025-12-16-014925-a</t>
        </is>
      </c>
      <c r="B377" t="inlineStr">
        <is>
          <t>2025-12-16</t>
        </is>
      </c>
      <c r="C377" t="inlineStr">
        <is>
          <t>Департамент "Центр надання адміністративних послуг у місті Луцьку" Луцької міської ради</t>
        </is>
      </c>
      <c r="D377" t="inlineStr">
        <is>
          <t>Волинська область</t>
        </is>
      </c>
      <c r="E377" t="inlineStr">
        <is>
          <t>Персональні комп'ютери Prime PC</t>
        </is>
      </c>
      <c r="F377" s="13" t="n">
        <v>99824.3</v>
      </c>
      <c r="G377" t="inlineStr">
        <is>
          <t>Звіт про договір</t>
        </is>
      </c>
      <c r="H377" t="inlineStr">
        <is>
          <t>ТОВ "ДІДЖИТАЛ ПАРТНЕРС"</t>
        </is>
      </c>
    </row>
    <row r="378">
      <c r="A378" s="4" t="inlineStr">
        <is>
          <t>UA-2025-12-15-018140-a</t>
        </is>
      </c>
      <c r="B378" t="inlineStr">
        <is>
          <t>2025-12-15</t>
        </is>
      </c>
      <c r="C378" t="inlineStr">
        <is>
          <t>ДЕПАРТАМЕНТ МУНІЦИПАЛЬНОЇ ВАРТИ ЛУЦЬКОЇ МІСЬКОЇ РАДИ</t>
        </is>
      </c>
      <c r="D378" t="inlineStr">
        <is>
          <t>Волинська область</t>
        </is>
      </c>
      <c r="E378" t="inlineStr">
        <is>
          <t>Процесор Xeon QPI 3x20GT/sec для розміщення міської системи</t>
        </is>
      </c>
      <c r="F378" s="13" t="n">
        <v>99800</v>
      </c>
      <c r="G378" t="inlineStr">
        <is>
          <t>Звіт про договір</t>
        </is>
      </c>
      <c r="H378" t="inlineStr">
        <is>
          <t>ФОП Пасічник Андрій Володимирович</t>
        </is>
      </c>
    </row>
    <row r="379">
      <c r="A379" s="4" t="inlineStr">
        <is>
          <t>UA-2025-12-17-009920-a</t>
        </is>
      </c>
      <c r="B379" t="inlineStr">
        <is>
          <t>2025-12-17</t>
        </is>
      </c>
      <c r="C379" t="inlineStr">
        <is>
          <t>Устилузький ліцей Устилузької міської ради Волинської області</t>
        </is>
      </c>
      <c r="D379" t="inlineStr">
        <is>
          <t>Волинська область</t>
        </is>
      </c>
      <c r="E379" t="inlineStr">
        <is>
          <t xml:space="preserve">Ноутбук (код 30210000-4 національного класифікатора України ДК 021:2015 "Єдиний </t>
        </is>
      </c>
      <c r="F379" s="13" t="n">
        <v>99742</v>
      </c>
      <c r="G379" t="inlineStr">
        <is>
          <t>Звіт про договір</t>
        </is>
      </c>
      <c r="H379" t="inlineStr">
        <is>
          <t>ФОП Хілінська Галина Борисівна</t>
        </is>
      </c>
    </row>
    <row r="380">
      <c r="A380" s="4" t="inlineStr">
        <is>
          <t>UA-2025-09-10-009487-a</t>
        </is>
      </c>
      <c r="B380" t="inlineStr">
        <is>
          <t>2025-09-10</t>
        </is>
      </c>
      <c r="C380" t="inlineStr">
        <is>
          <t>УПРАВЛІННЯ СЛУЖБИ БЕЗПЕКИ УКРАЇНИ У ВОЛИНСЬКІЙ ОБЛАСТІ</t>
        </is>
      </c>
      <c r="D380" t="inlineStr">
        <is>
          <t>Волинська область</t>
        </is>
      </c>
      <c r="E380" t="inlineStr">
        <is>
          <t>30230000-0 Комп’ютерне обладнання</t>
        </is>
      </c>
      <c r="F380" s="13" t="n">
        <v>99712.92</v>
      </c>
      <c r="G380" t="inlineStr">
        <is>
          <t>Звіт про договір</t>
        </is>
      </c>
      <c r="H380" t="inlineStr">
        <is>
          <t>ТОВ "ПРИВАТІНВЕСТ"</t>
        </is>
      </c>
    </row>
    <row r="381">
      <c r="A381" s="4" t="inlineStr">
        <is>
          <t>UA-2026-07-07-008257-a</t>
        </is>
      </c>
      <c r="B381" t="inlineStr">
        <is>
          <t>2026-07-07</t>
        </is>
      </c>
      <c r="C381" t="inlineStr">
        <is>
          <t>Опорний заклад "Вишнівський ліцей" Вишнівської сільської ради</t>
        </is>
      </c>
      <c r="D381" t="inlineStr">
        <is>
          <t>Волинська область</t>
        </is>
      </c>
      <c r="E381" t="inlineStr">
        <is>
          <t>Ноутбуки</t>
        </is>
      </c>
      <c r="F381" s="13" t="n">
        <v>99600</v>
      </c>
      <c r="G381" t="inlineStr">
        <is>
          <t>Звіт про договір</t>
        </is>
      </c>
      <c r="H381" t="inlineStr">
        <is>
          <t>ФОП Артюшенко Ірина Миколаївна</t>
        </is>
      </c>
    </row>
    <row r="382">
      <c r="A382" s="4" t="inlineStr">
        <is>
          <t>UA-2025-12-22-022774-a</t>
        </is>
      </c>
      <c r="B382" t="inlineStr">
        <is>
          <t>2025-12-22</t>
        </is>
      </c>
      <c r="C382" t="inlineStr">
        <is>
          <t>Ківерцівський фаховий медичний коледж Волинської обласної ради</t>
        </is>
      </c>
      <c r="D382" t="inlineStr">
        <is>
          <t>Волинська область</t>
        </is>
      </c>
      <c r="E382" t="inlineStr">
        <is>
          <t>Ноутбук Lenovo V15 G5 IRL modified by Unowa ( Код: ДК 021:2015: 30230000-0 — Ком</t>
        </is>
      </c>
      <c r="F382" s="13" t="n">
        <v>99594</v>
      </c>
      <c r="G382" t="inlineStr">
        <is>
          <t>Звіт про договір</t>
        </is>
      </c>
      <c r="H382" t="inlineStr">
        <is>
          <t>ТОВ "ПОДІЛЛЯ ФІНАНС"</t>
        </is>
      </c>
    </row>
    <row r="383">
      <c r="A383" s="4" t="inlineStr">
        <is>
          <t>UA-2026-07-01-003101-a</t>
        </is>
      </c>
      <c r="B383" t="inlineStr">
        <is>
          <t>2026-07-01</t>
        </is>
      </c>
      <c r="C383" t="inlineStr">
        <is>
          <t>НОВОВОЛИНСЬКИЙ ЛІЦЕЙ №4 ІМЕНІ Т.Г.ШЕВЧЕНКА НОВОВОЛИНСЬКОЇ МІСЬКОЇ РАДИ ВОЛИНСЬКОЇ ОБЛАСТІ</t>
        </is>
      </c>
      <c r="D383" t="inlineStr">
        <is>
          <t>Волинська область</t>
        </is>
      </c>
      <c r="E383" t="inlineStr">
        <is>
          <t>Ноутбуки LENOVO V15 G3 IAP 13-1215U/8 GB/ 512 GB /W11 (82TT00R8PB) та Ноутбук HP</t>
        </is>
      </c>
      <c r="F383" s="13" t="n">
        <v>99500</v>
      </c>
      <c r="G383" t="inlineStr">
        <is>
          <t>Звіт про договір</t>
        </is>
      </c>
      <c r="H383" t="inlineStr">
        <is>
          <t>ФОП Юхно Сніжана Віталіївна</t>
        </is>
      </c>
    </row>
    <row r="384">
      <c r="A384" s="4" t="inlineStr">
        <is>
          <t>UA-2025-12-10-020028-a</t>
        </is>
      </c>
      <c r="B384" t="inlineStr">
        <is>
          <t>2025-12-10</t>
        </is>
      </c>
      <c r="C384" t="inlineStr">
        <is>
          <t>КП "ВОЛИНСЬКА ОБЛАСНА БАЗА СПЕЦІАЛЬНОГО МЕДИЧНОГО ПОСТАЧАННЯ "ВОЛИНСЬКОЇ ОБЛАСНОЇ РАДИ ( КП "ВОБСМП")</t>
        </is>
      </c>
      <c r="D384" t="inlineStr">
        <is>
          <t>Волинська область</t>
        </is>
      </c>
      <c r="E384" t="inlineStr">
        <is>
          <t>Комп"ютерне обладнання системні блоки (код ДК 021:2015 30210000 - 4) системні бл</t>
        </is>
      </c>
      <c r="F384" s="13" t="n">
        <v>99500</v>
      </c>
      <c r="G384" t="inlineStr">
        <is>
          <t>Звіт про договір</t>
        </is>
      </c>
      <c r="H384" t="inlineStr">
        <is>
          <t>Варшик Ольга Миколаївна</t>
        </is>
      </c>
    </row>
    <row r="385">
      <c r="A385" s="4" t="inlineStr">
        <is>
          <t>UA-2026-05-07-002811-a</t>
        </is>
      </c>
      <c r="B385" t="inlineStr">
        <is>
          <t>2026-05-07</t>
        </is>
      </c>
      <c r="C385" t="inlineStr">
        <is>
          <t>ВОЛИНСЬКА ОБЛАСНА ПРОКУРАТУРА</t>
        </is>
      </c>
      <c r="D385" t="inlineStr">
        <is>
          <t>Волинська область</t>
        </is>
      </c>
      <c r="E385" t="inlineStr">
        <is>
          <t>Системні блоки за кодом ДК 021:2015-30210000-4 - Машини для обробки даних (апара</t>
        </is>
      </c>
      <c r="F385" s="13" t="n">
        <v>99495</v>
      </c>
      <c r="G385" t="inlineStr">
        <is>
          <t>Запит пропозицій</t>
        </is>
      </c>
      <c r="H385" t="inlineStr">
        <is>
          <t>ТОВ «ЮДІТРЕЙД»</t>
        </is>
      </c>
    </row>
    <row r="386">
      <c r="A386" s="4" t="inlineStr">
        <is>
          <t>UA-2026-05-15-009601-a</t>
        </is>
      </c>
      <c r="B386" t="inlineStr">
        <is>
          <t>2026-05-15</t>
        </is>
      </c>
      <c r="C386" t="inlineStr">
        <is>
          <t>УПРАВЛІННЯ СЛУЖБИ БЕЗПЕКИ УКРАЇНИ У ВОЛИНСЬКІЙ ОБЛАСТІ</t>
        </is>
      </c>
      <c r="D386" t="inlineStr">
        <is>
          <t>Волинська область</t>
        </is>
      </c>
      <c r="E386" t="inlineStr">
        <is>
          <t>30230000-0 Комп’ютерне обладнання</t>
        </is>
      </c>
      <c r="F386" s="13" t="n">
        <v>99440</v>
      </c>
      <c r="G386" t="inlineStr">
        <is>
          <t>Звіт про договір</t>
        </is>
      </c>
      <c r="H386" t="inlineStr">
        <is>
          <t>МЕЛЬНИЧУК ІРИНА МИКОЛАЇВНА</t>
        </is>
      </c>
    </row>
    <row r="388">
      <c r="A388" s="2" t="inlineStr">
        <is>
          <t>Очні зустрічі</t>
        </is>
      </c>
    </row>
    <row r="389">
      <c r="A389" s="11" t="inlineStr">
        <is>
          <t>ЄДРПОУ</t>
        </is>
      </c>
      <c r="B389" s="11" t="inlineStr">
        <is>
          <t>Конкурент</t>
        </is>
      </c>
      <c r="C389" s="11" t="inlineStr">
        <is>
          <t>Спільних закупівель</t>
        </is>
      </c>
      <c r="D389" s="11" t="inlineStr">
        <is>
          <t>Виграли ми</t>
        </is>
      </c>
      <c r="E389" s="11" t="inlineStr">
        <is>
          <t>Виграв конкурент</t>
        </is>
      </c>
      <c r="F389" s="11" t="inlineStr">
        <is>
          <t>Медіанний розрив ціни</t>
        </is>
      </c>
      <c r="G389" s="11" t="inlineStr">
        <is>
          <t>Сума їхніх перемог, грн</t>
        </is>
      </c>
    </row>
    <row r="390">
      <c r="A390" t="inlineStr">
        <is>
          <t>43120417</t>
        </is>
      </c>
      <c r="B390" t="inlineStr">
        <is>
          <t>ТОВ "ПАВЕРТРЕЙД"</t>
        </is>
      </c>
      <c r="C390" s="5" t="n">
        <v>12</v>
      </c>
      <c r="D390" s="5" t="n">
        <v>4</v>
      </c>
      <c r="E390" s="5" t="n">
        <v>1</v>
      </c>
      <c r="F390" s="12" t="n">
        <v>-0.0376</v>
      </c>
      <c r="G390" s="13" t="n">
        <v>199675.2</v>
      </c>
    </row>
    <row r="391">
      <c r="A391" t="inlineStr">
        <is>
          <t>40175293</t>
        </is>
      </c>
      <c r="B391" t="inlineStr">
        <is>
          <t>ТОВ "СИСТЕМАТИКА УКРАЇНА"</t>
        </is>
      </c>
      <c r="C391" s="5" t="n">
        <v>7</v>
      </c>
      <c r="D391" s="5" t="n">
        <v>2</v>
      </c>
      <c r="E391" s="5" t="n">
        <v>0</v>
      </c>
      <c r="F391" s="12" t="n">
        <v>-0.0612</v>
      </c>
      <c r="G391" s="13" t="n">
        <v>0</v>
      </c>
    </row>
    <row r="392">
      <c r="A392" t="inlineStr">
        <is>
          <t>30126040</t>
        </is>
      </c>
      <c r="B392" t="inlineStr">
        <is>
          <t>ТОВ "САНТАРЕКС"</t>
        </is>
      </c>
      <c r="C392" s="5" t="n">
        <v>7</v>
      </c>
      <c r="D392" s="5" t="n">
        <v>3</v>
      </c>
      <c r="E392" s="5" t="n">
        <v>0</v>
      </c>
      <c r="F392" s="12" t="n">
        <v>-0.0381</v>
      </c>
      <c r="G392" s="13" t="n">
        <v>0</v>
      </c>
    </row>
    <row r="393">
      <c r="A393" t="inlineStr">
        <is>
          <t>41351235</t>
        </is>
      </c>
      <c r="B393" t="inlineStr">
        <is>
          <t>ТОВ "КПІ-МАРКЕТ"</t>
        </is>
      </c>
      <c r="C393" s="5" t="n">
        <v>6</v>
      </c>
      <c r="D393" s="5" t="n">
        <v>1</v>
      </c>
      <c r="E393" s="5" t="n">
        <v>0</v>
      </c>
      <c r="F393" s="12" t="n">
        <v>-0.0159</v>
      </c>
      <c r="G393" s="13" t="n">
        <v>0</v>
      </c>
    </row>
    <row r="394">
      <c r="A394" t="inlineStr">
        <is>
          <t>3827209587</t>
        </is>
      </c>
      <c r="B394" t="inlineStr">
        <is>
          <t>ФОП СТОЯНОВА ІРИНА ВІКТОРІВНА</t>
        </is>
      </c>
      <c r="C394" s="5" t="n">
        <v>5</v>
      </c>
      <c r="D394" s="5" t="n">
        <v>2</v>
      </c>
      <c r="E394" s="5" t="n">
        <v>0</v>
      </c>
      <c r="F394" s="12" t="n">
        <v>0.0067</v>
      </c>
      <c r="G394" s="13" t="n">
        <v>0</v>
      </c>
    </row>
    <row r="395">
      <c r="A395" t="inlineStr">
        <is>
          <t>30256061</t>
        </is>
      </c>
      <c r="B395" t="inlineStr">
        <is>
          <t>ТОВ "ДІАВЕСТЕНД КОМПЛЕКСНІ РІШЕННЯ"</t>
        </is>
      </c>
      <c r="C395" s="5" t="n">
        <v>5</v>
      </c>
      <c r="D395" s="5" t="n">
        <v>3</v>
      </c>
      <c r="E395" s="5" t="n">
        <v>1</v>
      </c>
      <c r="F395" s="12" t="n">
        <v>-0.0394</v>
      </c>
      <c r="G395" s="13" t="n">
        <v>129336</v>
      </c>
    </row>
    <row r="396">
      <c r="A396" t="inlineStr">
        <is>
          <t>32490244</t>
        </is>
      </c>
      <c r="B396" t="inlineStr">
        <is>
          <t>ТОВ "Епіцентр К"</t>
        </is>
      </c>
      <c r="C396" s="5" t="n">
        <v>5</v>
      </c>
      <c r="D396" s="5" t="n">
        <v>2</v>
      </c>
      <c r="E396" s="5" t="n">
        <v>0</v>
      </c>
      <c r="F396" s="12" t="n">
        <v>-0.0325</v>
      </c>
      <c r="G396" s="13" t="n">
        <v>0</v>
      </c>
    </row>
    <row r="397">
      <c r="A397" t="inlineStr">
        <is>
          <t>1964608205</t>
        </is>
      </c>
      <c r="B397" t="inlineStr">
        <is>
          <t>ФОП "ГРІНЧЕНКО ЗОЯ ОЛЕКСІЇВНА"</t>
        </is>
      </c>
      <c r="C397" s="5" t="n">
        <v>5</v>
      </c>
      <c r="D397" s="5" t="n">
        <v>1</v>
      </c>
      <c r="E397" s="5" t="n">
        <v>1</v>
      </c>
      <c r="F397" s="12" t="n">
        <v>0.0126</v>
      </c>
      <c r="G397" s="13" t="n">
        <v>139080</v>
      </c>
    </row>
    <row r="398">
      <c r="A398" t="inlineStr">
        <is>
          <t>45949901</t>
        </is>
      </c>
      <c r="B398" t="inlineStr">
        <is>
          <t>ТОВ "МАКСИМВІСІМ"</t>
        </is>
      </c>
      <c r="C398" s="5" t="n">
        <v>4</v>
      </c>
      <c r="D398" s="5" t="n">
        <v>1</v>
      </c>
      <c r="E398" s="5" t="n">
        <v>2</v>
      </c>
      <c r="F398" s="12" t="n">
        <v>0.1326</v>
      </c>
      <c r="G398" s="13" t="n">
        <v>985407.6</v>
      </c>
    </row>
    <row r="399">
      <c r="A399" t="inlineStr">
        <is>
          <t>40733799</t>
        </is>
      </c>
      <c r="B399" t="inlineStr">
        <is>
          <t>ТОВ "АРТЛАЙН ІНТЕГРАЦІЯ"</t>
        </is>
      </c>
      <c r="C399" s="5" t="n">
        <v>4</v>
      </c>
      <c r="D399" s="5" t="n">
        <v>1</v>
      </c>
      <c r="E399" s="5" t="n">
        <v>1</v>
      </c>
      <c r="F399" s="12" t="n">
        <v>-0.0001</v>
      </c>
      <c r="G399" s="13" t="n">
        <v>757026</v>
      </c>
    </row>
    <row r="400">
      <c r="A400" t="inlineStr">
        <is>
          <t>32881326</t>
        </is>
      </c>
      <c r="B400" t="inlineStr">
        <is>
          <t>ПП "КОМТЕХСЕРВІС"</t>
        </is>
      </c>
      <c r="C400" s="5" t="n">
        <v>4</v>
      </c>
      <c r="D400" s="5" t="n">
        <v>1</v>
      </c>
      <c r="E400" s="5" t="n">
        <v>0</v>
      </c>
      <c r="F400" s="12" t="n">
        <v>-0.0408</v>
      </c>
      <c r="G400" s="13" t="n">
        <v>0</v>
      </c>
    </row>
    <row r="401">
      <c r="A401" t="inlineStr">
        <is>
          <t>44754310</t>
        </is>
      </c>
      <c r="B401" t="inlineStr">
        <is>
          <t>ТОВ "ТОП ЮНІТІ"</t>
        </is>
      </c>
      <c r="C401" s="5" t="n">
        <v>4</v>
      </c>
      <c r="D401" s="5" t="n">
        <v>2</v>
      </c>
      <c r="E401" s="5" t="n">
        <v>0</v>
      </c>
      <c r="F401" s="12" t="n">
        <v>-0.0717</v>
      </c>
      <c r="G401" s="13" t="n">
        <v>0</v>
      </c>
    </row>
    <row r="402">
      <c r="A402" t="inlineStr">
        <is>
          <t>3467108376</t>
        </is>
      </c>
      <c r="B402" t="inlineStr">
        <is>
          <t>ФОП Кофан Дмитро Юрійович</t>
        </is>
      </c>
      <c r="C402" s="5" t="n">
        <v>4</v>
      </c>
      <c r="D402" s="5" t="n">
        <v>1</v>
      </c>
      <c r="E402" s="5" t="n">
        <v>0</v>
      </c>
      <c r="F402" s="12" t="n">
        <v>-0.0862</v>
      </c>
      <c r="G402" s="13" t="n">
        <v>0</v>
      </c>
    </row>
    <row r="403">
      <c r="A403" t="inlineStr">
        <is>
          <t>45596933</t>
        </is>
      </c>
      <c r="B403" t="inlineStr">
        <is>
          <t>ТОВ "КОМПАКОМ"</t>
        </is>
      </c>
      <c r="C403" s="5" t="n">
        <v>4</v>
      </c>
      <c r="D403" s="5" t="n">
        <v>0</v>
      </c>
      <c r="E403" s="5" t="n">
        <v>0</v>
      </c>
      <c r="F403" s="12" t="n">
        <v>0.0413</v>
      </c>
      <c r="G403" s="13" t="n">
        <v>0</v>
      </c>
    </row>
    <row r="404">
      <c r="A404" t="inlineStr">
        <is>
          <t>3248805838</t>
        </is>
      </c>
      <c r="B404" t="inlineStr">
        <is>
          <t>ФОП ПРІСИЧ ДМИТРО МИКОЛАЙОВИЧ</t>
        </is>
      </c>
      <c r="C404" s="5" t="n">
        <v>4</v>
      </c>
      <c r="D404" s="5" t="n">
        <v>0</v>
      </c>
      <c r="E404" s="5" t="n">
        <v>0</v>
      </c>
      <c r="F404" s="12" t="n">
        <v>0.0252</v>
      </c>
      <c r="G404" s="13" t="n">
        <v>0</v>
      </c>
    </row>
    <row r="405">
      <c r="A405" t="inlineStr">
        <is>
          <t>2850105825</t>
        </is>
      </c>
      <c r="B405" t="inlineStr">
        <is>
          <t>ФОП "Гріпіч Тетяна Борисівна"</t>
        </is>
      </c>
      <c r="C405" s="5" t="n">
        <v>4</v>
      </c>
      <c r="D405" s="5" t="n">
        <v>2</v>
      </c>
      <c r="E405" s="5" t="n">
        <v>1</v>
      </c>
      <c r="F405" s="12" t="n">
        <v>-0.067</v>
      </c>
      <c r="G405" s="13" t="n">
        <v>200010</v>
      </c>
    </row>
    <row r="406">
      <c r="A406" t="inlineStr">
        <is>
          <t>42036301</t>
        </is>
      </c>
      <c r="B406" t="inlineStr">
        <is>
          <t>ТОВ «ЮДІТРЕЙД»</t>
        </is>
      </c>
      <c r="C406" s="5" t="n">
        <v>4</v>
      </c>
      <c r="D406" s="5" t="n">
        <v>2</v>
      </c>
      <c r="E406" s="5" t="n">
        <v>1</v>
      </c>
      <c r="F406" s="12" t="n">
        <v>-0.049</v>
      </c>
      <c r="G406" s="13" t="n">
        <v>387622.8</v>
      </c>
    </row>
    <row r="407">
      <c r="A407" t="inlineStr">
        <is>
          <t>21337459</t>
        </is>
      </c>
      <c r="B407" t="inlineStr">
        <is>
          <t>ТОВ "КОРВЕТ"</t>
        </is>
      </c>
      <c r="C407" s="5" t="n">
        <v>4</v>
      </c>
      <c r="D407" s="5" t="n">
        <v>0</v>
      </c>
      <c r="E407" s="5" t="n">
        <v>0</v>
      </c>
      <c r="F407" s="12" t="n">
        <v>0.008800000000000001</v>
      </c>
      <c r="G407" s="13" t="n">
        <v>0</v>
      </c>
    </row>
    <row r="408">
      <c r="A408" t="inlineStr">
        <is>
          <t>3068128687</t>
        </is>
      </c>
      <c r="B408" t="inlineStr">
        <is>
          <t>ФОП "Собківська Тетяна Борисівна"</t>
        </is>
      </c>
      <c r="C408" s="5" t="n">
        <v>3</v>
      </c>
      <c r="D408" s="5" t="n">
        <v>1</v>
      </c>
      <c r="E408" s="5" t="n">
        <v>1</v>
      </c>
      <c r="F408" s="12" t="n">
        <v>-0.0275</v>
      </c>
      <c r="G408" s="13" t="n">
        <v>212820.48</v>
      </c>
    </row>
    <row r="409">
      <c r="A409" t="inlineStr">
        <is>
          <t>39268096</t>
        </is>
      </c>
      <c r="B409" t="inlineStr">
        <is>
          <t>ТОВ "ФОРВАРД ПРІНТ"</t>
        </is>
      </c>
      <c r="C409" s="5" t="n">
        <v>3</v>
      </c>
      <c r="D409" s="5" t="n">
        <v>0</v>
      </c>
      <c r="E409" s="5" t="n">
        <v>0</v>
      </c>
      <c r="F409" s="12" t="n">
        <v>-0.1711</v>
      </c>
      <c r="G409" s="13" t="n">
        <v>0</v>
      </c>
    </row>
    <row r="410">
      <c r="A410" t="inlineStr">
        <is>
          <t>2948314313</t>
        </is>
      </c>
      <c r="B410" t="inlineStr">
        <is>
          <t>ФОП Козловський Сергій Павлович</t>
        </is>
      </c>
      <c r="C410" s="5" t="n">
        <v>3</v>
      </c>
      <c r="D410" s="5" t="n">
        <v>1</v>
      </c>
      <c r="E410" s="5" t="n">
        <v>1</v>
      </c>
      <c r="F410" s="12" t="n">
        <v>-0.0699</v>
      </c>
      <c r="G410" s="13" t="n">
        <v>309448</v>
      </c>
    </row>
    <row r="411">
      <c r="A411" t="inlineStr">
        <is>
          <t>42929861</t>
        </is>
      </c>
      <c r="B411" t="inlineStr">
        <is>
          <t>ТОВ "ЕКО ДРУК"</t>
        </is>
      </c>
      <c r="C411" s="5" t="n">
        <v>3</v>
      </c>
      <c r="D411" s="5" t="n">
        <v>0</v>
      </c>
      <c r="E411" s="5" t="n">
        <v>0</v>
      </c>
      <c r="F411" s="12" t="n">
        <v>-0.0435</v>
      </c>
      <c r="G411" s="13" t="n">
        <v>0</v>
      </c>
    </row>
    <row r="412">
      <c r="A412" t="inlineStr">
        <is>
          <t>44554976</t>
        </is>
      </c>
      <c r="B412" t="inlineStr">
        <is>
          <t>ТОВ "КУБІК ГРУП"</t>
        </is>
      </c>
      <c r="C412" s="5" t="n">
        <v>3</v>
      </c>
      <c r="D412" s="5" t="n">
        <v>0</v>
      </c>
      <c r="E412" s="5" t="n">
        <v>0</v>
      </c>
      <c r="F412" s="12" t="n">
        <v>-0.016</v>
      </c>
      <c r="G412" s="13" t="n">
        <v>0</v>
      </c>
    </row>
    <row r="413">
      <c r="A413" t="inlineStr">
        <is>
          <t>2362519120</t>
        </is>
      </c>
      <c r="B413" t="inlineStr">
        <is>
          <t>ФОП "Штефюк Марія Іванівна"</t>
        </is>
      </c>
      <c r="C413" s="5" t="n">
        <v>3</v>
      </c>
      <c r="D413" s="5" t="n">
        <v>1</v>
      </c>
      <c r="E413" s="5" t="n">
        <v>0</v>
      </c>
      <c r="F413" s="12" t="n">
        <v>-0.0143</v>
      </c>
      <c r="G413" s="13" t="n">
        <v>0</v>
      </c>
    </row>
    <row r="414">
      <c r="A414" t="inlineStr">
        <is>
          <t>31867934</t>
        </is>
      </c>
      <c r="B414" t="inlineStr">
        <is>
          <t>ТОВ "Мегапринт Сервіс"</t>
        </is>
      </c>
      <c r="C414" s="5" t="n">
        <v>3</v>
      </c>
      <c r="D414" s="5" t="n">
        <v>0</v>
      </c>
      <c r="E414" s="5" t="n">
        <v>0</v>
      </c>
      <c r="F414" s="12" t="n">
        <v>-0.0116</v>
      </c>
      <c r="G414" s="13" t="n">
        <v>0</v>
      </c>
    </row>
    <row r="415">
      <c r="A415" t="inlineStr">
        <is>
          <t>45065141</t>
        </is>
      </c>
      <c r="B415" t="inlineStr">
        <is>
          <t>ТОВ "БЕСТТЕХНОПОСТАЧ"</t>
        </is>
      </c>
      <c r="C415" s="5" t="n">
        <v>3</v>
      </c>
      <c r="D415" s="5" t="n">
        <v>0</v>
      </c>
      <c r="E415" s="5" t="n">
        <v>1</v>
      </c>
      <c r="F415" s="12" t="n">
        <v>0.0052</v>
      </c>
      <c r="G415" s="13" t="n">
        <v>709200</v>
      </c>
    </row>
    <row r="416">
      <c r="A416" t="inlineStr">
        <is>
          <t>3424403822</t>
        </is>
      </c>
      <c r="B416" t="inlineStr">
        <is>
          <t>ФОП " Балюк Олеся Анатоліївна"</t>
        </is>
      </c>
      <c r="C416" s="5" t="n">
        <v>2</v>
      </c>
      <c r="D416" s="5" t="n">
        <v>1</v>
      </c>
      <c r="E416" s="5" t="n">
        <v>0</v>
      </c>
      <c r="F416" s="12" t="n">
        <v>0.1196</v>
      </c>
      <c r="G416" s="13" t="n">
        <v>0</v>
      </c>
    </row>
    <row r="417">
      <c r="A417" t="inlineStr">
        <is>
          <t>3007316316</t>
        </is>
      </c>
      <c r="B417" t="inlineStr">
        <is>
          <t>ФОП ДОБРОХАНСЬКИЙ КОСТЯНТИН ЮРІЙОВИЧ</t>
        </is>
      </c>
      <c r="C417" s="5" t="n">
        <v>2</v>
      </c>
      <c r="D417" s="5" t="n">
        <v>2</v>
      </c>
      <c r="E417" s="5" t="n">
        <v>0</v>
      </c>
      <c r="F417" s="12" t="n">
        <v>-0.0566</v>
      </c>
      <c r="G417" s="13" t="n">
        <v>0</v>
      </c>
    </row>
    <row r="418">
      <c r="A418" t="inlineStr">
        <is>
          <t>42289645</t>
        </is>
      </c>
      <c r="B418" t="inlineStr">
        <is>
          <t>ТОВ "ТІНОС-Д"</t>
        </is>
      </c>
      <c r="C418" s="5" t="n">
        <v>2</v>
      </c>
      <c r="D418" s="5" t="n">
        <v>0</v>
      </c>
      <c r="E418" s="5" t="n">
        <v>1</v>
      </c>
      <c r="F418" s="12" t="n">
        <v>0.1922</v>
      </c>
      <c r="G418" s="13" t="n">
        <v>163680</v>
      </c>
    </row>
    <row r="419">
      <c r="A419" t="inlineStr">
        <is>
          <t>3208111017</t>
        </is>
      </c>
      <c r="B419" t="inlineStr">
        <is>
          <t>ФОП "СТАРИНСЬКИЙ ОЛЕГ ОЛЕКСАНДРОВИЧ"</t>
        </is>
      </c>
      <c r="C419" s="5" t="n">
        <v>2</v>
      </c>
      <c r="D419" s="5" t="n">
        <v>2</v>
      </c>
      <c r="E419" s="5" t="n">
        <v>0</v>
      </c>
      <c r="F419" s="12" t="n">
        <v>-0.1231</v>
      </c>
      <c r="G419" s="13" t="n">
        <v>0</v>
      </c>
    </row>
    <row r="420">
      <c r="A420" t="inlineStr">
        <is>
          <t>2371213034</t>
        </is>
      </c>
      <c r="B420" t="inlineStr">
        <is>
          <t>ФОП Андросович Сергій Адамович</t>
        </is>
      </c>
      <c r="C420" s="5" t="n">
        <v>2</v>
      </c>
      <c r="D420" s="5" t="n">
        <v>0</v>
      </c>
      <c r="E420" s="5" t="n">
        <v>0</v>
      </c>
      <c r="F420" s="12" t="n">
        <v>-0.0465</v>
      </c>
      <c r="G420" s="13" t="n">
        <v>0</v>
      </c>
    </row>
    <row r="421">
      <c r="A421" t="inlineStr">
        <is>
          <t>41675618</t>
        </is>
      </c>
      <c r="B421" t="inlineStr">
        <is>
          <t>ТОВ "ІНТЕКС ЦЕНТР"</t>
        </is>
      </c>
      <c r="C421" s="5" t="n">
        <v>2</v>
      </c>
      <c r="D421" s="5" t="n">
        <v>0</v>
      </c>
      <c r="E421" s="5" t="n">
        <v>0</v>
      </c>
      <c r="F421" s="12" t="n">
        <v>-0.0399</v>
      </c>
      <c r="G421" s="13" t="n">
        <v>0</v>
      </c>
    </row>
    <row r="422">
      <c r="A422" t="inlineStr">
        <is>
          <t>45108111</t>
        </is>
      </c>
      <c r="B422" t="inlineStr">
        <is>
          <t>ТОВ "АЙПІМОЛ"</t>
        </is>
      </c>
      <c r="C422" s="5" t="n">
        <v>2</v>
      </c>
      <c r="D422" s="5" t="n">
        <v>0</v>
      </c>
      <c r="E422" s="5" t="n">
        <v>0</v>
      </c>
      <c r="F422" s="12" t="n">
        <v>-0.0538</v>
      </c>
      <c r="G422" s="13" t="n">
        <v>0</v>
      </c>
    </row>
    <row r="423">
      <c r="A423" t="inlineStr">
        <is>
          <t>39759248</t>
        </is>
      </c>
      <c r="B423" t="inlineStr">
        <is>
          <t>ТОВ "МОБАЙЛ АЙТІ"</t>
        </is>
      </c>
      <c r="C423" s="5" t="n">
        <v>2</v>
      </c>
      <c r="D423" s="5" t="n">
        <v>0</v>
      </c>
      <c r="E423" s="5" t="n">
        <v>0</v>
      </c>
      <c r="F423" s="12" t="n">
        <v>-0.0263</v>
      </c>
      <c r="G423" s="13" t="n">
        <v>0</v>
      </c>
    </row>
    <row r="424">
      <c r="A424" t="inlineStr">
        <is>
          <t>1974306055</t>
        </is>
      </c>
      <c r="B424" t="inlineStr">
        <is>
          <t>ФОП "БІЛОЗЕРСЬКИЙ ОЛЕГ МИКОЛАЙОВИЧ"</t>
        </is>
      </c>
      <c r="C424" s="5" t="n">
        <v>2</v>
      </c>
      <c r="D424" s="5" t="n">
        <v>1</v>
      </c>
      <c r="E424" s="5" t="n">
        <v>0</v>
      </c>
      <c r="F424" s="12" t="n">
        <v>-0.0757</v>
      </c>
      <c r="G424" s="13" t="n">
        <v>0</v>
      </c>
    </row>
    <row r="425">
      <c r="A425" t="inlineStr">
        <is>
          <t>30436824</t>
        </is>
      </c>
      <c r="B425" t="inlineStr">
        <is>
          <t>ТОВ "ПРИНТ ЕКСПЕРТ"</t>
        </is>
      </c>
      <c r="C425" s="5" t="n">
        <v>2</v>
      </c>
      <c r="D425" s="5" t="n">
        <v>0</v>
      </c>
      <c r="E425" s="5" t="n">
        <v>0</v>
      </c>
      <c r="F425" s="12" t="n">
        <v>0.0536</v>
      </c>
      <c r="G425" s="13" t="n">
        <v>0</v>
      </c>
    </row>
    <row r="426">
      <c r="A426" t="inlineStr">
        <is>
          <t>3224405446</t>
        </is>
      </c>
      <c r="B426" t="inlineStr">
        <is>
          <t>ФОП ЗБАДИНСЬКА ОЛЬГА ВОЛОДИМИРІВНА</t>
        </is>
      </c>
      <c r="C426" s="5" t="n">
        <v>2</v>
      </c>
      <c r="D426" s="5" t="n">
        <v>0</v>
      </c>
      <c r="E426" s="5" t="n">
        <v>0</v>
      </c>
      <c r="F426" s="12" t="n">
        <v>-0.0174</v>
      </c>
      <c r="G426" s="13" t="n">
        <v>0</v>
      </c>
    </row>
    <row r="427">
      <c r="A427" t="inlineStr">
        <is>
          <t>40098570</t>
        </is>
      </c>
      <c r="B427" t="inlineStr">
        <is>
          <t>ТзОВ "Поділля Фінанс"</t>
        </is>
      </c>
      <c r="C427" s="5" t="n">
        <v>2</v>
      </c>
      <c r="D427" s="5" t="n">
        <v>0</v>
      </c>
      <c r="E427" s="5" t="n">
        <v>0</v>
      </c>
      <c r="F427" s="12" t="n">
        <v>-0.0682</v>
      </c>
      <c r="G427" s="13" t="n">
        <v>0</v>
      </c>
    </row>
    <row r="428">
      <c r="A428" t="inlineStr">
        <is>
          <t>2235409477</t>
        </is>
      </c>
      <c r="B428" t="inlineStr">
        <is>
          <t>ФОП ІВАНЧЕНКО МИКОЛА ІВАНОВИЧ</t>
        </is>
      </c>
      <c r="C428" s="5" t="n">
        <v>2</v>
      </c>
      <c r="D428" s="5" t="n">
        <v>0</v>
      </c>
      <c r="E428" s="5" t="n">
        <v>0</v>
      </c>
      <c r="F428" s="12" t="n">
        <v>-0.0592</v>
      </c>
      <c r="G428" s="13" t="n">
        <v>0</v>
      </c>
    </row>
    <row r="429">
      <c r="A429" t="inlineStr">
        <is>
          <t>21607462</t>
        </is>
      </c>
      <c r="B429" t="inlineStr">
        <is>
          <t>ТОВ «Сучасні інформаційні технології «Інсіт»</t>
        </is>
      </c>
      <c r="C429" s="5" t="n">
        <v>2</v>
      </c>
      <c r="D429" s="5" t="n">
        <v>0</v>
      </c>
      <c r="E429" s="5" t="n">
        <v>0</v>
      </c>
      <c r="F429" s="12" t="n">
        <v>0.008999999999999999</v>
      </c>
      <c r="G429" s="13" t="n">
        <v>0</v>
      </c>
    </row>
    <row r="430">
      <c r="A430" t="inlineStr">
        <is>
          <t>42893689</t>
        </is>
      </c>
      <c r="B430" t="inlineStr">
        <is>
          <t>ТОВ "НАВІГАТОР СИСТЕМ"</t>
        </is>
      </c>
      <c r="C430" s="5" t="n">
        <v>2</v>
      </c>
      <c r="D430" s="5" t="n">
        <v>0</v>
      </c>
      <c r="E430" s="5" t="n">
        <v>2</v>
      </c>
      <c r="F430" s="12" t="n">
        <v>0.1171</v>
      </c>
      <c r="G430" s="13" t="n">
        <v>521835</v>
      </c>
    </row>
    <row r="431">
      <c r="A431" t="inlineStr">
        <is>
          <t>2888921144</t>
        </is>
      </c>
      <c r="B431" t="inlineStr">
        <is>
          <t>ФОП "СЕМЕНЮК ОЛЕНА МИКОЛАЇВНА"</t>
        </is>
      </c>
      <c r="C431" s="5" t="n">
        <v>1</v>
      </c>
      <c r="D431" s="5" t="n">
        <v>0</v>
      </c>
      <c r="E431" s="5" t="n">
        <v>0</v>
      </c>
      <c r="F431" s="12" t="n">
        <v>-0.1395</v>
      </c>
      <c r="G431" s="13" t="n">
        <v>0</v>
      </c>
    </row>
    <row r="432">
      <c r="A432" t="inlineStr">
        <is>
          <t>2213120365</t>
        </is>
      </c>
      <c r="B432" t="inlineStr">
        <is>
          <t>ФОП "Тарасова Ірина Миколаївна"</t>
        </is>
      </c>
      <c r="C432" s="5" t="n">
        <v>1</v>
      </c>
      <c r="D432" s="5" t="n">
        <v>0</v>
      </c>
      <c r="E432" s="5" t="n">
        <v>1</v>
      </c>
      <c r="F432" s="12" t="n">
        <v>0.2053</v>
      </c>
      <c r="G432" s="13" t="n">
        <v>443970</v>
      </c>
    </row>
    <row r="433">
      <c r="A433" t="inlineStr">
        <is>
          <t>3554707196</t>
        </is>
      </c>
      <c r="B433" t="inlineStr">
        <is>
          <t>ФОП ЗАВОРІТНИЙ ОЛЕКСАНДР ІВАНОВИЧ</t>
        </is>
      </c>
      <c r="C433" s="5" t="n">
        <v>1</v>
      </c>
      <c r="D433" s="5" t="n">
        <v>0</v>
      </c>
      <c r="E433" s="5" t="n">
        <v>0</v>
      </c>
      <c r="F433" s="12" t="n">
        <v>0.2055</v>
      </c>
      <c r="G433" s="13" t="n">
        <v>0</v>
      </c>
    </row>
    <row r="434">
      <c r="A434" t="inlineStr">
        <is>
          <t>3395906995</t>
        </is>
      </c>
      <c r="B434" t="inlineStr">
        <is>
          <t>ФОП СІНЬКЕВИЧ ОЛЕКСАНДР АНАТОЛІЙОВИЧ</t>
        </is>
      </c>
      <c r="C434" s="5" t="n">
        <v>1</v>
      </c>
      <c r="D434" s="5" t="n">
        <v>1</v>
      </c>
      <c r="E434" s="5" t="n">
        <v>0</v>
      </c>
      <c r="F434" s="12" t="n">
        <v>-0.0751</v>
      </c>
      <c r="G434" s="13" t="n">
        <v>0</v>
      </c>
    </row>
    <row r="435">
      <c r="A435" t="inlineStr">
        <is>
          <t>3943709920</t>
        </is>
      </c>
      <c r="B435" t="inlineStr">
        <is>
          <t>ФОП Нодь Аліна Юріївна</t>
        </is>
      </c>
      <c r="C435" s="5" t="n">
        <v>1</v>
      </c>
      <c r="D435" s="5" t="n">
        <v>1</v>
      </c>
      <c r="E435" s="5" t="n">
        <v>0</v>
      </c>
      <c r="F435" s="12" t="n">
        <v>-0.0751</v>
      </c>
      <c r="G435" s="13" t="n">
        <v>0</v>
      </c>
    </row>
    <row r="436">
      <c r="A436" t="inlineStr">
        <is>
          <t>2901605484</t>
        </is>
      </c>
      <c r="B436" t="inlineStr">
        <is>
          <t>ФОП "БІЛОЗЕРСЬКА СВІТЛАНА ОЛЕГІВНА"</t>
        </is>
      </c>
      <c r="C436" s="5" t="n">
        <v>1</v>
      </c>
      <c r="D436" s="5" t="n">
        <v>1</v>
      </c>
      <c r="E436" s="5" t="n">
        <v>0</v>
      </c>
      <c r="F436" s="12" t="n">
        <v>-0.0344</v>
      </c>
      <c r="G436" s="13" t="n">
        <v>0</v>
      </c>
    </row>
    <row r="437">
      <c r="A437" t="inlineStr">
        <is>
          <t>45119322</t>
        </is>
      </c>
      <c r="B437" t="inlineStr">
        <is>
          <t>ТОВ «ПОРТАЛ АРЕНА»</t>
        </is>
      </c>
      <c r="C437" s="5" t="n">
        <v>1</v>
      </c>
      <c r="D437" s="5" t="n">
        <v>0</v>
      </c>
      <c r="E437" s="5" t="n">
        <v>0</v>
      </c>
      <c r="F437" s="12" t="n">
        <v>0.0515</v>
      </c>
      <c r="G437" s="13" t="n">
        <v>0</v>
      </c>
    </row>
    <row r="438">
      <c r="A438" t="inlineStr">
        <is>
          <t>3174619494</t>
        </is>
      </c>
      <c r="B438" t="inlineStr">
        <is>
          <t>ФОП "ДАНИЛЬЧУК СЕРГІЙ ВАЛЕРІЙОВИЧ"</t>
        </is>
      </c>
      <c r="C438" s="5" t="n">
        <v>1</v>
      </c>
      <c r="D438" s="5" t="n">
        <v>0</v>
      </c>
      <c r="E438" s="5" t="n">
        <v>0</v>
      </c>
      <c r="F438" s="12" t="n">
        <v>0.076</v>
      </c>
      <c r="G438" s="13" t="n">
        <v>0</v>
      </c>
    </row>
    <row r="439">
      <c r="A439" t="inlineStr">
        <is>
          <t>42900774</t>
        </is>
      </c>
      <c r="B439" t="inlineStr">
        <is>
          <t>ТОВ "АСАП ПРО"</t>
        </is>
      </c>
      <c r="C439" s="5" t="n">
        <v>1</v>
      </c>
      <c r="D439" s="5" t="n">
        <v>0</v>
      </c>
      <c r="E439" s="5" t="n">
        <v>1</v>
      </c>
      <c r="F439" s="12" t="n">
        <v>-0.2313</v>
      </c>
      <c r="G439" s="13" t="n">
        <v>281000</v>
      </c>
    </row>
    <row r="440">
      <c r="A440" t="inlineStr">
        <is>
          <t>3184011046</t>
        </is>
      </c>
      <c r="B440" t="inlineStr">
        <is>
          <t>ФОП "САВРУК ВІКТОРІЯ ЯРОСЛАВІВНА"</t>
        </is>
      </c>
      <c r="C440" s="5" t="n">
        <v>1</v>
      </c>
      <c r="D440" s="5" t="n">
        <v>1</v>
      </c>
      <c r="E440" s="5" t="n">
        <v>0</v>
      </c>
      <c r="F440" s="12" t="n">
        <v>-0.7415</v>
      </c>
      <c r="G440" s="13" t="n">
        <v>0</v>
      </c>
    </row>
    <row r="441">
      <c r="A441" t="inlineStr">
        <is>
          <t>44996712</t>
        </is>
      </c>
      <c r="B441" t="inlineStr">
        <is>
          <t>ТОВ "ОСТРІВ 1"</t>
        </is>
      </c>
      <c r="C441" s="5" t="n">
        <v>1</v>
      </c>
      <c r="D441" s="5" t="n">
        <v>0</v>
      </c>
      <c r="E441" s="5" t="n">
        <v>0</v>
      </c>
      <c r="F441" s="12" t="n">
        <v>8.5398</v>
      </c>
      <c r="G441" s="13" t="n">
        <v>0</v>
      </c>
    </row>
    <row r="442">
      <c r="A442" t="inlineStr">
        <is>
          <t>30370549</t>
        </is>
      </c>
      <c r="B442" t="inlineStr">
        <is>
          <t>ТОВ "Ю ЕНД ТІ ТРЕЙДІНГ КОМПАНІ"</t>
        </is>
      </c>
      <c r="C442" s="5" t="n">
        <v>1</v>
      </c>
      <c r="D442" s="5" t="n">
        <v>1</v>
      </c>
      <c r="E442" s="5" t="n">
        <v>0</v>
      </c>
      <c r="F442" s="12" t="n">
        <v>-0.1472</v>
      </c>
      <c r="G442" s="13" t="n">
        <v>0</v>
      </c>
    </row>
    <row r="443">
      <c r="A443" t="inlineStr">
        <is>
          <t>3265015287</t>
        </is>
      </c>
      <c r="B443" t="inlineStr">
        <is>
          <t>ФОП "СЛАНОВА АНАСТАСІЯ АНАТОЛІЇВНА"</t>
        </is>
      </c>
      <c r="C443" s="5" t="n">
        <v>1</v>
      </c>
      <c r="D443" s="5" t="n">
        <v>1</v>
      </c>
      <c r="E443" s="5" t="n">
        <v>0</v>
      </c>
      <c r="F443" s="12" t="n">
        <v>-0.1072</v>
      </c>
      <c r="G443" s="13" t="n">
        <v>0</v>
      </c>
    </row>
    <row r="444">
      <c r="A444" t="inlineStr">
        <is>
          <t>3430606990</t>
        </is>
      </c>
      <c r="B444" t="inlineStr">
        <is>
          <t>ФОП "Різніченко Андрій Сергійович"</t>
        </is>
      </c>
      <c r="C444" s="5" t="n">
        <v>1</v>
      </c>
      <c r="D444" s="5" t="n">
        <v>0</v>
      </c>
      <c r="E444" s="5" t="n">
        <v>0</v>
      </c>
      <c r="F444" s="12" t="n">
        <v>-0.06560000000000001</v>
      </c>
      <c r="G444" s="13" t="n">
        <v>0</v>
      </c>
    </row>
    <row r="445">
      <c r="A445" t="inlineStr">
        <is>
          <t>43675253</t>
        </is>
      </c>
      <c r="B445" t="inlineStr">
        <is>
          <t>ТОВ "ТЕХПРАЙМ ДІДЖИТАЛ"</t>
        </is>
      </c>
      <c r="C445" s="5" t="n">
        <v>1</v>
      </c>
      <c r="D445" s="5" t="n">
        <v>0</v>
      </c>
      <c r="E445" s="5" t="n">
        <v>0</v>
      </c>
      <c r="F445" s="12" t="n">
        <v>-0.0549</v>
      </c>
      <c r="G445" s="13" t="n">
        <v>0</v>
      </c>
    </row>
    <row r="446">
      <c r="A446" t="inlineStr">
        <is>
          <t>39202318</t>
        </is>
      </c>
      <c r="B446" t="inlineStr">
        <is>
          <t>ТОВ "ВІДІ АВТО-ОНЛАЙН"</t>
        </is>
      </c>
      <c r="C446" s="5" t="n">
        <v>1</v>
      </c>
      <c r="D446" s="5" t="n">
        <v>0</v>
      </c>
      <c r="E446" s="5" t="n">
        <v>0</v>
      </c>
      <c r="F446" s="12" t="n">
        <v>-0.1702</v>
      </c>
      <c r="G446" s="13" t="n">
        <v>0</v>
      </c>
    </row>
    <row r="447">
      <c r="A447" t="inlineStr">
        <is>
          <t>2874302850</t>
        </is>
      </c>
      <c r="B447" t="inlineStr">
        <is>
          <t>ФОП "СРИВКІН СЕРГІЙ БОРИСОВИЧ"</t>
        </is>
      </c>
      <c r="C447" s="5" t="n">
        <v>1</v>
      </c>
      <c r="D447" s="5" t="n">
        <v>0</v>
      </c>
      <c r="E447" s="5" t="n">
        <v>0</v>
      </c>
      <c r="F447" s="12" t="n">
        <v>-0.0077</v>
      </c>
      <c r="G447" s="13" t="n">
        <v>0</v>
      </c>
    </row>
    <row r="448">
      <c r="A448" t="inlineStr">
        <is>
          <t>3427708144</t>
        </is>
      </c>
      <c r="B448" t="inlineStr">
        <is>
          <t>ФОП "БАРАНОВА ЮЛІЯ СЕРГІЇВНА"</t>
        </is>
      </c>
      <c r="C448" s="5" t="n">
        <v>1</v>
      </c>
      <c r="D448" s="5" t="n">
        <v>0</v>
      </c>
      <c r="E448" s="5" t="n">
        <v>1</v>
      </c>
      <c r="F448" s="12" t="n">
        <v>0.0239</v>
      </c>
      <c r="G448" s="13" t="n">
        <v>83800</v>
      </c>
    </row>
    <row r="449">
      <c r="A449" t="inlineStr">
        <is>
          <t>2649507293</t>
        </is>
      </c>
      <c r="B449" t="inlineStr">
        <is>
          <t>ФОП "АНДРІЇВ РОМАН ВАСИЛЬОВИЧ "</t>
        </is>
      </c>
      <c r="C449" s="5" t="n">
        <v>1</v>
      </c>
      <c r="D449" s="5" t="n">
        <v>0</v>
      </c>
      <c r="E449" s="5" t="n">
        <v>0</v>
      </c>
      <c r="F449" s="12" t="n">
        <v>0.0047</v>
      </c>
      <c r="G449" s="13" t="n">
        <v>0</v>
      </c>
    </row>
    <row r="450">
      <c r="A450" t="inlineStr">
        <is>
          <t>1962814181</t>
        </is>
      </c>
      <c r="B450" t="inlineStr">
        <is>
          <t>ФОП "Лугавцова Ганна Федорівна"</t>
        </is>
      </c>
      <c r="C450" s="5" t="n">
        <v>1</v>
      </c>
      <c r="D450" s="5" t="n">
        <v>0</v>
      </c>
      <c r="E450" s="5" t="n">
        <v>0</v>
      </c>
      <c r="F450" s="12" t="n">
        <v>-0.0472</v>
      </c>
      <c r="G450" s="13" t="n">
        <v>0</v>
      </c>
    </row>
    <row r="451">
      <c r="A451" t="inlineStr">
        <is>
          <t>2978900762</t>
        </is>
      </c>
      <c r="B451" t="inlineStr">
        <is>
          <t>ФОП МІЩЕНКО ОЛЕНА АНАТОЛІЇВНА</t>
        </is>
      </c>
      <c r="C451" s="5" t="n">
        <v>1</v>
      </c>
      <c r="D451" s="5" t="n">
        <v>0</v>
      </c>
      <c r="E451" s="5" t="n">
        <v>0</v>
      </c>
      <c r="F451" s="12" t="n">
        <v>-0.0232</v>
      </c>
      <c r="G451" s="13" t="n">
        <v>0</v>
      </c>
    </row>
    <row r="452">
      <c r="A452" t="inlineStr">
        <is>
          <t>2377111025</t>
        </is>
      </c>
      <c r="B452" t="inlineStr">
        <is>
          <t>ФОП "Кізима Олександра Ярославівна"</t>
        </is>
      </c>
      <c r="C452" s="5" t="n">
        <v>1</v>
      </c>
      <c r="D452" s="5" t="n">
        <v>0</v>
      </c>
      <c r="E452" s="5" t="n">
        <v>0</v>
      </c>
      <c r="F452" s="12" t="n">
        <v>-0.0038</v>
      </c>
      <c r="G452" s="13" t="n">
        <v>0</v>
      </c>
    </row>
    <row r="453">
      <c r="A453" t="inlineStr">
        <is>
          <t>2148515061</t>
        </is>
      </c>
      <c r="B453" t="inlineStr">
        <is>
          <t>ФОП Невестюк Надія Євстахівна</t>
        </is>
      </c>
      <c r="C453" s="5" t="n">
        <v>1</v>
      </c>
      <c r="D453" s="5" t="n">
        <v>0</v>
      </c>
      <c r="E453" s="5" t="n">
        <v>1</v>
      </c>
      <c r="F453" s="12" t="n">
        <v>0.0207</v>
      </c>
      <c r="G453" s="13" t="n">
        <v>455355</v>
      </c>
    </row>
    <row r="454">
      <c r="A454" t="inlineStr">
        <is>
          <t>38199744</t>
        </is>
      </c>
      <c r="B454" t="inlineStr">
        <is>
          <t>ТОВ "СІНТ-ДНІПРОПЕТРОВСЬК"</t>
        </is>
      </c>
      <c r="C454" s="5" t="n">
        <v>1</v>
      </c>
      <c r="D454" s="5" t="n">
        <v>0</v>
      </c>
      <c r="E454" s="5" t="n">
        <v>0</v>
      </c>
      <c r="F454" s="12" t="n">
        <v>0.0283</v>
      </c>
      <c r="G454" s="13" t="n">
        <v>0</v>
      </c>
    </row>
    <row r="455">
      <c r="A455" t="inlineStr">
        <is>
          <t>45929094</t>
        </is>
      </c>
      <c r="B455" t="inlineStr">
        <is>
          <t>ТОВ "ОПТІМА ТЕЧ"</t>
        </is>
      </c>
      <c r="C455" s="5" t="n">
        <v>1</v>
      </c>
      <c r="D455" s="5" t="n">
        <v>0</v>
      </c>
      <c r="E455" s="5" t="n">
        <v>0</v>
      </c>
      <c r="F455" s="12" t="n">
        <v>0.0276</v>
      </c>
      <c r="G455" s="13" t="n">
        <v>0</v>
      </c>
    </row>
    <row r="456">
      <c r="A456" t="inlineStr">
        <is>
          <t>41177595</t>
        </is>
      </c>
      <c r="B456" t="inlineStr">
        <is>
          <t>ТОВ "ЛЕОКОМП"</t>
        </is>
      </c>
      <c r="C456" s="5" t="n">
        <v>1</v>
      </c>
      <c r="D456" s="5" t="n">
        <v>0</v>
      </c>
      <c r="E456" s="5" t="n">
        <v>1</v>
      </c>
      <c r="F456" s="12" t="n">
        <v>0.09329999999999999</v>
      </c>
      <c r="G456" s="13" t="n">
        <v>157500</v>
      </c>
    </row>
    <row r="457">
      <c r="A457" t="inlineStr">
        <is>
          <t>2507705620</t>
        </is>
      </c>
      <c r="B457" t="inlineStr">
        <is>
          <t>ФОП "ЗАВАДСЬКА ВАЛЕНТИНА ВАСИЛІВНА"</t>
        </is>
      </c>
      <c r="C457" s="5" t="n">
        <v>1</v>
      </c>
      <c r="D457" s="5" t="n">
        <v>0</v>
      </c>
      <c r="E457" s="5" t="n">
        <v>1</v>
      </c>
      <c r="F457" s="12" t="n">
        <v>0.1317</v>
      </c>
      <c r="G457" s="13" t="n">
        <v>212598</v>
      </c>
    </row>
    <row r="458">
      <c r="A458" t="inlineStr">
        <is>
          <t>45701274</t>
        </is>
      </c>
      <c r="B458" t="inlineStr">
        <is>
          <t>ТОВ «ПБГ19»</t>
        </is>
      </c>
      <c r="C458" s="5" t="n">
        <v>1</v>
      </c>
      <c r="D458" s="5" t="n">
        <v>1</v>
      </c>
      <c r="E458" s="5" t="n">
        <v>0</v>
      </c>
      <c r="F458" s="12" t="n">
        <v>-0.122</v>
      </c>
      <c r="G458" s="13" t="n">
        <v>0</v>
      </c>
    </row>
    <row r="459">
      <c r="A459" t="inlineStr">
        <is>
          <t>2926609759</t>
        </is>
      </c>
      <c r="B459" t="inlineStr">
        <is>
          <t>ФОП "ІВАНОВ ІГОР ВІКТОРОВИЧ"</t>
        </is>
      </c>
      <c r="C459" s="5" t="n">
        <v>1</v>
      </c>
      <c r="D459" s="5" t="n">
        <v>1</v>
      </c>
      <c r="E459" s="5" t="n">
        <v>0</v>
      </c>
      <c r="F459" s="12" t="n">
        <v>-0.116</v>
      </c>
      <c r="G459" s="13" t="n">
        <v>0</v>
      </c>
    </row>
    <row r="460">
      <c r="A460" t="inlineStr">
        <is>
          <t>42629625</t>
        </is>
      </c>
      <c r="B460" t="inlineStr">
        <is>
          <t>ТОВ "АМІТ-Т"</t>
        </is>
      </c>
      <c r="C460" s="5" t="n">
        <v>1</v>
      </c>
      <c r="D460" s="5" t="n">
        <v>1</v>
      </c>
      <c r="E460" s="5" t="n">
        <v>0</v>
      </c>
      <c r="F460" s="12" t="n">
        <v>-0.0955</v>
      </c>
      <c r="G460" s="13" t="n">
        <v>0</v>
      </c>
    </row>
    <row r="461">
      <c r="A461" t="inlineStr">
        <is>
          <t>3394506905</t>
        </is>
      </c>
      <c r="B461" t="inlineStr">
        <is>
          <t>ОСАДЧА ОЛЕНА ЮРІЇВНА</t>
        </is>
      </c>
      <c r="C461" s="5" t="n">
        <v>1</v>
      </c>
      <c r="D461" s="5" t="n">
        <v>1</v>
      </c>
      <c r="E461" s="5" t="n">
        <v>0</v>
      </c>
      <c r="F461" s="12" t="n">
        <v>-0.0414</v>
      </c>
      <c r="G461" s="13" t="n">
        <v>0</v>
      </c>
    </row>
    <row r="462">
      <c r="A462" t="inlineStr">
        <is>
          <t>3395008393</t>
        </is>
      </c>
      <c r="B462" t="inlineStr">
        <is>
          <t>ФОП ГАЛЬЧЕНКО МАКСИМ ПЕТРОВИЧ</t>
        </is>
      </c>
      <c r="C462" s="5" t="n">
        <v>1</v>
      </c>
      <c r="D462" s="5" t="n">
        <v>0</v>
      </c>
      <c r="E462" s="5" t="n">
        <v>1</v>
      </c>
      <c r="F462" s="12" t="n">
        <v>0.0795</v>
      </c>
      <c r="G462" s="13" t="n">
        <v>295750</v>
      </c>
    </row>
    <row r="463">
      <c r="A463" t="inlineStr">
        <is>
          <t>45902800</t>
        </is>
      </c>
      <c r="B463" t="inlineStr">
        <is>
          <t>ТОВ "ЕС ЕН ТІ УКРАЇНА"</t>
        </is>
      </c>
      <c r="C463" s="5" t="n">
        <v>1</v>
      </c>
      <c r="D463" s="5" t="n">
        <v>0</v>
      </c>
      <c r="E463" s="5" t="n">
        <v>0</v>
      </c>
      <c r="F463" s="12" t="n">
        <v>-0.1015</v>
      </c>
      <c r="G463" s="13" t="n">
        <v>0</v>
      </c>
    </row>
    <row r="464">
      <c r="A464" t="inlineStr">
        <is>
          <t>44361974</t>
        </is>
      </c>
      <c r="B464" t="inlineStr">
        <is>
          <t>ТОВ "АРСЕНАЛ-ПОСТАЧ"</t>
        </is>
      </c>
      <c r="C464" s="5" t="n">
        <v>1</v>
      </c>
      <c r="D464" s="5" t="n">
        <v>0</v>
      </c>
      <c r="E464" s="5" t="n">
        <v>1</v>
      </c>
      <c r="F464" s="12" t="n">
        <v>0.0142</v>
      </c>
      <c r="G464" s="13" t="n">
        <v>715920</v>
      </c>
    </row>
    <row r="465">
      <c r="A465" t="inlineStr">
        <is>
          <t>40750285</t>
        </is>
      </c>
      <c r="B465" t="inlineStr">
        <is>
          <t>ТОВ ВИРОБНИЧО-КОМЕРЦІЙНЕ ПІДПРИЄМСТВО "ВСЕСВІТ"</t>
        </is>
      </c>
      <c r="C465" s="5" t="n">
        <v>1</v>
      </c>
      <c r="D465" s="5" t="n">
        <v>0</v>
      </c>
      <c r="E465" s="5" t="n">
        <v>0</v>
      </c>
      <c r="F465" s="12" t="n">
        <v>-0.2025</v>
      </c>
      <c r="G465" s="13" t="n">
        <v>0</v>
      </c>
    </row>
    <row r="466">
      <c r="A466" t="inlineStr">
        <is>
          <t>2802607691</t>
        </is>
      </c>
      <c r="B466" t="inlineStr">
        <is>
          <t>ФОП "МИСЬКО АНДРІЙ ІВАНОВИЧ"</t>
        </is>
      </c>
      <c r="C466" s="5" t="n">
        <v>1</v>
      </c>
      <c r="D466" s="5" t="n">
        <v>0</v>
      </c>
      <c r="E466" s="5" t="n">
        <v>0</v>
      </c>
      <c r="F466" s="12" t="n">
        <v>-0.035</v>
      </c>
      <c r="G466" s="13" t="n">
        <v>0</v>
      </c>
    </row>
    <row r="467">
      <c r="A467" t="inlineStr">
        <is>
          <t>3179404784</t>
        </is>
      </c>
      <c r="B467" t="inlineStr">
        <is>
          <t>ФОП "БЕЗКОРОВАЙНА ОЛЬГА МИХАЙЛІВНА"</t>
        </is>
      </c>
      <c r="C467" s="5" t="n">
        <v>1</v>
      </c>
      <c r="D467" s="5" t="n">
        <v>0</v>
      </c>
      <c r="E467" s="5" t="n">
        <v>0</v>
      </c>
      <c r="F467" s="12" t="n">
        <v>0.0199</v>
      </c>
      <c r="G467" s="13" t="n">
        <v>0</v>
      </c>
    </row>
  </sheetData>
  <hyperlinks>
    <hyperlink xmlns:r="http://schemas.openxmlformats.org/officeDocument/2006/relationships" ref="A87" r:id="rId1"/>
    <hyperlink xmlns:r="http://schemas.openxmlformats.org/officeDocument/2006/relationships" ref="A88" r:id="rId2"/>
    <hyperlink xmlns:r="http://schemas.openxmlformats.org/officeDocument/2006/relationships" ref="A89" r:id="rId3"/>
    <hyperlink xmlns:r="http://schemas.openxmlformats.org/officeDocument/2006/relationships" ref="A90" r:id="rId4"/>
    <hyperlink xmlns:r="http://schemas.openxmlformats.org/officeDocument/2006/relationships" ref="A91" r:id="rId5"/>
    <hyperlink xmlns:r="http://schemas.openxmlformats.org/officeDocument/2006/relationships" ref="A92" r:id="rId6"/>
    <hyperlink xmlns:r="http://schemas.openxmlformats.org/officeDocument/2006/relationships" ref="A93" r:id="rId7"/>
    <hyperlink xmlns:r="http://schemas.openxmlformats.org/officeDocument/2006/relationships" ref="A94" r:id="rId8"/>
    <hyperlink xmlns:r="http://schemas.openxmlformats.org/officeDocument/2006/relationships" ref="A95" r:id="rId9"/>
    <hyperlink xmlns:r="http://schemas.openxmlformats.org/officeDocument/2006/relationships" ref="A96" r:id="rId10"/>
    <hyperlink xmlns:r="http://schemas.openxmlformats.org/officeDocument/2006/relationships" ref="A97" r:id="rId11"/>
    <hyperlink xmlns:r="http://schemas.openxmlformats.org/officeDocument/2006/relationships" ref="A98" r:id="rId12"/>
    <hyperlink xmlns:r="http://schemas.openxmlformats.org/officeDocument/2006/relationships" ref="A99" r:id="rId13"/>
    <hyperlink xmlns:r="http://schemas.openxmlformats.org/officeDocument/2006/relationships" ref="A100" r:id="rId14"/>
    <hyperlink xmlns:r="http://schemas.openxmlformats.org/officeDocument/2006/relationships" ref="A101" r:id="rId15"/>
    <hyperlink xmlns:r="http://schemas.openxmlformats.org/officeDocument/2006/relationships" ref="A102" r:id="rId16"/>
    <hyperlink xmlns:r="http://schemas.openxmlformats.org/officeDocument/2006/relationships" ref="A103" r:id="rId17"/>
    <hyperlink xmlns:r="http://schemas.openxmlformats.org/officeDocument/2006/relationships" ref="A104" r:id="rId18"/>
    <hyperlink xmlns:r="http://schemas.openxmlformats.org/officeDocument/2006/relationships" ref="A105" r:id="rId19"/>
    <hyperlink xmlns:r="http://schemas.openxmlformats.org/officeDocument/2006/relationships" ref="A106" r:id="rId20"/>
    <hyperlink xmlns:r="http://schemas.openxmlformats.org/officeDocument/2006/relationships" ref="A107" r:id="rId21"/>
    <hyperlink xmlns:r="http://schemas.openxmlformats.org/officeDocument/2006/relationships" ref="A108" r:id="rId22"/>
    <hyperlink xmlns:r="http://schemas.openxmlformats.org/officeDocument/2006/relationships" ref="A109" r:id="rId23"/>
    <hyperlink xmlns:r="http://schemas.openxmlformats.org/officeDocument/2006/relationships" ref="A110" r:id="rId24"/>
    <hyperlink xmlns:r="http://schemas.openxmlformats.org/officeDocument/2006/relationships" ref="A111" r:id="rId25"/>
    <hyperlink xmlns:r="http://schemas.openxmlformats.org/officeDocument/2006/relationships" ref="A112" r:id="rId26"/>
    <hyperlink xmlns:r="http://schemas.openxmlformats.org/officeDocument/2006/relationships" ref="A113" r:id="rId27"/>
    <hyperlink xmlns:r="http://schemas.openxmlformats.org/officeDocument/2006/relationships" ref="A114" r:id="rId28"/>
    <hyperlink xmlns:r="http://schemas.openxmlformats.org/officeDocument/2006/relationships" ref="A115" r:id="rId29"/>
    <hyperlink xmlns:r="http://schemas.openxmlformats.org/officeDocument/2006/relationships" ref="A116" r:id="rId30"/>
    <hyperlink xmlns:r="http://schemas.openxmlformats.org/officeDocument/2006/relationships" ref="A117" r:id="rId31"/>
    <hyperlink xmlns:r="http://schemas.openxmlformats.org/officeDocument/2006/relationships" ref="A118" r:id="rId32"/>
    <hyperlink xmlns:r="http://schemas.openxmlformats.org/officeDocument/2006/relationships" ref="A119" r:id="rId33"/>
    <hyperlink xmlns:r="http://schemas.openxmlformats.org/officeDocument/2006/relationships" ref="A120" r:id="rId34"/>
    <hyperlink xmlns:r="http://schemas.openxmlformats.org/officeDocument/2006/relationships" ref="A121" r:id="rId35"/>
    <hyperlink xmlns:r="http://schemas.openxmlformats.org/officeDocument/2006/relationships" ref="A122" r:id="rId36"/>
    <hyperlink xmlns:r="http://schemas.openxmlformats.org/officeDocument/2006/relationships" ref="A123" r:id="rId37"/>
    <hyperlink xmlns:r="http://schemas.openxmlformats.org/officeDocument/2006/relationships" ref="A124" r:id="rId38"/>
    <hyperlink xmlns:r="http://schemas.openxmlformats.org/officeDocument/2006/relationships" ref="A125" r:id="rId39"/>
    <hyperlink xmlns:r="http://schemas.openxmlformats.org/officeDocument/2006/relationships" ref="A126" r:id="rId40"/>
    <hyperlink xmlns:r="http://schemas.openxmlformats.org/officeDocument/2006/relationships" ref="A127" r:id="rId41"/>
    <hyperlink xmlns:r="http://schemas.openxmlformats.org/officeDocument/2006/relationships" ref="A128" r:id="rId42"/>
    <hyperlink xmlns:r="http://schemas.openxmlformats.org/officeDocument/2006/relationships" ref="A129" r:id="rId43"/>
    <hyperlink xmlns:r="http://schemas.openxmlformats.org/officeDocument/2006/relationships" ref="A130" r:id="rId44"/>
    <hyperlink xmlns:r="http://schemas.openxmlformats.org/officeDocument/2006/relationships" ref="A131" r:id="rId45"/>
    <hyperlink xmlns:r="http://schemas.openxmlformats.org/officeDocument/2006/relationships" ref="A132" r:id="rId46"/>
    <hyperlink xmlns:r="http://schemas.openxmlformats.org/officeDocument/2006/relationships" ref="A133" r:id="rId47"/>
    <hyperlink xmlns:r="http://schemas.openxmlformats.org/officeDocument/2006/relationships" ref="A134" r:id="rId48"/>
    <hyperlink xmlns:r="http://schemas.openxmlformats.org/officeDocument/2006/relationships" ref="A135" r:id="rId49"/>
    <hyperlink xmlns:r="http://schemas.openxmlformats.org/officeDocument/2006/relationships" ref="A136" r:id="rId50"/>
    <hyperlink xmlns:r="http://schemas.openxmlformats.org/officeDocument/2006/relationships" ref="A137" r:id="rId51"/>
    <hyperlink xmlns:r="http://schemas.openxmlformats.org/officeDocument/2006/relationships" ref="A138" r:id="rId52"/>
    <hyperlink xmlns:r="http://schemas.openxmlformats.org/officeDocument/2006/relationships" ref="A139" r:id="rId53"/>
    <hyperlink xmlns:r="http://schemas.openxmlformats.org/officeDocument/2006/relationships" ref="A140" r:id="rId54"/>
    <hyperlink xmlns:r="http://schemas.openxmlformats.org/officeDocument/2006/relationships" ref="A141" r:id="rId55"/>
    <hyperlink xmlns:r="http://schemas.openxmlformats.org/officeDocument/2006/relationships" ref="A142" r:id="rId56"/>
    <hyperlink xmlns:r="http://schemas.openxmlformats.org/officeDocument/2006/relationships" ref="A143" r:id="rId57"/>
    <hyperlink xmlns:r="http://schemas.openxmlformats.org/officeDocument/2006/relationships" ref="A144" r:id="rId58"/>
    <hyperlink xmlns:r="http://schemas.openxmlformats.org/officeDocument/2006/relationships" ref="A145" r:id="rId59"/>
    <hyperlink xmlns:r="http://schemas.openxmlformats.org/officeDocument/2006/relationships" ref="A146" r:id="rId60"/>
    <hyperlink xmlns:r="http://schemas.openxmlformats.org/officeDocument/2006/relationships" ref="A147" r:id="rId61"/>
    <hyperlink xmlns:r="http://schemas.openxmlformats.org/officeDocument/2006/relationships" ref="A148" r:id="rId62"/>
    <hyperlink xmlns:r="http://schemas.openxmlformats.org/officeDocument/2006/relationships" ref="A149" r:id="rId63"/>
    <hyperlink xmlns:r="http://schemas.openxmlformats.org/officeDocument/2006/relationships" ref="A150" r:id="rId64"/>
    <hyperlink xmlns:r="http://schemas.openxmlformats.org/officeDocument/2006/relationships" ref="A151" r:id="rId65"/>
    <hyperlink xmlns:r="http://schemas.openxmlformats.org/officeDocument/2006/relationships" ref="A152" r:id="rId66"/>
    <hyperlink xmlns:r="http://schemas.openxmlformats.org/officeDocument/2006/relationships" ref="A153" r:id="rId67"/>
    <hyperlink xmlns:r="http://schemas.openxmlformats.org/officeDocument/2006/relationships" ref="A154" r:id="rId68"/>
    <hyperlink xmlns:r="http://schemas.openxmlformats.org/officeDocument/2006/relationships" ref="A155" r:id="rId69"/>
    <hyperlink xmlns:r="http://schemas.openxmlformats.org/officeDocument/2006/relationships" ref="A156" r:id="rId70"/>
    <hyperlink xmlns:r="http://schemas.openxmlformats.org/officeDocument/2006/relationships" ref="A157" r:id="rId71"/>
    <hyperlink xmlns:r="http://schemas.openxmlformats.org/officeDocument/2006/relationships" ref="A158" r:id="rId72"/>
    <hyperlink xmlns:r="http://schemas.openxmlformats.org/officeDocument/2006/relationships" ref="A159" r:id="rId73"/>
    <hyperlink xmlns:r="http://schemas.openxmlformats.org/officeDocument/2006/relationships" ref="A160" r:id="rId74"/>
    <hyperlink xmlns:r="http://schemas.openxmlformats.org/officeDocument/2006/relationships" ref="A161" r:id="rId75"/>
    <hyperlink xmlns:r="http://schemas.openxmlformats.org/officeDocument/2006/relationships" ref="A162" r:id="rId76"/>
    <hyperlink xmlns:r="http://schemas.openxmlformats.org/officeDocument/2006/relationships" ref="A163" r:id="rId77"/>
    <hyperlink xmlns:r="http://schemas.openxmlformats.org/officeDocument/2006/relationships" ref="A164" r:id="rId78"/>
    <hyperlink xmlns:r="http://schemas.openxmlformats.org/officeDocument/2006/relationships" ref="A165" r:id="rId79"/>
    <hyperlink xmlns:r="http://schemas.openxmlformats.org/officeDocument/2006/relationships" ref="A166" r:id="rId80"/>
    <hyperlink xmlns:r="http://schemas.openxmlformats.org/officeDocument/2006/relationships" ref="A167" r:id="rId81"/>
    <hyperlink xmlns:r="http://schemas.openxmlformats.org/officeDocument/2006/relationships" ref="A168" r:id="rId82"/>
    <hyperlink xmlns:r="http://schemas.openxmlformats.org/officeDocument/2006/relationships" ref="A169" r:id="rId83"/>
    <hyperlink xmlns:r="http://schemas.openxmlformats.org/officeDocument/2006/relationships" ref="A170" r:id="rId84"/>
    <hyperlink xmlns:r="http://schemas.openxmlformats.org/officeDocument/2006/relationships" ref="A171" r:id="rId85"/>
    <hyperlink xmlns:r="http://schemas.openxmlformats.org/officeDocument/2006/relationships" ref="A172" r:id="rId86"/>
    <hyperlink xmlns:r="http://schemas.openxmlformats.org/officeDocument/2006/relationships" ref="A173" r:id="rId87"/>
    <hyperlink xmlns:r="http://schemas.openxmlformats.org/officeDocument/2006/relationships" ref="A174" r:id="rId88"/>
    <hyperlink xmlns:r="http://schemas.openxmlformats.org/officeDocument/2006/relationships" ref="A175" r:id="rId89"/>
    <hyperlink xmlns:r="http://schemas.openxmlformats.org/officeDocument/2006/relationships" ref="A176" r:id="rId90"/>
    <hyperlink xmlns:r="http://schemas.openxmlformats.org/officeDocument/2006/relationships" ref="A177" r:id="rId91"/>
    <hyperlink xmlns:r="http://schemas.openxmlformats.org/officeDocument/2006/relationships" ref="A178" r:id="rId92"/>
    <hyperlink xmlns:r="http://schemas.openxmlformats.org/officeDocument/2006/relationships" ref="A179" r:id="rId93"/>
    <hyperlink xmlns:r="http://schemas.openxmlformats.org/officeDocument/2006/relationships" ref="A180" r:id="rId94"/>
    <hyperlink xmlns:r="http://schemas.openxmlformats.org/officeDocument/2006/relationships" ref="A181" r:id="rId95"/>
    <hyperlink xmlns:r="http://schemas.openxmlformats.org/officeDocument/2006/relationships" ref="A182" r:id="rId96"/>
    <hyperlink xmlns:r="http://schemas.openxmlformats.org/officeDocument/2006/relationships" ref="A183" r:id="rId97"/>
    <hyperlink xmlns:r="http://schemas.openxmlformats.org/officeDocument/2006/relationships" ref="A184" r:id="rId98"/>
    <hyperlink xmlns:r="http://schemas.openxmlformats.org/officeDocument/2006/relationships" ref="A185" r:id="rId99"/>
    <hyperlink xmlns:r="http://schemas.openxmlformats.org/officeDocument/2006/relationships" ref="A186" r:id="rId100"/>
    <hyperlink xmlns:r="http://schemas.openxmlformats.org/officeDocument/2006/relationships" ref="A187" r:id="rId101"/>
    <hyperlink xmlns:r="http://schemas.openxmlformats.org/officeDocument/2006/relationships" ref="A188" r:id="rId102"/>
    <hyperlink xmlns:r="http://schemas.openxmlformats.org/officeDocument/2006/relationships" ref="A189" r:id="rId103"/>
    <hyperlink xmlns:r="http://schemas.openxmlformats.org/officeDocument/2006/relationships" ref="A190" r:id="rId104"/>
    <hyperlink xmlns:r="http://schemas.openxmlformats.org/officeDocument/2006/relationships" ref="A191" r:id="rId105"/>
    <hyperlink xmlns:r="http://schemas.openxmlformats.org/officeDocument/2006/relationships" ref="A192" r:id="rId106"/>
    <hyperlink xmlns:r="http://schemas.openxmlformats.org/officeDocument/2006/relationships" ref="A193" r:id="rId107"/>
    <hyperlink xmlns:r="http://schemas.openxmlformats.org/officeDocument/2006/relationships" ref="A194" r:id="rId108"/>
    <hyperlink xmlns:r="http://schemas.openxmlformats.org/officeDocument/2006/relationships" ref="A195" r:id="rId109"/>
    <hyperlink xmlns:r="http://schemas.openxmlformats.org/officeDocument/2006/relationships" ref="A196" r:id="rId110"/>
    <hyperlink xmlns:r="http://schemas.openxmlformats.org/officeDocument/2006/relationships" ref="A197" r:id="rId111"/>
    <hyperlink xmlns:r="http://schemas.openxmlformats.org/officeDocument/2006/relationships" ref="A198" r:id="rId112"/>
    <hyperlink xmlns:r="http://schemas.openxmlformats.org/officeDocument/2006/relationships" ref="A199" r:id="rId113"/>
    <hyperlink xmlns:r="http://schemas.openxmlformats.org/officeDocument/2006/relationships" ref="A200" r:id="rId114"/>
    <hyperlink xmlns:r="http://schemas.openxmlformats.org/officeDocument/2006/relationships" ref="A201" r:id="rId115"/>
    <hyperlink xmlns:r="http://schemas.openxmlformats.org/officeDocument/2006/relationships" ref="A202" r:id="rId116"/>
    <hyperlink xmlns:r="http://schemas.openxmlformats.org/officeDocument/2006/relationships" ref="A203" r:id="rId117"/>
    <hyperlink xmlns:r="http://schemas.openxmlformats.org/officeDocument/2006/relationships" ref="A204" r:id="rId118"/>
    <hyperlink xmlns:r="http://schemas.openxmlformats.org/officeDocument/2006/relationships" ref="A205" r:id="rId119"/>
    <hyperlink xmlns:r="http://schemas.openxmlformats.org/officeDocument/2006/relationships" ref="A206" r:id="rId120"/>
    <hyperlink xmlns:r="http://schemas.openxmlformats.org/officeDocument/2006/relationships" ref="A207" r:id="rId121"/>
    <hyperlink xmlns:r="http://schemas.openxmlformats.org/officeDocument/2006/relationships" ref="A208" r:id="rId122"/>
    <hyperlink xmlns:r="http://schemas.openxmlformats.org/officeDocument/2006/relationships" ref="A209" r:id="rId123"/>
    <hyperlink xmlns:r="http://schemas.openxmlformats.org/officeDocument/2006/relationships" ref="A210" r:id="rId124"/>
    <hyperlink xmlns:r="http://schemas.openxmlformats.org/officeDocument/2006/relationships" ref="A211" r:id="rId125"/>
    <hyperlink xmlns:r="http://schemas.openxmlformats.org/officeDocument/2006/relationships" ref="A212" r:id="rId126"/>
    <hyperlink xmlns:r="http://schemas.openxmlformats.org/officeDocument/2006/relationships" ref="A213" r:id="rId127"/>
    <hyperlink xmlns:r="http://schemas.openxmlformats.org/officeDocument/2006/relationships" ref="A214" r:id="rId128"/>
    <hyperlink xmlns:r="http://schemas.openxmlformats.org/officeDocument/2006/relationships" ref="A215" r:id="rId129"/>
    <hyperlink xmlns:r="http://schemas.openxmlformats.org/officeDocument/2006/relationships" ref="A216" r:id="rId130"/>
    <hyperlink xmlns:r="http://schemas.openxmlformats.org/officeDocument/2006/relationships" ref="A217" r:id="rId131"/>
    <hyperlink xmlns:r="http://schemas.openxmlformats.org/officeDocument/2006/relationships" ref="A218" r:id="rId132"/>
    <hyperlink xmlns:r="http://schemas.openxmlformats.org/officeDocument/2006/relationships" ref="A219" r:id="rId133"/>
    <hyperlink xmlns:r="http://schemas.openxmlformats.org/officeDocument/2006/relationships" ref="A220" r:id="rId134"/>
    <hyperlink xmlns:r="http://schemas.openxmlformats.org/officeDocument/2006/relationships" ref="A221" r:id="rId135"/>
    <hyperlink xmlns:r="http://schemas.openxmlformats.org/officeDocument/2006/relationships" ref="A222" r:id="rId136"/>
    <hyperlink xmlns:r="http://schemas.openxmlformats.org/officeDocument/2006/relationships" ref="A223" r:id="rId137"/>
    <hyperlink xmlns:r="http://schemas.openxmlformats.org/officeDocument/2006/relationships" ref="A224" r:id="rId138"/>
    <hyperlink xmlns:r="http://schemas.openxmlformats.org/officeDocument/2006/relationships" ref="A225" r:id="rId139"/>
    <hyperlink xmlns:r="http://schemas.openxmlformats.org/officeDocument/2006/relationships" ref="A226" r:id="rId140"/>
    <hyperlink xmlns:r="http://schemas.openxmlformats.org/officeDocument/2006/relationships" ref="A227" r:id="rId141"/>
    <hyperlink xmlns:r="http://schemas.openxmlformats.org/officeDocument/2006/relationships" ref="A228" r:id="rId142"/>
    <hyperlink xmlns:r="http://schemas.openxmlformats.org/officeDocument/2006/relationships" ref="A229" r:id="rId143"/>
    <hyperlink xmlns:r="http://schemas.openxmlformats.org/officeDocument/2006/relationships" ref="A230" r:id="rId144"/>
    <hyperlink xmlns:r="http://schemas.openxmlformats.org/officeDocument/2006/relationships" ref="A231" r:id="rId145"/>
    <hyperlink xmlns:r="http://schemas.openxmlformats.org/officeDocument/2006/relationships" ref="A232" r:id="rId146"/>
    <hyperlink xmlns:r="http://schemas.openxmlformats.org/officeDocument/2006/relationships" ref="A233" r:id="rId147"/>
    <hyperlink xmlns:r="http://schemas.openxmlformats.org/officeDocument/2006/relationships" ref="A234" r:id="rId148"/>
    <hyperlink xmlns:r="http://schemas.openxmlformats.org/officeDocument/2006/relationships" ref="A235" r:id="rId149"/>
    <hyperlink xmlns:r="http://schemas.openxmlformats.org/officeDocument/2006/relationships" ref="A236" r:id="rId150"/>
    <hyperlink xmlns:r="http://schemas.openxmlformats.org/officeDocument/2006/relationships" ref="A237" r:id="rId151"/>
    <hyperlink xmlns:r="http://schemas.openxmlformats.org/officeDocument/2006/relationships" ref="A238" r:id="rId152"/>
    <hyperlink xmlns:r="http://schemas.openxmlformats.org/officeDocument/2006/relationships" ref="A239" r:id="rId153"/>
    <hyperlink xmlns:r="http://schemas.openxmlformats.org/officeDocument/2006/relationships" ref="A240" r:id="rId154"/>
    <hyperlink xmlns:r="http://schemas.openxmlformats.org/officeDocument/2006/relationships" ref="A241" r:id="rId155"/>
    <hyperlink xmlns:r="http://schemas.openxmlformats.org/officeDocument/2006/relationships" ref="A242" r:id="rId156"/>
    <hyperlink xmlns:r="http://schemas.openxmlformats.org/officeDocument/2006/relationships" ref="A243" r:id="rId157"/>
    <hyperlink xmlns:r="http://schemas.openxmlformats.org/officeDocument/2006/relationships" ref="A244" r:id="rId158"/>
    <hyperlink xmlns:r="http://schemas.openxmlformats.org/officeDocument/2006/relationships" ref="A245" r:id="rId159"/>
    <hyperlink xmlns:r="http://schemas.openxmlformats.org/officeDocument/2006/relationships" ref="A246" r:id="rId160"/>
    <hyperlink xmlns:r="http://schemas.openxmlformats.org/officeDocument/2006/relationships" ref="A247" r:id="rId161"/>
    <hyperlink xmlns:r="http://schemas.openxmlformats.org/officeDocument/2006/relationships" ref="A248" r:id="rId162"/>
    <hyperlink xmlns:r="http://schemas.openxmlformats.org/officeDocument/2006/relationships" ref="A249" r:id="rId163"/>
    <hyperlink xmlns:r="http://schemas.openxmlformats.org/officeDocument/2006/relationships" ref="A250" r:id="rId164"/>
    <hyperlink xmlns:r="http://schemas.openxmlformats.org/officeDocument/2006/relationships" ref="A251" r:id="rId165"/>
    <hyperlink xmlns:r="http://schemas.openxmlformats.org/officeDocument/2006/relationships" ref="A252" r:id="rId166"/>
    <hyperlink xmlns:r="http://schemas.openxmlformats.org/officeDocument/2006/relationships" ref="A253" r:id="rId167"/>
    <hyperlink xmlns:r="http://schemas.openxmlformats.org/officeDocument/2006/relationships" ref="A254" r:id="rId168"/>
    <hyperlink xmlns:r="http://schemas.openxmlformats.org/officeDocument/2006/relationships" ref="A255" r:id="rId169"/>
    <hyperlink xmlns:r="http://schemas.openxmlformats.org/officeDocument/2006/relationships" ref="A256" r:id="rId170"/>
    <hyperlink xmlns:r="http://schemas.openxmlformats.org/officeDocument/2006/relationships" ref="A257" r:id="rId171"/>
    <hyperlink xmlns:r="http://schemas.openxmlformats.org/officeDocument/2006/relationships" ref="A258" r:id="rId172"/>
    <hyperlink xmlns:r="http://schemas.openxmlformats.org/officeDocument/2006/relationships" ref="A259" r:id="rId173"/>
    <hyperlink xmlns:r="http://schemas.openxmlformats.org/officeDocument/2006/relationships" ref="A260" r:id="rId174"/>
    <hyperlink xmlns:r="http://schemas.openxmlformats.org/officeDocument/2006/relationships" ref="A261" r:id="rId175"/>
    <hyperlink xmlns:r="http://schemas.openxmlformats.org/officeDocument/2006/relationships" ref="A262" r:id="rId176"/>
    <hyperlink xmlns:r="http://schemas.openxmlformats.org/officeDocument/2006/relationships" ref="A263" r:id="rId177"/>
    <hyperlink xmlns:r="http://schemas.openxmlformats.org/officeDocument/2006/relationships" ref="A264" r:id="rId178"/>
    <hyperlink xmlns:r="http://schemas.openxmlformats.org/officeDocument/2006/relationships" ref="A265" r:id="rId179"/>
    <hyperlink xmlns:r="http://schemas.openxmlformats.org/officeDocument/2006/relationships" ref="A266" r:id="rId180"/>
    <hyperlink xmlns:r="http://schemas.openxmlformats.org/officeDocument/2006/relationships" ref="A267" r:id="rId181"/>
    <hyperlink xmlns:r="http://schemas.openxmlformats.org/officeDocument/2006/relationships" ref="A268" r:id="rId182"/>
    <hyperlink xmlns:r="http://schemas.openxmlformats.org/officeDocument/2006/relationships" ref="A269" r:id="rId183"/>
    <hyperlink xmlns:r="http://schemas.openxmlformats.org/officeDocument/2006/relationships" ref="A270" r:id="rId184"/>
    <hyperlink xmlns:r="http://schemas.openxmlformats.org/officeDocument/2006/relationships" ref="A271" r:id="rId185"/>
    <hyperlink xmlns:r="http://schemas.openxmlformats.org/officeDocument/2006/relationships" ref="A272" r:id="rId186"/>
    <hyperlink xmlns:r="http://schemas.openxmlformats.org/officeDocument/2006/relationships" ref="A273" r:id="rId187"/>
    <hyperlink xmlns:r="http://schemas.openxmlformats.org/officeDocument/2006/relationships" ref="A274" r:id="rId188"/>
    <hyperlink xmlns:r="http://schemas.openxmlformats.org/officeDocument/2006/relationships" ref="A275" r:id="rId189"/>
    <hyperlink xmlns:r="http://schemas.openxmlformats.org/officeDocument/2006/relationships" ref="A276" r:id="rId190"/>
    <hyperlink xmlns:r="http://schemas.openxmlformats.org/officeDocument/2006/relationships" ref="A277" r:id="rId191"/>
    <hyperlink xmlns:r="http://schemas.openxmlformats.org/officeDocument/2006/relationships" ref="A278" r:id="rId192"/>
    <hyperlink xmlns:r="http://schemas.openxmlformats.org/officeDocument/2006/relationships" ref="A279" r:id="rId193"/>
    <hyperlink xmlns:r="http://schemas.openxmlformats.org/officeDocument/2006/relationships" ref="A280" r:id="rId194"/>
    <hyperlink xmlns:r="http://schemas.openxmlformats.org/officeDocument/2006/relationships" ref="A281" r:id="rId195"/>
    <hyperlink xmlns:r="http://schemas.openxmlformats.org/officeDocument/2006/relationships" ref="A282" r:id="rId196"/>
    <hyperlink xmlns:r="http://schemas.openxmlformats.org/officeDocument/2006/relationships" ref="A283" r:id="rId197"/>
    <hyperlink xmlns:r="http://schemas.openxmlformats.org/officeDocument/2006/relationships" ref="A284" r:id="rId198"/>
    <hyperlink xmlns:r="http://schemas.openxmlformats.org/officeDocument/2006/relationships" ref="A285" r:id="rId199"/>
    <hyperlink xmlns:r="http://schemas.openxmlformats.org/officeDocument/2006/relationships" ref="A286" r:id="rId200"/>
    <hyperlink xmlns:r="http://schemas.openxmlformats.org/officeDocument/2006/relationships" ref="A287" r:id="rId201"/>
    <hyperlink xmlns:r="http://schemas.openxmlformats.org/officeDocument/2006/relationships" ref="A288" r:id="rId202"/>
    <hyperlink xmlns:r="http://schemas.openxmlformats.org/officeDocument/2006/relationships" ref="A289" r:id="rId203"/>
    <hyperlink xmlns:r="http://schemas.openxmlformats.org/officeDocument/2006/relationships" ref="A290" r:id="rId204"/>
    <hyperlink xmlns:r="http://schemas.openxmlformats.org/officeDocument/2006/relationships" ref="A291" r:id="rId205"/>
    <hyperlink xmlns:r="http://schemas.openxmlformats.org/officeDocument/2006/relationships" ref="A292" r:id="rId206"/>
    <hyperlink xmlns:r="http://schemas.openxmlformats.org/officeDocument/2006/relationships" ref="A293" r:id="rId207"/>
    <hyperlink xmlns:r="http://schemas.openxmlformats.org/officeDocument/2006/relationships" ref="A294" r:id="rId208"/>
    <hyperlink xmlns:r="http://schemas.openxmlformats.org/officeDocument/2006/relationships" ref="A295" r:id="rId209"/>
    <hyperlink xmlns:r="http://schemas.openxmlformats.org/officeDocument/2006/relationships" ref="A296" r:id="rId210"/>
    <hyperlink xmlns:r="http://schemas.openxmlformats.org/officeDocument/2006/relationships" ref="A297" r:id="rId211"/>
    <hyperlink xmlns:r="http://schemas.openxmlformats.org/officeDocument/2006/relationships" ref="A298" r:id="rId212"/>
    <hyperlink xmlns:r="http://schemas.openxmlformats.org/officeDocument/2006/relationships" ref="A299" r:id="rId213"/>
    <hyperlink xmlns:r="http://schemas.openxmlformats.org/officeDocument/2006/relationships" ref="A300" r:id="rId214"/>
    <hyperlink xmlns:r="http://schemas.openxmlformats.org/officeDocument/2006/relationships" ref="A301" r:id="rId215"/>
    <hyperlink xmlns:r="http://schemas.openxmlformats.org/officeDocument/2006/relationships" ref="A302" r:id="rId216"/>
    <hyperlink xmlns:r="http://schemas.openxmlformats.org/officeDocument/2006/relationships" ref="A303" r:id="rId217"/>
    <hyperlink xmlns:r="http://schemas.openxmlformats.org/officeDocument/2006/relationships" ref="A304" r:id="rId218"/>
    <hyperlink xmlns:r="http://schemas.openxmlformats.org/officeDocument/2006/relationships" ref="A305" r:id="rId219"/>
    <hyperlink xmlns:r="http://schemas.openxmlformats.org/officeDocument/2006/relationships" ref="A306" r:id="rId220"/>
    <hyperlink xmlns:r="http://schemas.openxmlformats.org/officeDocument/2006/relationships" ref="A307" r:id="rId221"/>
    <hyperlink xmlns:r="http://schemas.openxmlformats.org/officeDocument/2006/relationships" ref="A308" r:id="rId222"/>
    <hyperlink xmlns:r="http://schemas.openxmlformats.org/officeDocument/2006/relationships" ref="A309" r:id="rId223"/>
    <hyperlink xmlns:r="http://schemas.openxmlformats.org/officeDocument/2006/relationships" ref="A310" r:id="rId224"/>
    <hyperlink xmlns:r="http://schemas.openxmlformats.org/officeDocument/2006/relationships" ref="A311" r:id="rId225"/>
    <hyperlink xmlns:r="http://schemas.openxmlformats.org/officeDocument/2006/relationships" ref="A312" r:id="rId226"/>
    <hyperlink xmlns:r="http://schemas.openxmlformats.org/officeDocument/2006/relationships" ref="A313" r:id="rId227"/>
    <hyperlink xmlns:r="http://schemas.openxmlformats.org/officeDocument/2006/relationships" ref="A314" r:id="rId228"/>
    <hyperlink xmlns:r="http://schemas.openxmlformats.org/officeDocument/2006/relationships" ref="A315" r:id="rId229"/>
    <hyperlink xmlns:r="http://schemas.openxmlformats.org/officeDocument/2006/relationships" ref="A316" r:id="rId230"/>
    <hyperlink xmlns:r="http://schemas.openxmlformats.org/officeDocument/2006/relationships" ref="A317" r:id="rId231"/>
    <hyperlink xmlns:r="http://schemas.openxmlformats.org/officeDocument/2006/relationships" ref="A318" r:id="rId232"/>
    <hyperlink xmlns:r="http://schemas.openxmlformats.org/officeDocument/2006/relationships" ref="A319" r:id="rId233"/>
    <hyperlink xmlns:r="http://schemas.openxmlformats.org/officeDocument/2006/relationships" ref="A320" r:id="rId234"/>
    <hyperlink xmlns:r="http://schemas.openxmlformats.org/officeDocument/2006/relationships" ref="A321" r:id="rId235"/>
    <hyperlink xmlns:r="http://schemas.openxmlformats.org/officeDocument/2006/relationships" ref="A322" r:id="rId236"/>
    <hyperlink xmlns:r="http://schemas.openxmlformats.org/officeDocument/2006/relationships" ref="A323" r:id="rId237"/>
    <hyperlink xmlns:r="http://schemas.openxmlformats.org/officeDocument/2006/relationships" ref="A324" r:id="rId238"/>
    <hyperlink xmlns:r="http://schemas.openxmlformats.org/officeDocument/2006/relationships" ref="A325" r:id="rId239"/>
    <hyperlink xmlns:r="http://schemas.openxmlformats.org/officeDocument/2006/relationships" ref="A326" r:id="rId240"/>
    <hyperlink xmlns:r="http://schemas.openxmlformats.org/officeDocument/2006/relationships" ref="A327" r:id="rId241"/>
    <hyperlink xmlns:r="http://schemas.openxmlformats.org/officeDocument/2006/relationships" ref="A328" r:id="rId242"/>
    <hyperlink xmlns:r="http://schemas.openxmlformats.org/officeDocument/2006/relationships" ref="A329" r:id="rId243"/>
    <hyperlink xmlns:r="http://schemas.openxmlformats.org/officeDocument/2006/relationships" ref="A330" r:id="rId244"/>
    <hyperlink xmlns:r="http://schemas.openxmlformats.org/officeDocument/2006/relationships" ref="A331" r:id="rId245"/>
    <hyperlink xmlns:r="http://schemas.openxmlformats.org/officeDocument/2006/relationships" ref="A332" r:id="rId246"/>
    <hyperlink xmlns:r="http://schemas.openxmlformats.org/officeDocument/2006/relationships" ref="A333" r:id="rId247"/>
    <hyperlink xmlns:r="http://schemas.openxmlformats.org/officeDocument/2006/relationships" ref="A334" r:id="rId248"/>
    <hyperlink xmlns:r="http://schemas.openxmlformats.org/officeDocument/2006/relationships" ref="A335" r:id="rId249"/>
    <hyperlink xmlns:r="http://schemas.openxmlformats.org/officeDocument/2006/relationships" ref="A336" r:id="rId250"/>
    <hyperlink xmlns:r="http://schemas.openxmlformats.org/officeDocument/2006/relationships" ref="A337" r:id="rId251"/>
    <hyperlink xmlns:r="http://schemas.openxmlformats.org/officeDocument/2006/relationships" ref="A338" r:id="rId252"/>
    <hyperlink xmlns:r="http://schemas.openxmlformats.org/officeDocument/2006/relationships" ref="A339" r:id="rId253"/>
    <hyperlink xmlns:r="http://schemas.openxmlformats.org/officeDocument/2006/relationships" ref="A340" r:id="rId254"/>
    <hyperlink xmlns:r="http://schemas.openxmlformats.org/officeDocument/2006/relationships" ref="A341" r:id="rId255"/>
    <hyperlink xmlns:r="http://schemas.openxmlformats.org/officeDocument/2006/relationships" ref="A342" r:id="rId256"/>
    <hyperlink xmlns:r="http://schemas.openxmlformats.org/officeDocument/2006/relationships" ref="A343" r:id="rId257"/>
    <hyperlink xmlns:r="http://schemas.openxmlformats.org/officeDocument/2006/relationships" ref="A344" r:id="rId258"/>
    <hyperlink xmlns:r="http://schemas.openxmlformats.org/officeDocument/2006/relationships" ref="A345" r:id="rId259"/>
    <hyperlink xmlns:r="http://schemas.openxmlformats.org/officeDocument/2006/relationships" ref="A346" r:id="rId260"/>
    <hyperlink xmlns:r="http://schemas.openxmlformats.org/officeDocument/2006/relationships" ref="A347" r:id="rId261"/>
    <hyperlink xmlns:r="http://schemas.openxmlformats.org/officeDocument/2006/relationships" ref="A348" r:id="rId262"/>
    <hyperlink xmlns:r="http://schemas.openxmlformats.org/officeDocument/2006/relationships" ref="A349" r:id="rId263"/>
    <hyperlink xmlns:r="http://schemas.openxmlformats.org/officeDocument/2006/relationships" ref="A350" r:id="rId264"/>
    <hyperlink xmlns:r="http://schemas.openxmlformats.org/officeDocument/2006/relationships" ref="A351" r:id="rId265"/>
    <hyperlink xmlns:r="http://schemas.openxmlformats.org/officeDocument/2006/relationships" ref="A352" r:id="rId266"/>
    <hyperlink xmlns:r="http://schemas.openxmlformats.org/officeDocument/2006/relationships" ref="A353" r:id="rId267"/>
    <hyperlink xmlns:r="http://schemas.openxmlformats.org/officeDocument/2006/relationships" ref="A354" r:id="rId268"/>
    <hyperlink xmlns:r="http://schemas.openxmlformats.org/officeDocument/2006/relationships" ref="A355" r:id="rId269"/>
    <hyperlink xmlns:r="http://schemas.openxmlformats.org/officeDocument/2006/relationships" ref="A356" r:id="rId270"/>
    <hyperlink xmlns:r="http://schemas.openxmlformats.org/officeDocument/2006/relationships" ref="A357" r:id="rId271"/>
    <hyperlink xmlns:r="http://schemas.openxmlformats.org/officeDocument/2006/relationships" ref="A358" r:id="rId272"/>
    <hyperlink xmlns:r="http://schemas.openxmlformats.org/officeDocument/2006/relationships" ref="A359" r:id="rId273"/>
    <hyperlink xmlns:r="http://schemas.openxmlformats.org/officeDocument/2006/relationships" ref="A360" r:id="rId274"/>
    <hyperlink xmlns:r="http://schemas.openxmlformats.org/officeDocument/2006/relationships" ref="A361" r:id="rId275"/>
    <hyperlink xmlns:r="http://schemas.openxmlformats.org/officeDocument/2006/relationships" ref="A362" r:id="rId276"/>
    <hyperlink xmlns:r="http://schemas.openxmlformats.org/officeDocument/2006/relationships" ref="A363" r:id="rId277"/>
    <hyperlink xmlns:r="http://schemas.openxmlformats.org/officeDocument/2006/relationships" ref="A364" r:id="rId278"/>
    <hyperlink xmlns:r="http://schemas.openxmlformats.org/officeDocument/2006/relationships" ref="A365" r:id="rId279"/>
    <hyperlink xmlns:r="http://schemas.openxmlformats.org/officeDocument/2006/relationships" ref="A366" r:id="rId280"/>
    <hyperlink xmlns:r="http://schemas.openxmlformats.org/officeDocument/2006/relationships" ref="A367" r:id="rId281"/>
    <hyperlink xmlns:r="http://schemas.openxmlformats.org/officeDocument/2006/relationships" ref="A368" r:id="rId282"/>
    <hyperlink xmlns:r="http://schemas.openxmlformats.org/officeDocument/2006/relationships" ref="A369" r:id="rId283"/>
    <hyperlink xmlns:r="http://schemas.openxmlformats.org/officeDocument/2006/relationships" ref="A370" r:id="rId284"/>
    <hyperlink xmlns:r="http://schemas.openxmlformats.org/officeDocument/2006/relationships" ref="A371" r:id="rId285"/>
    <hyperlink xmlns:r="http://schemas.openxmlformats.org/officeDocument/2006/relationships" ref="A372" r:id="rId286"/>
    <hyperlink xmlns:r="http://schemas.openxmlformats.org/officeDocument/2006/relationships" ref="A373" r:id="rId287"/>
    <hyperlink xmlns:r="http://schemas.openxmlformats.org/officeDocument/2006/relationships" ref="A374" r:id="rId288"/>
    <hyperlink xmlns:r="http://schemas.openxmlformats.org/officeDocument/2006/relationships" ref="A375" r:id="rId289"/>
    <hyperlink xmlns:r="http://schemas.openxmlformats.org/officeDocument/2006/relationships" ref="A376" r:id="rId290"/>
    <hyperlink xmlns:r="http://schemas.openxmlformats.org/officeDocument/2006/relationships" ref="A377" r:id="rId291"/>
    <hyperlink xmlns:r="http://schemas.openxmlformats.org/officeDocument/2006/relationships" ref="A378" r:id="rId292"/>
    <hyperlink xmlns:r="http://schemas.openxmlformats.org/officeDocument/2006/relationships" ref="A379" r:id="rId293"/>
    <hyperlink xmlns:r="http://schemas.openxmlformats.org/officeDocument/2006/relationships" ref="A380" r:id="rId294"/>
    <hyperlink xmlns:r="http://schemas.openxmlformats.org/officeDocument/2006/relationships" ref="A381" r:id="rId295"/>
    <hyperlink xmlns:r="http://schemas.openxmlformats.org/officeDocument/2006/relationships" ref="A382" r:id="rId296"/>
    <hyperlink xmlns:r="http://schemas.openxmlformats.org/officeDocument/2006/relationships" ref="A383" r:id="rId297"/>
    <hyperlink xmlns:r="http://schemas.openxmlformats.org/officeDocument/2006/relationships" ref="A384" r:id="rId298"/>
    <hyperlink xmlns:r="http://schemas.openxmlformats.org/officeDocument/2006/relationships" ref="A385" r:id="rId299"/>
    <hyperlink xmlns:r="http://schemas.openxmlformats.org/officeDocument/2006/relationships" ref="A386" r:id="rId300"/>
  </hyperlinks>
  <pageMargins left="0.75" right="0.75" top="1" bottom="1" header="0.5" footer="0.5"/>
  <drawing xmlns:r="http://schemas.openxmlformats.org/officeDocument/2006/relationships" r:id="rId301"/>
  <tableParts count="3">
    <tablePart xmlns:r="http://schemas.openxmlformats.org/officeDocument/2006/relationships" r:id="rId302"/>
    <tablePart xmlns:r="http://schemas.openxmlformats.org/officeDocument/2006/relationships" r:id="rId303"/>
    <tablePart xmlns:r="http://schemas.openxmlformats.org/officeDocument/2006/relationships" r:id="rId304"/>
  </tableParts>
</worksheet>
</file>

<file path=xl/worksheets/sheet9.xml><?xml version="1.0" encoding="utf-8"?>
<worksheet xmlns="http://schemas.openxmlformats.org/spreadsheetml/2006/main">
  <sheetPr>
    <outlinePr summaryBelow="1" summaryRight="1"/>
    <pageSetUpPr/>
  </sheetPr>
  <dimension ref="A1:T125"/>
  <sheetViews>
    <sheetView showGridLines="0" workbookViewId="0">
      <selection activeCell="A1" sqref="A1"/>
    </sheetView>
  </sheetViews>
  <sheetFormatPr baseColWidth="8" defaultRowHeight="15"/>
  <cols>
    <col width="34" customWidth="1" min="1" max="1"/>
    <col width="38" customWidth="1" min="2" max="2"/>
    <col width="38" customWidth="1" min="3" max="3"/>
    <col width="26" customWidth="1" min="4" max="4"/>
    <col width="19" customWidth="1" min="5" max="5"/>
    <col width="22" customWidth="1" min="6" max="6"/>
    <col width="23" customWidth="1" min="7" max="7"/>
    <col width="24" customWidth="1" min="8" max="8"/>
    <col width="20" customWidth="1" min="9" max="9"/>
    <col width="17" customWidth="1" min="10" max="10"/>
    <col width="11" customWidth="1" min="11" max="11"/>
    <col width="37" customWidth="1" min="12" max="12"/>
    <col width="12" customWidth="1" min="13" max="13"/>
    <col width="10" customWidth="1" min="14" max="14"/>
    <col width="10" customWidth="1" min="15" max="15"/>
    <col width="12" customWidth="1" min="16" max="16"/>
    <col width="10" customWidth="1" min="17" max="17"/>
    <col width="14" customWidth="1" min="18" max="18"/>
    <col width="13" customWidth="1" min="19" max="19"/>
    <col width="10" customWidth="1" min="20" max="20"/>
  </cols>
  <sheetData>
    <row r="1">
      <c r="A1" s="1" t="inlineStr">
        <is>
          <t>Конкуренти</t>
        </is>
      </c>
    </row>
    <row r="3">
      <c r="A3" s="7" t="inlineStr">
        <is>
          <t>Конкуренти</t>
        </is>
      </c>
    </row>
    <row r="4">
      <c r="A4" s="6" t="inlineStr">
        <is>
          <t>Перелік помітних гравців із ключовими показниками. Розгорнутий портрет кожного — у списку праворуч.</t>
        </is>
      </c>
    </row>
    <row r="6">
      <c r="A6" s="8" t="inlineStr">
        <is>
          <t>Графіки</t>
        </is>
      </c>
    </row>
    <row r="8">
      <c r="A8" s="2" t="inlineStr">
        <is>
          <t>Найбільші конкуренти (топ-12) і ми</t>
        </is>
      </c>
    </row>
    <row r="9">
      <c r="A9" s="6" t="inlineStr">
        <is>
          <t>Кольором виділені наші ТОВ — вони показані для порівняння й до рейтингу конкурентів не входять.</t>
        </is>
      </c>
    </row>
    <row r="10">
      <c r="A10" s="3" t="inlineStr">
        <is>
          <t>Категорія</t>
        </is>
      </c>
      <c r="B10" s="3" t="inlineStr">
        <is>
          <t>Сума угод, грн</t>
        </is>
      </c>
    </row>
    <row r="11">
      <c r="A11" t="inlineStr">
        <is>
          <t>Технології для бізнесу</t>
        </is>
      </c>
      <c r="B11" s="5" t="n">
        <v>9792379.5</v>
      </c>
    </row>
    <row r="12">
      <c r="A12" t="inlineStr">
        <is>
          <t>ЕМЕНС</t>
        </is>
      </c>
      <c r="B12" s="5" t="n">
        <v>4116900</v>
      </c>
    </row>
    <row r="13">
      <c r="A13" t="inlineStr">
        <is>
          <t>ПОРТАЛ АРЕНА</t>
        </is>
      </c>
      <c r="B13" s="5" t="n">
        <v>3597812.4</v>
      </c>
    </row>
    <row r="14">
      <c r="A14" t="inlineStr">
        <is>
          <t>ПБГ19</t>
        </is>
      </c>
      <c r="B14" s="5" t="n">
        <v>3383565.2</v>
      </c>
    </row>
    <row r="15">
      <c r="A15" t="inlineStr">
        <is>
          <t>ДАВИДЕНКО ПАВЛО АНДРІЙОВИЧ</t>
        </is>
      </c>
      <c r="B15" s="5" t="n">
        <v>2855900</v>
      </c>
    </row>
    <row r="16">
      <c r="A16" t="inlineStr">
        <is>
          <t>ЮДІТРЕЙД</t>
        </is>
      </c>
      <c r="B16" s="5" t="n">
        <v>2504219.64</v>
      </c>
    </row>
    <row r="17">
      <c r="A17" t="inlineStr">
        <is>
          <t>ТІНОС-Д</t>
        </is>
      </c>
      <c r="B17" s="5" t="n">
        <v>2232222</v>
      </c>
    </row>
    <row r="18">
      <c r="A18" t="inlineStr">
        <is>
          <t>ТЕХНО ГАЛАКТИКА</t>
        </is>
      </c>
      <c r="B18" s="5" t="n">
        <v>2199480</v>
      </c>
    </row>
    <row r="19">
      <c r="A19" t="inlineStr">
        <is>
          <t>ДІСТРІ ІНВАЙТ ІТ</t>
        </is>
      </c>
      <c r="B19" s="5" t="n">
        <v>2180234.28</v>
      </c>
    </row>
    <row r="20">
      <c r="A20" t="inlineStr">
        <is>
          <t>ПАРСЕРС</t>
        </is>
      </c>
      <c r="B20" s="5" t="n">
        <v>2175077.85</v>
      </c>
    </row>
    <row r="21">
      <c r="A21" t="inlineStr">
        <is>
          <t>СИСТЕМАТИКА УКРАЇНА</t>
        </is>
      </c>
      <c r="B21" s="5" t="n">
        <v>2154480</v>
      </c>
    </row>
    <row r="22">
      <c r="A22" t="inlineStr">
        <is>
          <t>КОРВЕТ</t>
        </is>
      </c>
      <c r="B22" s="5" t="n">
        <v>2059501.99</v>
      </c>
    </row>
    <row r="23">
      <c r="A23" t="inlineStr">
        <is>
          <t>ТОРГОВИЙ ДІМ "ПАРТНЕР АЙ ТІ (№3)</t>
        </is>
      </c>
      <c r="B23" s="5" t="n">
        <v>3625405.8</v>
      </c>
    </row>
    <row r="24">
      <c r="A24" t="inlineStr">
        <is>
          <t>РЕФОРМА СИСТЕМЗ (№41)</t>
        </is>
      </c>
      <c r="B24" s="5" t="n">
        <v>744540</v>
      </c>
    </row>
    <row r="31">
      <c r="A31" s="2" t="inlineStr">
        <is>
          <t>Закупівлі конкурентів: де нас не було, а де програли</t>
        </is>
      </c>
    </row>
    <row r="32">
      <c r="A32" s="6" t="inlineStr">
        <is>
          <t>Три різні проблеми: перша — про моніторинг закупівель, друга — про ціну, третя — про якість підготовки пропозиції.</t>
        </is>
      </c>
    </row>
    <row r="33">
      <c r="A33" s="3" t="inlineStr">
        <is>
          <t>Категорія</t>
        </is>
      </c>
      <c r="B33" s="3" t="inlineStr">
        <is>
          <t>Не подавалися, шт</t>
        </is>
      </c>
      <c r="C33" s="3" t="inlineStr">
        <is>
          <t>Програли за ціною, шт</t>
        </is>
      </c>
      <c r="D33" s="3" t="inlineStr">
        <is>
          <t>Програли не за ціною, шт</t>
        </is>
      </c>
    </row>
    <row r="34">
      <c r="A34" t="inlineStr">
        <is>
          <t>САНТАРЕКС</t>
        </is>
      </c>
      <c r="B34" s="5" t="n">
        <v>60</v>
      </c>
      <c r="C34" s="5" t="n">
        <v>0</v>
      </c>
      <c r="D34" s="5" t="n">
        <v>0</v>
      </c>
    </row>
    <row r="35">
      <c r="A35" t="inlineStr">
        <is>
          <t>Цяк Валерій Михайлович</t>
        </is>
      </c>
      <c r="B35" s="5" t="n">
        <v>54</v>
      </c>
      <c r="C35" s="5" t="n">
        <v>0</v>
      </c>
      <c r="D35" s="5" t="n">
        <v>0</v>
      </c>
    </row>
    <row r="36">
      <c r="A36" t="inlineStr">
        <is>
          <t>КОРВЕТ</t>
        </is>
      </c>
      <c r="B36" s="5" t="n">
        <v>20</v>
      </c>
      <c r="C36" s="5" t="n">
        <v>0</v>
      </c>
      <c r="D36" s="5" t="n">
        <v>0</v>
      </c>
    </row>
    <row r="37">
      <c r="A37" t="inlineStr">
        <is>
          <t>ПАВЕРТРЕЙД</t>
        </is>
      </c>
      <c r="B37" s="5" t="n">
        <v>15</v>
      </c>
      <c r="C37" s="5" t="n">
        <v>1</v>
      </c>
      <c r="D37" s="5" t="n">
        <v>0</v>
      </c>
    </row>
    <row r="38">
      <c r="A38" t="inlineStr">
        <is>
          <t>АРТЛАЙН ІНТЕГРАЦІЯ</t>
        </is>
      </c>
      <c r="B38" s="5" t="n">
        <v>14</v>
      </c>
      <c r="C38" s="5" t="n">
        <v>1</v>
      </c>
      <c r="D38" s="5" t="n">
        <v>0</v>
      </c>
    </row>
    <row r="39">
      <c r="A39" t="inlineStr">
        <is>
          <t>ТІНОС-Д</t>
        </is>
      </c>
      <c r="B39" s="5" t="n">
        <v>12</v>
      </c>
      <c r="C39" s="5" t="n">
        <v>1</v>
      </c>
      <c r="D39" s="5" t="n">
        <v>0</v>
      </c>
    </row>
    <row r="40">
      <c r="A40" t="inlineStr">
        <is>
          <t>СИСТЕМАТИКА УКРАЇНА</t>
        </is>
      </c>
      <c r="B40" s="5" t="n">
        <v>12</v>
      </c>
      <c r="C40" s="5" t="n">
        <v>0</v>
      </c>
      <c r="D40" s="5" t="n">
        <v>0</v>
      </c>
    </row>
    <row r="41">
      <c r="A41" t="inlineStr">
        <is>
          <t>ДІСТРІ ІНВАЙТ ІТ</t>
        </is>
      </c>
      <c r="B41" s="5" t="n">
        <v>11</v>
      </c>
      <c r="C41" s="5" t="n">
        <v>0</v>
      </c>
      <c r="D41" s="5" t="n">
        <v>0</v>
      </c>
    </row>
    <row r="42">
      <c r="A42" t="inlineStr">
        <is>
          <t>Гріпіч Тетяна Борисівна</t>
        </is>
      </c>
      <c r="B42" s="5" t="n">
        <v>10</v>
      </c>
      <c r="C42" s="5" t="n">
        <v>1</v>
      </c>
      <c r="D42" s="5" t="n">
        <v>0</v>
      </c>
    </row>
    <row r="43">
      <c r="A43" t="inlineStr">
        <is>
          <t>ЮДІТРЕЙД</t>
        </is>
      </c>
      <c r="B43" s="5" t="n">
        <v>9</v>
      </c>
      <c r="C43" s="5" t="n">
        <v>1</v>
      </c>
      <c r="D43" s="5" t="n">
        <v>0</v>
      </c>
    </row>
    <row r="44">
      <c r="A44" t="inlineStr">
        <is>
          <t>ПОРТАЛ АРЕНА</t>
        </is>
      </c>
      <c r="B44" s="5" t="n">
        <v>9</v>
      </c>
      <c r="C44" s="5" t="n">
        <v>0</v>
      </c>
      <c r="D44" s="5" t="n">
        <v>0</v>
      </c>
    </row>
    <row r="45">
      <c r="A45" t="inlineStr">
        <is>
          <t>ДИДАКТИКЛАБ</t>
        </is>
      </c>
      <c r="B45" s="5" t="n">
        <v>9</v>
      </c>
      <c r="C45" s="5" t="n">
        <v>0</v>
      </c>
      <c r="D45" s="5" t="n">
        <v>0</v>
      </c>
    </row>
    <row r="52">
      <c r="A52" s="8" t="inlineStr">
        <is>
          <t>Таблиці</t>
        </is>
      </c>
    </row>
    <row r="54">
      <c r="A54" s="2" t="inlineStr">
        <is>
          <t>Конкуренти</t>
        </is>
      </c>
    </row>
    <row r="55">
      <c r="A55" s="11" t="inlineStr">
        <is>
          <t>Місце</t>
        </is>
      </c>
      <c r="B55" s="11" t="inlineStr">
        <is>
          <t>ЄДРПОУ</t>
        </is>
      </c>
      <c r="C55" s="11" t="inlineStr">
        <is>
          <t>Компанія</t>
        </is>
      </c>
      <c r="D55" s="11" t="inlineStr">
        <is>
          <t>Сума угод, грн</t>
        </is>
      </c>
      <c r="E55" s="11" t="inlineStr">
        <is>
          <t>Частка</t>
        </is>
      </c>
      <c r="F55" s="11" t="inlineStr">
        <is>
          <t>Угод</t>
        </is>
      </c>
      <c r="G55" s="11" t="inlineStr">
        <is>
          <t>Подань</t>
        </is>
      </c>
      <c r="H55" s="11" t="inlineStr">
        <is>
          <t>Результативність</t>
        </is>
      </c>
      <c r="I55" s="11" t="inlineStr">
        <is>
          <t>Середня угода, грн</t>
        </is>
      </c>
      <c r="J55" s="11" t="inlineStr">
        <is>
          <t>Основна ТМ</t>
        </is>
      </c>
      <c r="K55" s="11" t="inlineStr">
        <is>
          <t>Частка ТМ</t>
        </is>
      </c>
      <c r="L55" s="11" t="inlineStr">
        <is>
          <t>Основний товар</t>
        </is>
      </c>
      <c r="M55" s="11" t="inlineStr">
        <is>
          <t>Без торгів</t>
        </is>
      </c>
      <c r="N55" s="11" t="inlineStr">
        <is>
          <t>Дисконт</t>
        </is>
      </c>
      <c r="O55" s="11" t="inlineStr">
        <is>
          <t>Областей</t>
        </is>
      </c>
      <c r="P55" s="11" t="inlineStr">
        <is>
          <t>Замовників</t>
        </is>
      </c>
      <c r="Q55" s="11" t="inlineStr">
        <is>
          <t>Повторні</t>
        </is>
      </c>
      <c r="R55" s="11" t="inlineStr">
        <is>
          <t>Сертифікатів</t>
        </is>
      </c>
      <c r="S55" s="11" t="inlineStr">
        <is>
          <t>Авторизацій</t>
        </is>
      </c>
      <c r="T55" s="11" t="inlineStr">
        <is>
          <t>Динаміка</t>
        </is>
      </c>
    </row>
    <row r="56">
      <c r="A56" s="5" t="n">
        <v>1</v>
      </c>
      <c r="B56" t="inlineStr">
        <is>
          <t>19331194</t>
        </is>
      </c>
      <c r="C56" t="inlineStr">
        <is>
          <t>ТОВ "Технології для бізнесу"</t>
        </is>
      </c>
      <c r="D56" s="13" t="n">
        <v>9792379.5</v>
      </c>
      <c r="E56" s="12" t="n">
        <v>0.0825</v>
      </c>
      <c r="F56" s="5" t="n">
        <v>2</v>
      </c>
      <c r="G56" s="5" t="n">
        <v>2</v>
      </c>
      <c r="H56" s="12" t="n">
        <v>1</v>
      </c>
      <c r="I56" s="13" t="n">
        <v>4896189.75</v>
      </c>
      <c r="J56" t="inlineStr"/>
      <c r="K56" s="12" t="n">
        <v>0</v>
      </c>
      <c r="L56" t="inlineStr">
        <is>
          <t>Ноутбук</t>
        </is>
      </c>
      <c r="M56" s="12" t="n">
        <v>0</v>
      </c>
      <c r="N56" s="12" t="n">
        <v>0.08690000000000001</v>
      </c>
      <c r="O56" s="5" t="n">
        <v>1</v>
      </c>
      <c r="P56" s="5" t="n">
        <v>2</v>
      </c>
      <c r="Q56" s="12" t="n">
        <v>0</v>
      </c>
      <c r="R56" s="5" t="n">
        <v>3</v>
      </c>
      <c r="S56" s="5" t="n">
        <v>7</v>
      </c>
      <c r="T56" s="12" t="n"/>
    </row>
    <row r="57">
      <c r="A57" s="5" t="n">
        <v>2</v>
      </c>
      <c r="B57" t="inlineStr">
        <is>
          <t>42647754</t>
        </is>
      </c>
      <c r="C57" t="inlineStr">
        <is>
          <t>ТОВ "ЕМЕНС"</t>
        </is>
      </c>
      <c r="D57" s="13" t="n">
        <v>4116900</v>
      </c>
      <c r="E57" s="12" t="n">
        <v>0.0347</v>
      </c>
      <c r="F57" s="5" t="n">
        <v>1</v>
      </c>
      <c r="G57" s="5" t="n">
        <v>1</v>
      </c>
      <c r="H57" s="12" t="n">
        <v>1</v>
      </c>
      <c r="I57" s="13" t="n">
        <v>4116900</v>
      </c>
      <c r="J57" t="inlineStr">
        <is>
          <t>Intel</t>
        </is>
      </c>
      <c r="K57" s="12" t="n">
        <v>0.4</v>
      </c>
      <c r="L57" t="inlineStr">
        <is>
          <t>Ноутбук</t>
        </is>
      </c>
      <c r="M57" s="12" t="n">
        <v>0</v>
      </c>
      <c r="N57" s="12" t="n">
        <v>0</v>
      </c>
      <c r="O57" s="5" t="n">
        <v>1</v>
      </c>
      <c r="P57" s="5" t="n">
        <v>1</v>
      </c>
      <c r="Q57" s="12" t="n">
        <v>0</v>
      </c>
      <c r="R57" s="5" t="n">
        <v>0</v>
      </c>
      <c r="S57" s="5" t="n">
        <v>0</v>
      </c>
      <c r="T57" s="12" t="n"/>
    </row>
    <row r="58">
      <c r="A58" s="5" t="n">
        <v>4</v>
      </c>
      <c r="B58" t="inlineStr">
        <is>
          <t>45119322</t>
        </is>
      </c>
      <c r="C58" t="inlineStr">
        <is>
          <t>ТОВ «ПОРТАЛ АРЕНА»</t>
        </is>
      </c>
      <c r="D58" s="13" t="n">
        <v>3597812.4</v>
      </c>
      <c r="E58" s="12" t="n">
        <v>0.0303</v>
      </c>
      <c r="F58" s="5" t="n">
        <v>9</v>
      </c>
      <c r="G58" s="5" t="n">
        <v>17</v>
      </c>
      <c r="H58" s="12" t="n">
        <v>0.5294</v>
      </c>
      <c r="I58" s="13" t="n">
        <v>399756.93</v>
      </c>
      <c r="J58" t="inlineStr">
        <is>
          <t>Microsoft</t>
        </is>
      </c>
      <c r="K58" s="12" t="n">
        <v>0.3636</v>
      </c>
      <c r="L58" t="inlineStr">
        <is>
          <t>Ноутбук</t>
        </is>
      </c>
      <c r="M58" s="12" t="n">
        <v>0</v>
      </c>
      <c r="N58" s="12" t="n">
        <v>0.09229999999999999</v>
      </c>
      <c r="O58" s="5" t="n">
        <v>1</v>
      </c>
      <c r="P58" s="5" t="n">
        <v>8</v>
      </c>
      <c r="Q58" s="12" t="n">
        <v>0.1111</v>
      </c>
      <c r="R58" s="5" t="n">
        <v>1</v>
      </c>
      <c r="S58" s="5" t="n">
        <v>2</v>
      </c>
      <c r="T58" s="12" t="n">
        <v>3.54</v>
      </c>
    </row>
    <row r="59">
      <c r="A59" s="5" t="n">
        <v>5</v>
      </c>
      <c r="B59" t="inlineStr">
        <is>
          <t>45701274</t>
        </is>
      </c>
      <c r="C59" t="inlineStr">
        <is>
          <t>ТОВ «ПБГ19»</t>
        </is>
      </c>
      <c r="D59" s="13" t="n">
        <v>3383565.2</v>
      </c>
      <c r="E59" s="12" t="n">
        <v>0.0285</v>
      </c>
      <c r="F59" s="5" t="n">
        <v>5</v>
      </c>
      <c r="G59" s="5" t="n">
        <v>28</v>
      </c>
      <c r="H59" s="12" t="n">
        <v>0.1429</v>
      </c>
      <c r="I59" s="13" t="n">
        <v>676713.04</v>
      </c>
      <c r="J59" t="inlineStr">
        <is>
          <t>Dell</t>
        </is>
      </c>
      <c r="K59" s="12" t="n">
        <v>0.2941</v>
      </c>
      <c r="L59" t="inlineStr">
        <is>
          <t>Ноутбук</t>
        </is>
      </c>
      <c r="M59" s="12" t="n">
        <v>0.2</v>
      </c>
      <c r="N59" s="12" t="n">
        <v>0.0493</v>
      </c>
      <c r="O59" s="5" t="n">
        <v>1</v>
      </c>
      <c r="P59" s="5" t="n">
        <v>5</v>
      </c>
      <c r="Q59" s="12" t="n">
        <v>0</v>
      </c>
      <c r="R59" s="5" t="n">
        <v>16</v>
      </c>
      <c r="S59" s="5" t="n">
        <v>36</v>
      </c>
      <c r="T59" s="12" t="n">
        <v>0.43</v>
      </c>
    </row>
    <row r="60">
      <c r="A60" s="5" t="n">
        <v>6</v>
      </c>
      <c r="B60" t="inlineStr">
        <is>
          <t>2381207253</t>
        </is>
      </c>
      <c r="C60" t="inlineStr">
        <is>
          <t>ФОП ДАВИДЕНКО ПАВЛО АНДРІЙОВИЧ</t>
        </is>
      </c>
      <c r="D60" s="13" t="n">
        <v>2855900</v>
      </c>
      <c r="E60" s="12" t="n">
        <v>0.0241</v>
      </c>
      <c r="F60" s="5" t="n">
        <v>2</v>
      </c>
      <c r="G60" s="5" t="n">
        <v>2</v>
      </c>
      <c r="H60" s="12" t="n">
        <v>1</v>
      </c>
      <c r="I60" s="13" t="n">
        <v>1427950</v>
      </c>
      <c r="J60" t="inlineStr"/>
      <c r="K60" s="12" t="n">
        <v>0</v>
      </c>
      <c r="L60" t="inlineStr">
        <is>
          <t>Багатофункціональний пристрій (БФП)</t>
        </is>
      </c>
      <c r="M60" s="12" t="n">
        <v>0</v>
      </c>
      <c r="N60" s="12" t="n">
        <v>0.001</v>
      </c>
      <c r="O60" s="5" t="n">
        <v>1</v>
      </c>
      <c r="P60" s="5" t="n">
        <v>1</v>
      </c>
      <c r="Q60" s="12" t="n">
        <v>0.5</v>
      </c>
      <c r="R60" s="5" t="n">
        <v>0</v>
      </c>
      <c r="S60" s="5" t="n">
        <v>5</v>
      </c>
      <c r="T60" s="12" t="n"/>
    </row>
    <row r="61">
      <c r="A61" s="5" t="n">
        <v>7</v>
      </c>
      <c r="B61" t="inlineStr">
        <is>
          <t>42036301</t>
        </is>
      </c>
      <c r="C61" t="inlineStr">
        <is>
          <t>ТОВ «ЮДІТРЕЙД»</t>
        </is>
      </c>
      <c r="D61" s="13" t="n">
        <v>2504219.64</v>
      </c>
      <c r="E61" s="12" t="n">
        <v>0.0211</v>
      </c>
      <c r="F61" s="5" t="n">
        <v>10</v>
      </c>
      <c r="G61" s="5" t="n">
        <v>28</v>
      </c>
      <c r="H61" s="12" t="n">
        <v>0.3571</v>
      </c>
      <c r="I61" s="13" t="n">
        <v>250421.96</v>
      </c>
      <c r="J61" t="inlineStr">
        <is>
          <t>Intel</t>
        </is>
      </c>
      <c r="K61" s="12" t="n">
        <v>0.1212</v>
      </c>
      <c r="L61" t="inlineStr">
        <is>
          <t>Ноутбук</t>
        </is>
      </c>
      <c r="M61" s="12" t="n">
        <v>0</v>
      </c>
      <c r="N61" s="12" t="n">
        <v>0.0673</v>
      </c>
      <c r="O61" s="5" t="n">
        <v>1</v>
      </c>
      <c r="P61" s="5" t="n">
        <v>10</v>
      </c>
      <c r="Q61" s="12" t="n">
        <v>0</v>
      </c>
      <c r="R61" s="5" t="n">
        <v>86</v>
      </c>
      <c r="S61" s="5" t="n">
        <v>430</v>
      </c>
      <c r="T61" s="12" t="n">
        <v>1.4014</v>
      </c>
    </row>
    <row r="62">
      <c r="A62" s="5" t="n">
        <v>8</v>
      </c>
      <c r="B62" t="inlineStr">
        <is>
          <t>42289645</t>
        </is>
      </c>
      <c r="C62" t="inlineStr">
        <is>
          <t>ТОВ "ТІНОС-Д"</t>
        </is>
      </c>
      <c r="D62" s="13" t="n">
        <v>2232222</v>
      </c>
      <c r="E62" s="12" t="n">
        <v>0.0188</v>
      </c>
      <c r="F62" s="5" t="n">
        <v>13</v>
      </c>
      <c r="G62" s="5" t="n">
        <v>62</v>
      </c>
      <c r="H62" s="12" t="n">
        <v>0.1935</v>
      </c>
      <c r="I62" s="13" t="n">
        <v>171709.38</v>
      </c>
      <c r="J62" t="inlineStr">
        <is>
          <t>Intel</t>
        </is>
      </c>
      <c r="K62" s="12" t="n">
        <v>0.375</v>
      </c>
      <c r="L62" t="inlineStr">
        <is>
          <t>Ноутбук</t>
        </is>
      </c>
      <c r="M62" s="12" t="n">
        <v>0.0769</v>
      </c>
      <c r="N62" s="12" t="n">
        <v>0.0034</v>
      </c>
      <c r="O62" s="5" t="n">
        <v>1</v>
      </c>
      <c r="P62" s="5" t="n">
        <v>7</v>
      </c>
      <c r="Q62" s="12" t="n">
        <v>0.4615</v>
      </c>
      <c r="R62" s="5" t="n">
        <v>0</v>
      </c>
      <c r="S62" s="5" t="n">
        <v>0</v>
      </c>
      <c r="T62" s="12" t="n">
        <v>-0.3643</v>
      </c>
    </row>
    <row r="63">
      <c r="A63" s="5" t="n">
        <v>9</v>
      </c>
      <c r="B63" t="inlineStr">
        <is>
          <t>45884059</t>
        </is>
      </c>
      <c r="C63" t="inlineStr">
        <is>
          <t>ТОВ "ТЕХНО ГАЛАКТИКА"</t>
        </is>
      </c>
      <c r="D63" s="13" t="n">
        <v>2199480</v>
      </c>
      <c r="E63" s="12" t="n">
        <v>0.0185</v>
      </c>
      <c r="F63" s="5" t="n">
        <v>2</v>
      </c>
      <c r="G63" s="5" t="n">
        <v>2</v>
      </c>
      <c r="H63" s="12" t="n">
        <v>1</v>
      </c>
      <c r="I63" s="13" t="n">
        <v>1099740</v>
      </c>
      <c r="J63" t="inlineStr"/>
      <c r="K63" s="12" t="n">
        <v>0</v>
      </c>
      <c r="L63" t="inlineStr">
        <is>
          <t>Персональний комп'ютер</t>
        </is>
      </c>
      <c r="M63" s="12" t="n">
        <v>0</v>
      </c>
      <c r="N63" s="12" t="n"/>
      <c r="O63" s="5" t="n">
        <v>1</v>
      </c>
      <c r="P63" s="5" t="n">
        <v>1</v>
      </c>
      <c r="Q63" s="12" t="n">
        <v>0.5</v>
      </c>
      <c r="R63" s="5" t="n">
        <v>4</v>
      </c>
      <c r="S63" s="5" t="n">
        <v>4</v>
      </c>
      <c r="T63" s="12" t="n"/>
    </row>
    <row r="64">
      <c r="A64" s="5" t="n">
        <v>10</v>
      </c>
      <c r="B64" t="inlineStr">
        <is>
          <t>40955533</t>
        </is>
      </c>
      <c r="C64" t="inlineStr">
        <is>
          <t>ТОВ "ДІСТРІ ІНВАЙТ ІТ"</t>
        </is>
      </c>
      <c r="D64" s="13" t="n">
        <v>2180234.28</v>
      </c>
      <c r="E64" s="12" t="n">
        <v>0.0184</v>
      </c>
      <c r="F64" s="5" t="n">
        <v>11</v>
      </c>
      <c r="G64" s="5" t="n">
        <v>12</v>
      </c>
      <c r="H64" s="12" t="n">
        <v>0.6667</v>
      </c>
      <c r="I64" s="13" t="n">
        <v>198203.12</v>
      </c>
      <c r="J64" t="inlineStr">
        <is>
          <t>Intel</t>
        </is>
      </c>
      <c r="K64" s="12" t="n">
        <v>0.3571</v>
      </c>
      <c r="L64" t="inlineStr">
        <is>
          <t>Персональний комп'ютер</t>
        </is>
      </c>
      <c r="M64" s="12" t="n">
        <v>0.2727</v>
      </c>
      <c r="N64" s="12" t="n">
        <v>0.0059</v>
      </c>
      <c r="O64" s="5" t="n">
        <v>1</v>
      </c>
      <c r="P64" s="5" t="n">
        <v>7</v>
      </c>
      <c r="Q64" s="12" t="n">
        <v>0.3636</v>
      </c>
      <c r="R64" s="5" t="n">
        <v>37</v>
      </c>
      <c r="S64" s="5" t="n">
        <v>7</v>
      </c>
      <c r="T64" s="12" t="n">
        <v>-0.6947</v>
      </c>
    </row>
    <row r="65">
      <c r="A65" s="5" t="n">
        <v>11</v>
      </c>
      <c r="B65" t="inlineStr">
        <is>
          <t>35893554</t>
        </is>
      </c>
      <c r="C65" t="inlineStr">
        <is>
          <t>ТОВ "ПАРСЕРС"</t>
        </is>
      </c>
      <c r="D65" s="13" t="n">
        <v>2175077.85</v>
      </c>
      <c r="E65" s="12" t="n">
        <v>0.0183</v>
      </c>
      <c r="F65" s="5" t="n">
        <v>7</v>
      </c>
      <c r="G65" s="5" t="n">
        <v>4</v>
      </c>
      <c r="H65" s="12" t="n">
        <v>0.75</v>
      </c>
      <c r="I65" s="13" t="n">
        <v>310725.41</v>
      </c>
      <c r="J65" t="inlineStr">
        <is>
          <t>NVIDIA</t>
        </is>
      </c>
      <c r="K65" s="12" t="n">
        <v>0.125</v>
      </c>
      <c r="L65" t="inlineStr">
        <is>
          <t>Ноутбук</t>
        </is>
      </c>
      <c r="M65" s="12" t="n">
        <v>0.5714</v>
      </c>
      <c r="N65" s="12" t="n">
        <v>0</v>
      </c>
      <c r="O65" s="5" t="n">
        <v>1</v>
      </c>
      <c r="P65" s="5" t="n">
        <v>5</v>
      </c>
      <c r="Q65" s="12" t="n">
        <v>0.2857</v>
      </c>
      <c r="R65" s="5" t="n">
        <v>0</v>
      </c>
      <c r="S65" s="5" t="n">
        <v>0</v>
      </c>
      <c r="T65" s="12" t="n">
        <v>-0.6401</v>
      </c>
    </row>
    <row r="66">
      <c r="A66" s="5" t="n">
        <v>12</v>
      </c>
      <c r="B66" t="inlineStr">
        <is>
          <t>40175293</t>
        </is>
      </c>
      <c r="C66" t="inlineStr">
        <is>
          <t>ТОВ "СИСТЕМАТИКА УКРАЇНА"</t>
        </is>
      </c>
      <c r="D66" s="13" t="n">
        <v>2154480</v>
      </c>
      <c r="E66" s="12" t="n">
        <v>0.0182</v>
      </c>
      <c r="F66" s="5" t="n">
        <v>12</v>
      </c>
      <c r="G66" s="5" t="n">
        <v>46</v>
      </c>
      <c r="H66" s="12" t="n">
        <v>0.2391</v>
      </c>
      <c r="I66" s="13" t="n">
        <v>179540</v>
      </c>
      <c r="J66" t="inlineStr">
        <is>
          <t>Philips</t>
        </is>
      </c>
      <c r="K66" s="12" t="n">
        <v>0.25</v>
      </c>
      <c r="L66" t="inlineStr">
        <is>
          <t>Ноутбук</t>
        </is>
      </c>
      <c r="M66" s="12" t="n">
        <v>0.0833</v>
      </c>
      <c r="N66" s="12" t="n">
        <v>0.0261</v>
      </c>
      <c r="O66" s="5" t="n">
        <v>1</v>
      </c>
      <c r="P66" s="5" t="n">
        <v>7</v>
      </c>
      <c r="Q66" s="12" t="n">
        <v>0.4167</v>
      </c>
      <c r="R66" s="5" t="n">
        <v>14</v>
      </c>
      <c r="S66" s="5" t="n">
        <v>21</v>
      </c>
      <c r="T66" s="12" t="n">
        <v>0.0886</v>
      </c>
    </row>
    <row r="67">
      <c r="A67" s="5" t="n">
        <v>13</v>
      </c>
      <c r="B67" t="inlineStr">
        <is>
          <t>21337459</t>
        </is>
      </c>
      <c r="C67" t="inlineStr">
        <is>
          <t>ТОВ "КОРВЕТ"</t>
        </is>
      </c>
      <c r="D67" s="13" t="n">
        <v>2059501.99</v>
      </c>
      <c r="E67" s="12" t="n">
        <v>0.0174</v>
      </c>
      <c r="F67" s="5" t="n">
        <v>20</v>
      </c>
      <c r="G67" s="5" t="n">
        <v>85</v>
      </c>
      <c r="H67" s="12" t="n">
        <v>0.2</v>
      </c>
      <c r="I67" s="13" t="n">
        <v>102975.1</v>
      </c>
      <c r="J67" t="inlineStr">
        <is>
          <t>GOODRAM</t>
        </is>
      </c>
      <c r="K67" s="12" t="n">
        <v>1</v>
      </c>
      <c r="L67" t="inlineStr">
        <is>
          <t>Багатофункціональний пристрій (БФП)</t>
        </is>
      </c>
      <c r="M67" s="12" t="n">
        <v>0.15</v>
      </c>
      <c r="N67" s="12" t="n">
        <v>0.0101</v>
      </c>
      <c r="O67" s="5" t="n">
        <v>1</v>
      </c>
      <c r="P67" s="5" t="n">
        <v>12</v>
      </c>
      <c r="Q67" s="12" t="n">
        <v>0.4</v>
      </c>
      <c r="R67" s="5" t="n">
        <v>23</v>
      </c>
      <c r="S67" s="5" t="n">
        <v>47</v>
      </c>
      <c r="T67" s="12" t="n">
        <v>-0.8092</v>
      </c>
    </row>
    <row r="68">
      <c r="A68" s="5" t="n">
        <v>14</v>
      </c>
      <c r="B68" t="inlineStr">
        <is>
          <t>42216158</t>
        </is>
      </c>
      <c r="C68" t="inlineStr">
        <is>
          <t>ТОВ "ІНТЕРАКТИВНІ СИСТЕМИ НАВЧАННЯ"</t>
        </is>
      </c>
      <c r="D68" s="13" t="n">
        <v>1861920</v>
      </c>
      <c r="E68" s="12" t="n">
        <v>0.0157</v>
      </c>
      <c r="F68" s="5" t="n">
        <v>1</v>
      </c>
      <c r="G68" s="5" t="n">
        <v>1</v>
      </c>
      <c r="H68" s="12" t="n">
        <v>1</v>
      </c>
      <c r="I68" s="13" t="n">
        <v>1861920</v>
      </c>
      <c r="J68" t="inlineStr"/>
      <c r="K68" s="12" t="n">
        <v>0</v>
      </c>
      <c r="L68" t="inlineStr">
        <is>
          <t>Персональний комп'ютер</t>
        </is>
      </c>
      <c r="M68" s="12" t="n">
        <v>0</v>
      </c>
      <c r="N68" s="12" t="n">
        <v>0.052</v>
      </c>
      <c r="O68" s="5" t="n">
        <v>1</v>
      </c>
      <c r="P68" s="5" t="n">
        <v>1</v>
      </c>
      <c r="Q68" s="12" t="n">
        <v>0</v>
      </c>
      <c r="R68" s="5" t="n">
        <v>5</v>
      </c>
      <c r="S68" s="5" t="n">
        <v>0</v>
      </c>
      <c r="T68" s="12" t="n"/>
    </row>
    <row r="69">
      <c r="A69" s="5" t="n">
        <v>15</v>
      </c>
      <c r="B69" t="inlineStr">
        <is>
          <t>2235409477</t>
        </is>
      </c>
      <c r="C69" t="inlineStr">
        <is>
          <t>ФОП ІВАНЧЕНКО МИКОЛА ІВАНОВИЧ</t>
        </is>
      </c>
      <c r="D69" s="13" t="n">
        <v>1856200</v>
      </c>
      <c r="E69" s="12" t="n">
        <v>0.0156</v>
      </c>
      <c r="F69" s="5" t="n">
        <v>3</v>
      </c>
      <c r="G69" s="5" t="n">
        <v>6</v>
      </c>
      <c r="H69" s="12" t="n">
        <v>0.5</v>
      </c>
      <c r="I69" s="13" t="n">
        <v>618733.33</v>
      </c>
      <c r="J69" t="inlineStr"/>
      <c r="K69" s="12" t="n">
        <v>0</v>
      </c>
      <c r="L69" t="inlineStr">
        <is>
          <t>Багатофункціональний пристрій (БФП)</t>
        </is>
      </c>
      <c r="M69" s="12" t="n">
        <v>0</v>
      </c>
      <c r="N69" s="12" t="n">
        <v>0.0143</v>
      </c>
      <c r="O69" s="5" t="n">
        <v>1</v>
      </c>
      <c r="P69" s="5" t="n">
        <v>3</v>
      </c>
      <c r="Q69" s="12" t="n">
        <v>0</v>
      </c>
      <c r="R69" s="5" t="n">
        <v>2</v>
      </c>
      <c r="S69" s="5" t="n">
        <v>3</v>
      </c>
      <c r="T69" s="12" t="n"/>
    </row>
    <row r="70">
      <c r="A70" s="5" t="n">
        <v>16</v>
      </c>
      <c r="B70" t="inlineStr">
        <is>
          <t>30126040</t>
        </is>
      </c>
      <c r="C70" t="inlineStr">
        <is>
          <t>ТОВ "САНТАРЕКС"</t>
        </is>
      </c>
      <c r="D70" s="13" t="n">
        <v>1704807.32</v>
      </c>
      <c r="E70" s="12" t="n">
        <v>0.0144</v>
      </c>
      <c r="F70" s="5" t="n">
        <v>60</v>
      </c>
      <c r="G70" s="5" t="n">
        <v>128</v>
      </c>
      <c r="H70" s="12" t="n">
        <v>0.4609</v>
      </c>
      <c r="I70" s="13" t="n">
        <v>28413.46</v>
      </c>
      <c r="J70" t="inlineStr">
        <is>
          <t>Canon</t>
        </is>
      </c>
      <c r="K70" s="12" t="n">
        <v>1</v>
      </c>
      <c r="L70" t="inlineStr">
        <is>
          <t>Багатофункціональний пристрій (БФП)</t>
        </is>
      </c>
      <c r="M70" s="12" t="n">
        <v>0.0167</v>
      </c>
      <c r="N70" s="12" t="n">
        <v>0.0948</v>
      </c>
      <c r="O70" s="5" t="n">
        <v>1</v>
      </c>
      <c r="P70" s="5" t="n">
        <v>30</v>
      </c>
      <c r="Q70" s="12" t="n">
        <v>0.5</v>
      </c>
      <c r="R70" s="5" t="n">
        <v>0</v>
      </c>
      <c r="S70" s="5" t="n">
        <v>0</v>
      </c>
      <c r="T70" s="12" t="n">
        <v>-0.2267</v>
      </c>
    </row>
    <row r="71">
      <c r="A71" s="5" t="n">
        <v>17</v>
      </c>
      <c r="B71" t="inlineStr">
        <is>
          <t>40733799</t>
        </is>
      </c>
      <c r="C71" t="inlineStr">
        <is>
          <t>ТОВ "АРТЛАЙН ІНТЕГРАЦІЯ"</t>
        </is>
      </c>
      <c r="D71" s="13" t="n">
        <v>1563391.5</v>
      </c>
      <c r="E71" s="12" t="n">
        <v>0.0132</v>
      </c>
      <c r="F71" s="5" t="n">
        <v>15</v>
      </c>
      <c r="G71" s="5" t="n">
        <v>21</v>
      </c>
      <c r="H71" s="12" t="n">
        <v>0.6667</v>
      </c>
      <c r="I71" s="13" t="n">
        <v>104226.1</v>
      </c>
      <c r="J71" t="inlineStr">
        <is>
          <t>Artline</t>
        </is>
      </c>
      <c r="K71" s="12" t="n">
        <v>0.6667</v>
      </c>
      <c r="L71" t="inlineStr">
        <is>
          <t>Моноблок</t>
        </is>
      </c>
      <c r="M71" s="12" t="n">
        <v>0.0667</v>
      </c>
      <c r="N71" s="12" t="n">
        <v>0.0465</v>
      </c>
      <c r="O71" s="5" t="n">
        <v>1</v>
      </c>
      <c r="P71" s="5" t="n">
        <v>6</v>
      </c>
      <c r="Q71" s="12" t="n">
        <v>0.6</v>
      </c>
      <c r="R71" s="5" t="n">
        <v>22</v>
      </c>
      <c r="S71" s="5" t="n">
        <v>15</v>
      </c>
      <c r="T71" s="12" t="n">
        <v>1.2559</v>
      </c>
    </row>
    <row r="72">
      <c r="A72" s="5" t="n">
        <v>18</v>
      </c>
      <c r="B72" t="inlineStr">
        <is>
          <t>37570093</t>
        </is>
      </c>
      <c r="C72" t="inlineStr">
        <is>
          <t>ТОВ "СМАРТ ТЕХНОЛОГІЇ В ОСВІТІ"</t>
        </is>
      </c>
      <c r="D72" s="13" t="n">
        <v>1418350</v>
      </c>
      <c r="E72" s="12" t="n">
        <v>0.0119</v>
      </c>
      <c r="F72" s="5" t="n">
        <v>2</v>
      </c>
      <c r="G72" s="5" t="n">
        <v>2</v>
      </c>
      <c r="H72" s="12" t="n">
        <v>1</v>
      </c>
      <c r="I72" s="13" t="n">
        <v>709175</v>
      </c>
      <c r="J72" t="inlineStr"/>
      <c r="K72" s="12" t="n">
        <v>0</v>
      </c>
      <c r="L72" t="inlineStr">
        <is>
          <t>Персональний комп'ютер</t>
        </is>
      </c>
      <c r="M72" s="12" t="n">
        <v>0</v>
      </c>
      <c r="N72" s="12" t="n">
        <v>0.0221</v>
      </c>
      <c r="O72" s="5" t="n">
        <v>1</v>
      </c>
      <c r="P72" s="5" t="n">
        <v>2</v>
      </c>
      <c r="Q72" s="12" t="n">
        <v>0</v>
      </c>
      <c r="R72" s="5" t="n">
        <v>8</v>
      </c>
      <c r="S72" s="5" t="n">
        <v>3</v>
      </c>
      <c r="T72" s="12" t="n"/>
    </row>
    <row r="73">
      <c r="A73" s="5" t="n">
        <v>19</v>
      </c>
      <c r="B73" t="inlineStr">
        <is>
          <t>1620205276</t>
        </is>
      </c>
      <c r="C73" t="inlineStr">
        <is>
          <t>ФОП "ВАЙДА ГАВРИЛО ІВАНОВИЧ"</t>
        </is>
      </c>
      <c r="D73" s="13" t="n">
        <v>1399000</v>
      </c>
      <c r="E73" s="12" t="n">
        <v>0.0118</v>
      </c>
      <c r="F73" s="5" t="n">
        <v>2</v>
      </c>
      <c r="G73" s="5" t="n">
        <v>2</v>
      </c>
      <c r="H73" s="12" t="n">
        <v>1</v>
      </c>
      <c r="I73" s="13" t="n">
        <v>699500</v>
      </c>
      <c r="J73" t="inlineStr"/>
      <c r="K73" s="12" t="n">
        <v>0</v>
      </c>
      <c r="L73" t="inlineStr">
        <is>
          <t>Принтер</t>
        </is>
      </c>
      <c r="M73" s="12" t="n">
        <v>0</v>
      </c>
      <c r="N73" s="12" t="n">
        <v>0.0517</v>
      </c>
      <c r="O73" s="5" t="n">
        <v>1</v>
      </c>
      <c r="P73" s="5" t="n">
        <v>1</v>
      </c>
      <c r="Q73" s="12" t="n">
        <v>0.5</v>
      </c>
      <c r="R73" s="5" t="n">
        <v>0</v>
      </c>
      <c r="S73" s="5" t="n">
        <v>8</v>
      </c>
      <c r="T73" s="12" t="n"/>
    </row>
    <row r="74">
      <c r="A74" s="5" t="n">
        <v>20</v>
      </c>
      <c r="B74" t="inlineStr">
        <is>
          <t>2145216995</t>
        </is>
      </c>
      <c r="C74" t="inlineStr">
        <is>
          <t>ФОП Цяк Валерій Михайлович</t>
        </is>
      </c>
      <c r="D74" s="13" t="n">
        <v>1396374</v>
      </c>
      <c r="E74" s="12" t="n">
        <v>0.0118</v>
      </c>
      <c r="F74" s="5" t="n">
        <v>54</v>
      </c>
      <c r="G74" s="5" t="n">
        <v>0</v>
      </c>
      <c r="H74" s="12" t="n"/>
      <c r="I74" s="13" t="n">
        <v>25858.78</v>
      </c>
      <c r="J74" t="inlineStr">
        <is>
          <t>ASUS</t>
        </is>
      </c>
      <c r="K74" s="12" t="n">
        <v>0.2778</v>
      </c>
      <c r="L74" t="inlineStr">
        <is>
          <t>Ноутбук</t>
        </is>
      </c>
      <c r="M74" s="12" t="n">
        <v>1</v>
      </c>
      <c r="N74" s="12" t="n">
        <v>0</v>
      </c>
      <c r="O74" s="5" t="n">
        <v>1</v>
      </c>
      <c r="P74" s="5" t="n">
        <v>18</v>
      </c>
      <c r="Q74" s="12" t="n">
        <v>0.6667</v>
      </c>
      <c r="R74" s="5" t="n">
        <v>0</v>
      </c>
      <c r="S74" s="5" t="n">
        <v>0</v>
      </c>
      <c r="T74" s="12" t="n">
        <v>0.8894</v>
      </c>
    </row>
    <row r="75">
      <c r="A75" s="5" t="n">
        <v>21</v>
      </c>
      <c r="B75" t="inlineStr">
        <is>
          <t>42831727</t>
        </is>
      </c>
      <c r="C75" t="inlineStr">
        <is>
          <t>ТОВ "ДИДАКТИКЛАБ"</t>
        </is>
      </c>
      <c r="D75" s="13" t="n">
        <v>1395166.66</v>
      </c>
      <c r="E75" s="12" t="n">
        <v>0.0118</v>
      </c>
      <c r="F75" s="5" t="n">
        <v>9</v>
      </c>
      <c r="G75" s="5" t="n">
        <v>4</v>
      </c>
      <c r="H75" s="12" t="n">
        <v>1</v>
      </c>
      <c r="I75" s="13" t="n">
        <v>155018.52</v>
      </c>
      <c r="J75" t="inlineStr">
        <is>
          <t>Impression</t>
        </is>
      </c>
      <c r="K75" s="12" t="n">
        <v>0.5714</v>
      </c>
      <c r="L75" t="inlineStr">
        <is>
          <t>Ноутбук</t>
        </is>
      </c>
      <c r="M75" s="12" t="n">
        <v>0.5556</v>
      </c>
      <c r="N75" s="12" t="n">
        <v>0</v>
      </c>
      <c r="O75" s="5" t="n">
        <v>1</v>
      </c>
      <c r="P75" s="5" t="n">
        <v>9</v>
      </c>
      <c r="Q75" s="12" t="n">
        <v>0</v>
      </c>
      <c r="R75" s="5" t="n">
        <v>0</v>
      </c>
      <c r="S75" s="5" t="n">
        <v>0</v>
      </c>
      <c r="T75" s="12" t="n">
        <v>-0.2669</v>
      </c>
    </row>
    <row r="76">
      <c r="A76" s="5" t="n">
        <v>33</v>
      </c>
      <c r="B76" t="inlineStr">
        <is>
          <t>42893689</t>
        </is>
      </c>
      <c r="C76" t="inlineStr">
        <is>
          <t>ТОВ "НАВІГАТОР СИСТЕМ"</t>
        </is>
      </c>
      <c r="D76" s="13" t="n">
        <v>855573</v>
      </c>
      <c r="E76" s="12" t="n">
        <v>0.0072</v>
      </c>
      <c r="F76" s="5" t="n">
        <v>6</v>
      </c>
      <c r="G76" s="5" t="n">
        <v>6</v>
      </c>
      <c r="H76" s="12" t="n">
        <v>1</v>
      </c>
      <c r="I76" s="13" t="n">
        <v>142595.5</v>
      </c>
      <c r="J76" t="inlineStr"/>
      <c r="K76" s="12" t="n">
        <v>0</v>
      </c>
      <c r="L76" t="inlineStr">
        <is>
          <t>Персональний комп'ютер</t>
        </is>
      </c>
      <c r="M76" s="12" t="n">
        <v>0</v>
      </c>
      <c r="N76" s="12" t="n">
        <v>0.0391</v>
      </c>
      <c r="O76" s="5" t="n">
        <v>1</v>
      </c>
      <c r="P76" s="5" t="n">
        <v>4</v>
      </c>
      <c r="Q76" s="12" t="n">
        <v>0.3333</v>
      </c>
      <c r="R76" s="5" t="n">
        <v>7</v>
      </c>
      <c r="S76" s="5" t="n">
        <v>1</v>
      </c>
      <c r="T76" s="12" t="n">
        <v>1.6886</v>
      </c>
    </row>
    <row r="77">
      <c r="A77" s="5" t="n">
        <v>169</v>
      </c>
      <c r="B77" t="inlineStr">
        <is>
          <t>24083083</t>
        </is>
      </c>
      <c r="C77" t="inlineStr">
        <is>
          <t>ТОВ "КОМЕЛ"</t>
        </is>
      </c>
      <c r="D77" s="13" t="n">
        <v>115135.14</v>
      </c>
      <c r="E77" s="12" t="n">
        <v>0.001</v>
      </c>
      <c r="F77" s="5" t="n">
        <v>3</v>
      </c>
      <c r="G77" s="5" t="n">
        <v>2</v>
      </c>
      <c r="H77" s="12" t="n">
        <v>0</v>
      </c>
      <c r="I77" s="13" t="n">
        <v>38378.38</v>
      </c>
      <c r="J77" t="inlineStr">
        <is>
          <t>Canon</t>
        </is>
      </c>
      <c r="K77" s="12" t="n">
        <v>0.3333</v>
      </c>
      <c r="L77" t="inlineStr">
        <is>
          <t>Багатофункціональний пристрій (БФП)</t>
        </is>
      </c>
      <c r="M77" s="12" t="n">
        <v>1</v>
      </c>
      <c r="N77" s="12" t="n">
        <v>0</v>
      </c>
      <c r="O77" s="5" t="n">
        <v>1</v>
      </c>
      <c r="P77" s="5" t="n">
        <v>3</v>
      </c>
      <c r="Q77" s="12" t="n">
        <v>0</v>
      </c>
      <c r="R77" s="5" t="n">
        <v>0</v>
      </c>
      <c r="S77" s="5" t="n">
        <v>0</v>
      </c>
      <c r="T77" s="12" t="n"/>
    </row>
    <row r="78">
      <c r="A78" s="5" t="n">
        <v>26</v>
      </c>
      <c r="B78" t="inlineStr">
        <is>
          <t>43120417</t>
        </is>
      </c>
      <c r="C78" t="inlineStr">
        <is>
          <t>ТОВ "ПАВЕРТРЕЙД"</t>
        </is>
      </c>
      <c r="D78" s="13" t="n">
        <v>1100188.2</v>
      </c>
      <c r="E78" s="12" t="n">
        <v>0.009299999999999999</v>
      </c>
      <c r="F78" s="5" t="n">
        <v>16</v>
      </c>
      <c r="G78" s="5" t="n">
        <v>130</v>
      </c>
      <c r="H78" s="12" t="n">
        <v>0.08459999999999999</v>
      </c>
      <c r="I78" s="13" t="n">
        <v>68761.75999999999</v>
      </c>
      <c r="J78" t="inlineStr">
        <is>
          <t>Intel</t>
        </is>
      </c>
      <c r="K78" s="12" t="n">
        <v>0.5</v>
      </c>
      <c r="L78" t="inlineStr">
        <is>
          <t>Багатофункціональний пристрій (БФП)</t>
        </is>
      </c>
      <c r="M78" s="12" t="n">
        <v>0.3125</v>
      </c>
      <c r="N78" s="12" t="n">
        <v>0.0193</v>
      </c>
      <c r="O78" s="5" t="n">
        <v>1</v>
      </c>
      <c r="P78" s="5" t="n">
        <v>11</v>
      </c>
      <c r="Q78" s="12" t="n">
        <v>0.3125</v>
      </c>
      <c r="R78" s="5" t="n">
        <v>0</v>
      </c>
      <c r="S78" s="5" t="n">
        <v>0</v>
      </c>
      <c r="T78" s="12" t="n">
        <v>-0.0128</v>
      </c>
    </row>
    <row r="79">
      <c r="A79" s="5" t="n">
        <v>32</v>
      </c>
      <c r="B79" t="inlineStr">
        <is>
          <t>45596933</t>
        </is>
      </c>
      <c r="C79" t="inlineStr">
        <is>
          <t>ТОВ "КОМПАКОМ"</t>
        </is>
      </c>
      <c r="D79" s="13" t="n">
        <v>946700</v>
      </c>
      <c r="E79" s="12" t="n">
        <v>0.008</v>
      </c>
      <c r="F79" s="5" t="n">
        <v>9</v>
      </c>
      <c r="G79" s="5" t="n">
        <v>83</v>
      </c>
      <c r="H79" s="12" t="n">
        <v>0.0964</v>
      </c>
      <c r="I79" s="13" t="n">
        <v>105188.89</v>
      </c>
      <c r="J79" t="inlineStr">
        <is>
          <t>Intel</t>
        </is>
      </c>
      <c r="K79" s="12" t="n">
        <v>0.2692</v>
      </c>
      <c r="L79" t="inlineStr">
        <is>
          <t>Ноутбук</t>
        </is>
      </c>
      <c r="M79" s="12" t="n">
        <v>0</v>
      </c>
      <c r="N79" s="12" t="n">
        <v>0.05</v>
      </c>
      <c r="O79" s="5" t="n">
        <v>1</v>
      </c>
      <c r="P79" s="5" t="n">
        <v>7</v>
      </c>
      <c r="Q79" s="12" t="n">
        <v>0.2222</v>
      </c>
      <c r="R79" s="5" t="n">
        <v>16</v>
      </c>
      <c r="S79" s="5" t="n">
        <v>18</v>
      </c>
      <c r="T79" s="12" t="n">
        <v>2.2895</v>
      </c>
    </row>
    <row r="80">
      <c r="A80" s="5" t="n">
        <v>54</v>
      </c>
      <c r="B80" t="inlineStr">
        <is>
          <t>2850105825</t>
        </is>
      </c>
      <c r="C80" t="inlineStr">
        <is>
          <t>ФОП "Гріпіч Тетяна Борисівна"</t>
        </is>
      </c>
      <c r="D80" s="13" t="n">
        <v>486040</v>
      </c>
      <c r="E80" s="12" t="n">
        <v>0.0041</v>
      </c>
      <c r="F80" s="5" t="n">
        <v>11</v>
      </c>
      <c r="G80" s="5" t="n">
        <v>49</v>
      </c>
      <c r="H80" s="12" t="n">
        <v>0.2245</v>
      </c>
      <c r="I80" s="13" t="n">
        <v>44185.45</v>
      </c>
      <c r="J80" t="inlineStr">
        <is>
          <t>Intel</t>
        </is>
      </c>
      <c r="K80" s="12" t="n">
        <v>1</v>
      </c>
      <c r="L80" t="inlineStr">
        <is>
          <t>Багатофункціональний пристрій (БФП)</t>
        </is>
      </c>
      <c r="M80" s="12" t="n">
        <v>0</v>
      </c>
      <c r="N80" s="12" t="n">
        <v>0.0636</v>
      </c>
      <c r="O80" s="5" t="n">
        <v>1</v>
      </c>
      <c r="P80" s="5" t="n">
        <v>8</v>
      </c>
      <c r="Q80" s="12" t="n">
        <v>0.2727</v>
      </c>
      <c r="R80" s="5" t="n">
        <v>0</v>
      </c>
      <c r="S80" s="5" t="n">
        <v>0</v>
      </c>
      <c r="T80" s="12" t="n">
        <v>-0.5014999999999999</v>
      </c>
    </row>
    <row r="81">
      <c r="A81" s="5" t="inlineStr">
        <is>
          <t>—</t>
        </is>
      </c>
      <c r="B81" t="inlineStr">
        <is>
          <t>2874302850</t>
        </is>
      </c>
      <c r="C81" t="inlineStr">
        <is>
          <t>ФОП "СРИВКІН СЕРГІЙ БОРИСОВИЧ"</t>
        </is>
      </c>
      <c r="D81" s="13" t="n">
        <v>0</v>
      </c>
      <c r="E81" s="12" t="n">
        <v>0</v>
      </c>
      <c r="F81" s="5" t="n">
        <v>0</v>
      </c>
      <c r="G81" s="5" t="n">
        <v>44</v>
      </c>
      <c r="H81" s="12" t="n">
        <v>0</v>
      </c>
      <c r="I81" s="13" t="n">
        <v>0</v>
      </c>
      <c r="J81" t="inlineStr">
        <is>
          <t>Intel</t>
        </is>
      </c>
      <c r="K81" s="12" t="n">
        <v>0.3913</v>
      </c>
      <c r="L81" t="inlineStr">
        <is>
          <t>Ноутбук</t>
        </is>
      </c>
      <c r="M81" s="12" t="n">
        <v>0</v>
      </c>
      <c r="N81" s="12" t="n"/>
      <c r="O81" s="5" t="n">
        <v>0</v>
      </c>
      <c r="P81" s="5" t="n">
        <v>0</v>
      </c>
      <c r="Q81" s="12" t="n">
        <v>0</v>
      </c>
      <c r="R81" s="5" t="n">
        <v>0</v>
      </c>
      <c r="S81" s="5" t="n">
        <v>0</v>
      </c>
      <c r="T81" s="12" t="n"/>
    </row>
    <row r="82">
      <c r="A82" s="5" t="n">
        <v>155</v>
      </c>
      <c r="B82" t="inlineStr">
        <is>
          <t>3395906995</t>
        </is>
      </c>
      <c r="C82" t="inlineStr">
        <is>
          <t>ФОП СІНЬКЕВИЧ ОЛЕКСАНДР АНАТОЛІЙОВИЧ</t>
        </is>
      </c>
      <c r="D82" s="13" t="n">
        <v>123600</v>
      </c>
      <c r="E82" s="12" t="n">
        <v>0.001</v>
      </c>
      <c r="F82" s="5" t="n">
        <v>5</v>
      </c>
      <c r="G82" s="5" t="n">
        <v>39</v>
      </c>
      <c r="H82" s="12" t="n">
        <v>0.1282</v>
      </c>
      <c r="I82" s="13" t="n">
        <v>24720</v>
      </c>
      <c r="J82" t="inlineStr"/>
      <c r="K82" s="12" t="n">
        <v>0</v>
      </c>
      <c r="L82" t="inlineStr">
        <is>
          <t>Багатофункціональний пристрій (БФП)</t>
        </is>
      </c>
      <c r="M82" s="12" t="n">
        <v>0</v>
      </c>
      <c r="N82" s="12" t="n">
        <v>0.0905</v>
      </c>
      <c r="O82" s="5" t="n">
        <v>1</v>
      </c>
      <c r="P82" s="5" t="n">
        <v>5</v>
      </c>
      <c r="Q82" s="12" t="n">
        <v>0</v>
      </c>
      <c r="R82" s="5" t="n">
        <v>0</v>
      </c>
      <c r="S82" s="5" t="n">
        <v>0</v>
      </c>
      <c r="T82" s="12" t="n">
        <v>0.2974</v>
      </c>
    </row>
    <row r="83">
      <c r="A83" s="5" t="n">
        <v>125</v>
      </c>
      <c r="B83" t="inlineStr">
        <is>
          <t>32490244</t>
        </is>
      </c>
      <c r="C83" t="inlineStr">
        <is>
          <t>ТОВ "Епіцентр К"</t>
        </is>
      </c>
      <c r="D83" s="13" t="n">
        <v>202218.12</v>
      </c>
      <c r="E83" s="12" t="n">
        <v>0.0017</v>
      </c>
      <c r="F83" s="5" t="n">
        <v>7</v>
      </c>
      <c r="G83" s="5" t="n">
        <v>38</v>
      </c>
      <c r="H83" s="12" t="n">
        <v>0.1316</v>
      </c>
      <c r="I83" s="13" t="n">
        <v>28888.3</v>
      </c>
      <c r="J83" t="inlineStr">
        <is>
          <t>Epson</t>
        </is>
      </c>
      <c r="K83" s="12" t="n">
        <v>1</v>
      </c>
      <c r="L83" t="inlineStr">
        <is>
          <t>Багатофункціональний пристрій (БФП)</t>
        </is>
      </c>
      <c r="M83" s="12" t="n">
        <v>0.2857</v>
      </c>
      <c r="N83" s="12" t="n">
        <v>0.0813</v>
      </c>
      <c r="O83" s="5" t="n">
        <v>1</v>
      </c>
      <c r="P83" s="5" t="n">
        <v>7</v>
      </c>
      <c r="Q83" s="12" t="n">
        <v>0</v>
      </c>
      <c r="R83" s="5" t="n">
        <v>0</v>
      </c>
      <c r="S83" s="5" t="n">
        <v>0</v>
      </c>
      <c r="T83" s="12" t="n">
        <v>3.8533</v>
      </c>
    </row>
    <row r="84">
      <c r="A84" s="5" t="n">
        <v>65</v>
      </c>
      <c r="B84" t="inlineStr">
        <is>
          <t>30256061</t>
        </is>
      </c>
      <c r="C84" t="inlineStr">
        <is>
          <t>ТОВ "ДІАВЕСТЕНД КОМПЛЕКСНІ РІШЕННЯ"</t>
        </is>
      </c>
      <c r="D84" s="13" t="n">
        <v>428742</v>
      </c>
      <c r="E84" s="12" t="n">
        <v>0.0036</v>
      </c>
      <c r="F84" s="5" t="n">
        <v>6</v>
      </c>
      <c r="G84" s="5" t="n">
        <v>33</v>
      </c>
      <c r="H84" s="12" t="n">
        <v>0.1515</v>
      </c>
      <c r="I84" s="13" t="n">
        <v>71457</v>
      </c>
      <c r="J84" t="inlineStr">
        <is>
          <t>Intel</t>
        </is>
      </c>
      <c r="K84" s="12" t="n">
        <v>0.1282</v>
      </c>
      <c r="L84" t="inlineStr">
        <is>
          <t>Ноутбук</t>
        </is>
      </c>
      <c r="M84" s="12" t="n">
        <v>0</v>
      </c>
      <c r="N84" s="12" t="n">
        <v>0.0605</v>
      </c>
      <c r="O84" s="5" t="n">
        <v>1</v>
      </c>
      <c r="P84" s="5" t="n">
        <v>5</v>
      </c>
      <c r="Q84" s="12" t="n">
        <v>0.1667</v>
      </c>
      <c r="R84" s="5" t="n">
        <v>9</v>
      </c>
      <c r="S84" s="5" t="n">
        <v>6</v>
      </c>
      <c r="T84" s="12" t="n">
        <v>-0.3618</v>
      </c>
    </row>
    <row r="85">
      <c r="A85" s="5" t="n">
        <v>99</v>
      </c>
      <c r="B85" t="inlineStr">
        <is>
          <t>44554976</t>
        </is>
      </c>
      <c r="C85" t="inlineStr">
        <is>
          <t>ТОВ "КУБІК ГРУП"</t>
        </is>
      </c>
      <c r="D85" s="13" t="n">
        <v>274628.4</v>
      </c>
      <c r="E85" s="12" t="n">
        <v>0.0023</v>
      </c>
      <c r="F85" s="5" t="n">
        <v>4</v>
      </c>
      <c r="G85" s="5" t="n">
        <v>34</v>
      </c>
      <c r="H85" s="12" t="n">
        <v>0.1176</v>
      </c>
      <c r="I85" s="13" t="n">
        <v>68657.10000000001</v>
      </c>
      <c r="J85" t="inlineStr"/>
      <c r="K85" s="12" t="n">
        <v>0</v>
      </c>
      <c r="L85" t="inlineStr">
        <is>
          <t>Монітор</t>
        </is>
      </c>
      <c r="M85" s="12" t="n">
        <v>0</v>
      </c>
      <c r="N85" s="12" t="n">
        <v>0.0056</v>
      </c>
      <c r="O85" s="5" t="n">
        <v>1</v>
      </c>
      <c r="P85" s="5" t="n">
        <v>4</v>
      </c>
      <c r="Q85" s="12" t="n">
        <v>0</v>
      </c>
      <c r="R85" s="5" t="n">
        <v>0</v>
      </c>
      <c r="S85" s="5" t="n">
        <v>0</v>
      </c>
      <c r="T85" s="12" t="n">
        <v>0.0948</v>
      </c>
    </row>
    <row r="86">
      <c r="A86" s="5" t="n">
        <v>122</v>
      </c>
      <c r="B86" t="inlineStr">
        <is>
          <t>38199744</t>
        </is>
      </c>
      <c r="C86" t="inlineStr">
        <is>
          <t>ТОВ "СІНТ-ДНІПРОПЕТРОВСЬК"</t>
        </is>
      </c>
      <c r="D86" s="13" t="n">
        <v>209022</v>
      </c>
      <c r="E86" s="12" t="n">
        <v>0.0018</v>
      </c>
      <c r="F86" s="5" t="n">
        <v>7</v>
      </c>
      <c r="G86" s="5" t="n">
        <v>32</v>
      </c>
      <c r="H86" s="12" t="n">
        <v>0.2188</v>
      </c>
      <c r="I86" s="13" t="n">
        <v>29860.29</v>
      </c>
      <c r="J86" t="inlineStr"/>
      <c r="K86" s="12" t="n">
        <v>0</v>
      </c>
      <c r="L86" t="inlineStr">
        <is>
          <t>Оптичний диск</t>
        </is>
      </c>
      <c r="M86" s="12" t="n">
        <v>0</v>
      </c>
      <c r="N86" s="12" t="n">
        <v>0.0951</v>
      </c>
      <c r="O86" s="5" t="n">
        <v>1</v>
      </c>
      <c r="P86" s="5" t="n">
        <v>6</v>
      </c>
      <c r="Q86" s="12" t="n">
        <v>0.1429</v>
      </c>
      <c r="R86" s="5" t="n">
        <v>0</v>
      </c>
      <c r="S86" s="5" t="n">
        <v>0</v>
      </c>
      <c r="T86" s="12" t="n">
        <v>-0.4572</v>
      </c>
    </row>
    <row r="87">
      <c r="A87" s="5" t="n">
        <v>148</v>
      </c>
      <c r="B87" t="inlineStr">
        <is>
          <t>41351235</t>
        </is>
      </c>
      <c r="C87" t="inlineStr">
        <is>
          <t>ТОВ "КПІ-МАРКЕТ"</t>
        </is>
      </c>
      <c r="D87" s="13" t="n">
        <v>136323.6</v>
      </c>
      <c r="E87" s="12" t="n">
        <v>0.0011</v>
      </c>
      <c r="F87" s="5" t="n">
        <v>1</v>
      </c>
      <c r="G87" s="5" t="n">
        <v>32</v>
      </c>
      <c r="H87" s="12" t="n">
        <v>0.0312</v>
      </c>
      <c r="I87" s="13" t="n">
        <v>136323.6</v>
      </c>
      <c r="J87" t="inlineStr"/>
      <c r="K87" s="12" t="n">
        <v>0</v>
      </c>
      <c r="L87" t="inlineStr">
        <is>
          <t>Багатофункціональний пристрій (БФП)</t>
        </is>
      </c>
      <c r="M87" s="12" t="n">
        <v>0</v>
      </c>
      <c r="N87" s="12" t="n">
        <v>0.0013</v>
      </c>
      <c r="O87" s="5" t="n">
        <v>1</v>
      </c>
      <c r="P87" s="5" t="n">
        <v>1</v>
      </c>
      <c r="Q87" s="12" t="n">
        <v>0</v>
      </c>
      <c r="R87" s="5" t="n">
        <v>0</v>
      </c>
      <c r="S87" s="5" t="n">
        <v>0</v>
      </c>
      <c r="T87" s="12" t="n"/>
    </row>
    <row r="88">
      <c r="A88" s="5" t="n">
        <v>31</v>
      </c>
      <c r="B88" t="inlineStr">
        <is>
          <t>2948314313</t>
        </is>
      </c>
      <c r="C88" t="inlineStr">
        <is>
          <t>ФОП Козловський Сергій Павлович</t>
        </is>
      </c>
      <c r="D88" s="13" t="n">
        <v>972579.8199999999</v>
      </c>
      <c r="E88" s="12" t="n">
        <v>0.008200000000000001</v>
      </c>
      <c r="F88" s="5" t="n">
        <v>7</v>
      </c>
      <c r="G88" s="5" t="n">
        <v>32</v>
      </c>
      <c r="H88" s="12" t="n">
        <v>0.2188</v>
      </c>
      <c r="I88" s="13" t="n">
        <v>138939.97</v>
      </c>
      <c r="J88" t="inlineStr">
        <is>
          <t>Western Digital</t>
        </is>
      </c>
      <c r="K88" s="12" t="n">
        <v>1</v>
      </c>
      <c r="L88" t="inlineStr">
        <is>
          <t>Багатофункціональний пристрій (БФП)</t>
        </is>
      </c>
      <c r="M88" s="12" t="n">
        <v>0</v>
      </c>
      <c r="N88" s="12" t="n">
        <v>0.1333</v>
      </c>
      <c r="O88" s="5" t="n">
        <v>1</v>
      </c>
      <c r="P88" s="5" t="n">
        <v>4</v>
      </c>
      <c r="Q88" s="12" t="n">
        <v>0.4286</v>
      </c>
      <c r="R88" s="5" t="n">
        <v>1</v>
      </c>
      <c r="S88" s="5" t="n">
        <v>0</v>
      </c>
      <c r="T88" s="12" t="n">
        <v>-0.4357</v>
      </c>
    </row>
    <row r="89">
      <c r="A89" s="5" t="n">
        <v>87</v>
      </c>
      <c r="B89" t="inlineStr">
        <is>
          <t>3248805838</t>
        </is>
      </c>
      <c r="C89" t="inlineStr">
        <is>
          <t>ФОП ПРІСИЧ ДМИТРО МИКОЛАЙОВИЧ</t>
        </is>
      </c>
      <c r="D89" s="13" t="n">
        <v>305521</v>
      </c>
      <c r="E89" s="12" t="n">
        <v>0.0026</v>
      </c>
      <c r="F89" s="5" t="n">
        <v>2</v>
      </c>
      <c r="G89" s="5" t="n">
        <v>29</v>
      </c>
      <c r="H89" s="12" t="n">
        <v>0.06900000000000001</v>
      </c>
      <c r="I89" s="13" t="n">
        <v>152760.5</v>
      </c>
      <c r="J89" t="inlineStr">
        <is>
          <t>Intel</t>
        </is>
      </c>
      <c r="K89" s="12" t="n">
        <v>0.6667</v>
      </c>
      <c r="L89" t="inlineStr">
        <is>
          <t>Персональний комп'ютер</t>
        </is>
      </c>
      <c r="M89" s="12" t="n">
        <v>0</v>
      </c>
      <c r="N89" s="12" t="n">
        <v>0.0625</v>
      </c>
      <c r="O89" s="5" t="n">
        <v>1</v>
      </c>
      <c r="P89" s="5" t="n">
        <v>2</v>
      </c>
      <c r="Q89" s="12" t="n">
        <v>0</v>
      </c>
      <c r="R89" s="5" t="n">
        <v>0</v>
      </c>
      <c r="S89" s="5" t="n">
        <v>0</v>
      </c>
      <c r="T89" s="12" t="n"/>
    </row>
    <row r="91">
      <c r="A91" s="2" t="inlineStr">
        <is>
          <t>Чому програли</t>
        </is>
      </c>
    </row>
    <row r="92">
      <c r="A92" s="11" t="inlineStr">
        <is>
          <t>ЄДРПОУ</t>
        </is>
      </c>
      <c r="B92" s="11" t="inlineStr">
        <is>
          <t>Конкурент</t>
        </is>
      </c>
      <c r="C92" s="11" t="inlineStr">
        <is>
          <t>Його перемог</t>
        </is>
      </c>
      <c r="D92" s="11" t="inlineStr">
        <is>
          <t>Ми не подавалися</t>
        </is>
      </c>
      <c r="E92" s="11" t="inlineStr">
        <is>
          <t>Програли за ціною</t>
        </is>
      </c>
      <c r="F92" s="11" t="inlineStr">
        <is>
          <t>Програли не за ціною</t>
        </is>
      </c>
      <c r="G92" s="11" t="inlineStr">
        <is>
          <t>Медіанний розрив ціни</t>
        </is>
      </c>
      <c r="H92" s="11" t="inlineStr">
        <is>
          <t>Сума його перемог, грн</t>
        </is>
      </c>
    </row>
    <row r="93">
      <c r="A93" t="inlineStr">
        <is>
          <t>19331194</t>
        </is>
      </c>
      <c r="B93" t="inlineStr">
        <is>
          <t>ТОВ "Технології для бізнесу"</t>
        </is>
      </c>
      <c r="C93" s="5" t="n">
        <v>2</v>
      </c>
      <c r="D93" s="5" t="n">
        <v>2</v>
      </c>
      <c r="E93" s="5" t="n">
        <v>0</v>
      </c>
      <c r="F93" s="5" t="n">
        <v>0</v>
      </c>
      <c r="G93" s="12" t="n"/>
      <c r="H93" s="13" t="n">
        <v>9792385</v>
      </c>
    </row>
    <row r="94">
      <c r="A94" t="inlineStr">
        <is>
          <t>42647754</t>
        </is>
      </c>
      <c r="B94" t="inlineStr">
        <is>
          <t>ТОВ "ЕМЕНС"</t>
        </is>
      </c>
      <c r="C94" s="5" t="n">
        <v>1</v>
      </c>
      <c r="D94" s="5" t="n">
        <v>1</v>
      </c>
      <c r="E94" s="5" t="n">
        <v>0</v>
      </c>
      <c r="F94" s="5" t="n">
        <v>0</v>
      </c>
      <c r="G94" s="12" t="n"/>
      <c r="H94" s="13" t="n">
        <v>4116900</v>
      </c>
    </row>
    <row r="95">
      <c r="A95" t="inlineStr">
        <is>
          <t>45119322</t>
        </is>
      </c>
      <c r="B95" t="inlineStr">
        <is>
          <t>ТОВ «ПОРТАЛ АРЕНА»</t>
        </is>
      </c>
      <c r="C95" s="5" t="n">
        <v>9</v>
      </c>
      <c r="D95" s="5" t="n">
        <v>9</v>
      </c>
      <c r="E95" s="5" t="n">
        <v>0</v>
      </c>
      <c r="F95" s="5" t="n">
        <v>0</v>
      </c>
      <c r="G95" s="12" t="n"/>
      <c r="H95" s="13" t="n">
        <v>3479412.4</v>
      </c>
    </row>
    <row r="96">
      <c r="A96" t="inlineStr">
        <is>
          <t>45701274</t>
        </is>
      </c>
      <c r="B96" t="inlineStr">
        <is>
          <t>ТОВ «ПБГ19»</t>
        </is>
      </c>
      <c r="C96" s="5" t="n">
        <v>5</v>
      </c>
      <c r="D96" s="5" t="n">
        <v>5</v>
      </c>
      <c r="E96" s="5" t="n">
        <v>0</v>
      </c>
      <c r="F96" s="5" t="n">
        <v>0</v>
      </c>
      <c r="G96" s="12" t="n"/>
      <c r="H96" s="13" t="n">
        <v>3383565.2</v>
      </c>
    </row>
    <row r="97">
      <c r="A97" t="inlineStr">
        <is>
          <t>2381207253</t>
        </is>
      </c>
      <c r="B97" t="inlineStr">
        <is>
          <t>ФОП ДАВИДЕНКО ПАВЛО АНДРІЙОВИЧ</t>
        </is>
      </c>
      <c r="C97" s="5" t="n">
        <v>2</v>
      </c>
      <c r="D97" s="5" t="n">
        <v>2</v>
      </c>
      <c r="E97" s="5" t="n">
        <v>0</v>
      </c>
      <c r="F97" s="5" t="n">
        <v>0</v>
      </c>
      <c r="G97" s="12" t="n"/>
      <c r="H97" s="13" t="n">
        <v>2855900</v>
      </c>
    </row>
    <row r="98">
      <c r="A98" t="inlineStr">
        <is>
          <t>42036301</t>
        </is>
      </c>
      <c r="B98" t="inlineStr">
        <is>
          <t>ТОВ «ЮДІТРЕЙД»</t>
        </is>
      </c>
      <c r="C98" s="5" t="n">
        <v>10</v>
      </c>
      <c r="D98" s="5" t="n">
        <v>9</v>
      </c>
      <c r="E98" s="5" t="n">
        <v>1</v>
      </c>
      <c r="F98" s="5" t="n">
        <v>0</v>
      </c>
      <c r="G98" s="12" t="n">
        <v>0.0001</v>
      </c>
      <c r="H98" s="13" t="n">
        <v>2295570.77</v>
      </c>
    </row>
    <row r="99">
      <c r="A99" t="inlineStr">
        <is>
          <t>42289645</t>
        </is>
      </c>
      <c r="B99" t="inlineStr">
        <is>
          <t>ТОВ "ТІНОС-Д"</t>
        </is>
      </c>
      <c r="C99" s="5" t="n">
        <v>13</v>
      </c>
      <c r="D99" s="5" t="n">
        <v>12</v>
      </c>
      <c r="E99" s="5" t="n">
        <v>1</v>
      </c>
      <c r="F99" s="5" t="n">
        <v>0</v>
      </c>
      <c r="G99" s="12" t="n">
        <v>0.2424</v>
      </c>
      <c r="H99" s="13" t="n">
        <v>2225145</v>
      </c>
    </row>
    <row r="100">
      <c r="A100" t="inlineStr">
        <is>
          <t>45884059</t>
        </is>
      </c>
      <c r="B100" t="inlineStr">
        <is>
          <t>ТОВ "ТЕХНО ГАЛАКТИКА"</t>
        </is>
      </c>
      <c r="C100" s="5" t="n">
        <v>2</v>
      </c>
      <c r="D100" s="5" t="n">
        <v>2</v>
      </c>
      <c r="E100" s="5" t="n">
        <v>0</v>
      </c>
      <c r="F100" s="5" t="n">
        <v>0</v>
      </c>
      <c r="G100" s="12" t="n"/>
      <c r="H100" s="13" t="n">
        <v>1832900</v>
      </c>
    </row>
    <row r="101">
      <c r="A101" t="inlineStr">
        <is>
          <t>40955533</t>
        </is>
      </c>
      <c r="B101" t="inlineStr">
        <is>
          <t>ТОВ "ДІСТРІ ІНВАЙТ ІТ"</t>
        </is>
      </c>
      <c r="C101" s="5" t="n">
        <v>11</v>
      </c>
      <c r="D101" s="5" t="n">
        <v>11</v>
      </c>
      <c r="E101" s="5" t="n">
        <v>0</v>
      </c>
      <c r="F101" s="5" t="n">
        <v>0</v>
      </c>
      <c r="G101" s="12" t="n"/>
      <c r="H101" s="13" t="n">
        <v>2172239.28</v>
      </c>
    </row>
    <row r="102">
      <c r="A102" t="inlineStr">
        <is>
          <t>35893554</t>
        </is>
      </c>
      <c r="B102" t="inlineStr">
        <is>
          <t>ТОВ "ПАРСЕРС"</t>
        </is>
      </c>
      <c r="C102" s="5" t="n">
        <v>7</v>
      </c>
      <c r="D102" s="5" t="n">
        <v>7</v>
      </c>
      <c r="E102" s="5" t="n">
        <v>0</v>
      </c>
      <c r="F102" s="5" t="n">
        <v>0</v>
      </c>
      <c r="G102" s="12" t="n"/>
      <c r="H102" s="13" t="n">
        <v>2139037.89</v>
      </c>
    </row>
    <row r="103">
      <c r="A103" t="inlineStr">
        <is>
          <t>40175293</t>
        </is>
      </c>
      <c r="B103" t="inlineStr">
        <is>
          <t>ТОВ "СИСТЕМАТИКА УКРАЇНА"</t>
        </is>
      </c>
      <c r="C103" s="5" t="n">
        <v>12</v>
      </c>
      <c r="D103" s="5" t="n">
        <v>12</v>
      </c>
      <c r="E103" s="5" t="n">
        <v>0</v>
      </c>
      <c r="F103" s="5" t="n">
        <v>0</v>
      </c>
      <c r="G103" s="12" t="n"/>
      <c r="H103" s="13" t="n">
        <v>2154480</v>
      </c>
    </row>
    <row r="104">
      <c r="A104" t="inlineStr">
        <is>
          <t>21337459</t>
        </is>
      </c>
      <c r="B104" t="inlineStr">
        <is>
          <t>ТОВ "КОРВЕТ"</t>
        </is>
      </c>
      <c r="C104" s="5" t="n">
        <v>20</v>
      </c>
      <c r="D104" s="5" t="n">
        <v>20</v>
      </c>
      <c r="E104" s="5" t="n">
        <v>0</v>
      </c>
      <c r="F104" s="5" t="n">
        <v>0</v>
      </c>
      <c r="G104" s="12" t="n"/>
      <c r="H104" s="13" t="n">
        <v>2039653.19</v>
      </c>
    </row>
    <row r="105">
      <c r="A105" t="inlineStr">
        <is>
          <t>42216158</t>
        </is>
      </c>
      <c r="B105" t="inlineStr">
        <is>
          <t>ТОВ "ІНТЕРАКТИВНІ СИСТЕМИ НАВЧАННЯ"</t>
        </is>
      </c>
      <c r="C105" s="5" t="n">
        <v>1</v>
      </c>
      <c r="D105" s="5" t="n">
        <v>1</v>
      </c>
      <c r="E105" s="5" t="n">
        <v>0</v>
      </c>
      <c r="F105" s="5" t="n">
        <v>0</v>
      </c>
      <c r="G105" s="12" t="n"/>
      <c r="H105" s="13" t="n">
        <v>1861920</v>
      </c>
    </row>
    <row r="106">
      <c r="A106" t="inlineStr">
        <is>
          <t>2235409477</t>
        </is>
      </c>
      <c r="B106" t="inlineStr">
        <is>
          <t>ФОП ІВАНЧЕНКО МИКОЛА ІВАНОВИЧ</t>
        </is>
      </c>
      <c r="C106" s="5" t="n">
        <v>3</v>
      </c>
      <c r="D106" s="5" t="n">
        <v>3</v>
      </c>
      <c r="E106" s="5" t="n">
        <v>0</v>
      </c>
      <c r="F106" s="5" t="n">
        <v>0</v>
      </c>
      <c r="G106" s="12" t="n"/>
      <c r="H106" s="13" t="n">
        <v>1856200</v>
      </c>
    </row>
    <row r="107">
      <c r="A107" t="inlineStr">
        <is>
          <t>30126040</t>
        </is>
      </c>
      <c r="B107" t="inlineStr">
        <is>
          <t>ТОВ "САНТАРЕКС"</t>
        </is>
      </c>
      <c r="C107" s="5" t="n">
        <v>60</v>
      </c>
      <c r="D107" s="5" t="n">
        <v>60</v>
      </c>
      <c r="E107" s="5" t="n">
        <v>0</v>
      </c>
      <c r="F107" s="5" t="n">
        <v>0</v>
      </c>
      <c r="G107" s="12" t="n"/>
      <c r="H107" s="13" t="n">
        <v>1699126.32</v>
      </c>
    </row>
    <row r="108">
      <c r="A108" t="inlineStr">
        <is>
          <t>40733799</t>
        </is>
      </c>
      <c r="B108" t="inlineStr">
        <is>
          <t>ТОВ "АРТЛАЙН ІНТЕГРАЦІЯ"</t>
        </is>
      </c>
      <c r="C108" s="5" t="n">
        <v>15</v>
      </c>
      <c r="D108" s="5" t="n">
        <v>14</v>
      </c>
      <c r="E108" s="5" t="n">
        <v>1</v>
      </c>
      <c r="F108" s="5" t="n">
        <v>0</v>
      </c>
      <c r="G108" s="12" t="n">
        <v>0</v>
      </c>
      <c r="H108" s="13" t="n">
        <v>1545422.25</v>
      </c>
    </row>
    <row r="109">
      <c r="A109" t="inlineStr">
        <is>
          <t>37570093</t>
        </is>
      </c>
      <c r="B109" t="inlineStr">
        <is>
          <t>ТОВ "СМАРТ ТЕХНОЛОГІЇ В ОСВІТІ"</t>
        </is>
      </c>
      <c r="C109" s="5" t="n">
        <v>2</v>
      </c>
      <c r="D109" s="5" t="n">
        <v>2</v>
      </c>
      <c r="E109" s="5" t="n">
        <v>0</v>
      </c>
      <c r="F109" s="5" t="n">
        <v>0</v>
      </c>
      <c r="G109" s="12" t="n"/>
      <c r="H109" s="13" t="n">
        <v>1418350</v>
      </c>
    </row>
    <row r="110">
      <c r="A110" t="inlineStr">
        <is>
          <t>1620205276</t>
        </is>
      </c>
      <c r="B110" t="inlineStr">
        <is>
          <t>ФОП "ВАЙДА ГАВРИЛО ІВАНОВИЧ"</t>
        </is>
      </c>
      <c r="C110" s="5" t="n">
        <v>2</v>
      </c>
      <c r="D110" s="5" t="n">
        <v>2</v>
      </c>
      <c r="E110" s="5" t="n">
        <v>0</v>
      </c>
      <c r="F110" s="5" t="n">
        <v>0</v>
      </c>
      <c r="G110" s="12" t="n"/>
      <c r="H110" s="13" t="n">
        <v>1399000</v>
      </c>
    </row>
    <row r="111">
      <c r="A111" t="inlineStr">
        <is>
          <t>2145216995</t>
        </is>
      </c>
      <c r="B111" t="inlineStr">
        <is>
          <t>ФОП Цяк Валерій Михайлович</t>
        </is>
      </c>
      <c r="C111" s="5" t="n">
        <v>54</v>
      </c>
      <c r="D111" s="5" t="n">
        <v>54</v>
      </c>
      <c r="E111" s="5" t="n">
        <v>0</v>
      </c>
      <c r="F111" s="5" t="n">
        <v>0</v>
      </c>
      <c r="G111" s="12" t="n"/>
      <c r="H111" s="13" t="n">
        <v>1396374</v>
      </c>
    </row>
    <row r="112">
      <c r="A112" t="inlineStr">
        <is>
          <t>42831727</t>
        </is>
      </c>
      <c r="B112" t="inlineStr">
        <is>
          <t>ТОВ "ДИДАКТИКЛАБ"</t>
        </is>
      </c>
      <c r="C112" s="5" t="n">
        <v>9</v>
      </c>
      <c r="D112" s="5" t="n">
        <v>9</v>
      </c>
      <c r="E112" s="5" t="n">
        <v>0</v>
      </c>
      <c r="F112" s="5" t="n">
        <v>0</v>
      </c>
      <c r="G112" s="12" t="n"/>
      <c r="H112" s="13" t="n">
        <v>1395166.66</v>
      </c>
    </row>
    <row r="113">
      <c r="A113" t="inlineStr">
        <is>
          <t>42893689</t>
        </is>
      </c>
      <c r="B113" t="inlineStr">
        <is>
          <t>ТОВ "НАВІГАТОР СИСТЕМ"</t>
        </is>
      </c>
      <c r="C113" s="5" t="n">
        <v>6</v>
      </c>
      <c r="D113" s="5" t="n">
        <v>4</v>
      </c>
      <c r="E113" s="5" t="n">
        <v>2</v>
      </c>
      <c r="F113" s="5" t="n">
        <v>0</v>
      </c>
      <c r="G113" s="12" t="n">
        <v>0.1171</v>
      </c>
      <c r="H113" s="13" t="n">
        <v>808883</v>
      </c>
    </row>
    <row r="114">
      <c r="A114" t="inlineStr">
        <is>
          <t>24083083</t>
        </is>
      </c>
      <c r="B114" t="inlineStr">
        <is>
          <t>ТОВ "КОМЕЛ"</t>
        </is>
      </c>
      <c r="C114" s="5" t="n">
        <v>3</v>
      </c>
      <c r="D114" s="5" t="n">
        <v>3</v>
      </c>
      <c r="E114" s="5" t="n">
        <v>0</v>
      </c>
      <c r="F114" s="5" t="n">
        <v>0</v>
      </c>
      <c r="G114" s="12" t="n"/>
      <c r="H114" s="13" t="n">
        <v>115135.14</v>
      </c>
    </row>
    <row r="115">
      <c r="A115" t="inlineStr">
        <is>
          <t>43120417</t>
        </is>
      </c>
      <c r="B115" t="inlineStr">
        <is>
          <t>ТОВ "ПАВЕРТРЕЙД"</t>
        </is>
      </c>
      <c r="C115" s="5" t="n">
        <v>16</v>
      </c>
      <c r="D115" s="5" t="n">
        <v>15</v>
      </c>
      <c r="E115" s="5" t="n">
        <v>1</v>
      </c>
      <c r="F115" s="5" t="n">
        <v>0</v>
      </c>
      <c r="G115" s="12" t="n">
        <v>0.0885</v>
      </c>
      <c r="H115" s="13" t="n">
        <v>1068664.2</v>
      </c>
    </row>
    <row r="116">
      <c r="A116" t="inlineStr">
        <is>
          <t>45596933</t>
        </is>
      </c>
      <c r="B116" t="inlineStr">
        <is>
          <t>ТОВ "КОМПАКОМ"</t>
        </is>
      </c>
      <c r="C116" s="5" t="n">
        <v>8</v>
      </c>
      <c r="D116" s="5" t="n">
        <v>8</v>
      </c>
      <c r="E116" s="5" t="n">
        <v>0</v>
      </c>
      <c r="F116" s="5" t="n">
        <v>0</v>
      </c>
      <c r="G116" s="12" t="n"/>
      <c r="H116" s="13" t="n">
        <v>820500</v>
      </c>
    </row>
    <row r="117">
      <c r="A117" t="inlineStr">
        <is>
          <t>2850105825</t>
        </is>
      </c>
      <c r="B117" t="inlineStr">
        <is>
          <t>ФОП "Гріпіч Тетяна Борисівна"</t>
        </is>
      </c>
      <c r="C117" s="5" t="n">
        <v>11</v>
      </c>
      <c r="D117" s="5" t="n">
        <v>10</v>
      </c>
      <c r="E117" s="5" t="n">
        <v>1</v>
      </c>
      <c r="F117" s="5" t="n">
        <v>0</v>
      </c>
      <c r="G117" s="12" t="n">
        <v>0.2217</v>
      </c>
      <c r="H117" s="13" t="n">
        <v>486040</v>
      </c>
    </row>
    <row r="118">
      <c r="A118" t="inlineStr">
        <is>
          <t>3395906995</t>
        </is>
      </c>
      <c r="B118" t="inlineStr">
        <is>
          <t>ФОП СІНЬКЕВИЧ ОЛЕКСАНДР АНАТОЛІЙОВИЧ</t>
        </is>
      </c>
      <c r="C118" s="5" t="n">
        <v>5</v>
      </c>
      <c r="D118" s="5" t="n">
        <v>5</v>
      </c>
      <c r="E118" s="5" t="n">
        <v>0</v>
      </c>
      <c r="F118" s="5" t="n">
        <v>0</v>
      </c>
      <c r="G118" s="12" t="n"/>
      <c r="H118" s="13" t="n">
        <v>123600</v>
      </c>
    </row>
    <row r="119">
      <c r="A119" t="inlineStr">
        <is>
          <t>32490244</t>
        </is>
      </c>
      <c r="B119" t="inlineStr">
        <is>
          <t>ТОВ "Епіцентр К"</t>
        </is>
      </c>
      <c r="C119" s="5" t="n">
        <v>7</v>
      </c>
      <c r="D119" s="5" t="n">
        <v>7</v>
      </c>
      <c r="E119" s="5" t="n">
        <v>0</v>
      </c>
      <c r="F119" s="5" t="n">
        <v>0</v>
      </c>
      <c r="G119" s="12" t="n"/>
      <c r="H119" s="13" t="n">
        <v>202218.12</v>
      </c>
    </row>
    <row r="120">
      <c r="A120" t="inlineStr">
        <is>
          <t>30256061</t>
        </is>
      </c>
      <c r="B120" t="inlineStr">
        <is>
          <t>ТОВ "ДІАВЕСТЕНД КОМПЛЕКСНІ РІШЕННЯ"</t>
        </is>
      </c>
      <c r="C120" s="5" t="n">
        <v>5</v>
      </c>
      <c r="D120" s="5" t="n">
        <v>4</v>
      </c>
      <c r="E120" s="5" t="n">
        <v>1</v>
      </c>
      <c r="F120" s="5" t="n">
        <v>0</v>
      </c>
      <c r="G120" s="12" t="n">
        <v>8.700900000000001</v>
      </c>
      <c r="H120" s="13" t="n">
        <v>326423</v>
      </c>
    </row>
    <row r="121">
      <c r="A121" t="inlineStr">
        <is>
          <t>44554976</t>
        </is>
      </c>
      <c r="B121" t="inlineStr">
        <is>
          <t>ТОВ "КУБІК ГРУП"</t>
        </is>
      </c>
      <c r="C121" s="5" t="n">
        <v>4</v>
      </c>
      <c r="D121" s="5" t="n">
        <v>4</v>
      </c>
      <c r="E121" s="5" t="n">
        <v>0</v>
      </c>
      <c r="F121" s="5" t="n">
        <v>0</v>
      </c>
      <c r="G121" s="12" t="n"/>
      <c r="H121" s="13" t="n">
        <v>258662</v>
      </c>
    </row>
    <row r="122">
      <c r="A122" t="inlineStr">
        <is>
          <t>38199744</t>
        </is>
      </c>
      <c r="B122" t="inlineStr">
        <is>
          <t>ТОВ "СІНТ-ДНІПРОПЕТРОВСЬК"</t>
        </is>
      </c>
      <c r="C122" s="5" t="n">
        <v>7</v>
      </c>
      <c r="D122" s="5" t="n">
        <v>7</v>
      </c>
      <c r="E122" s="5" t="n">
        <v>0</v>
      </c>
      <c r="F122" s="5" t="n">
        <v>0</v>
      </c>
      <c r="G122" s="12" t="n"/>
      <c r="H122" s="13" t="n">
        <v>208087</v>
      </c>
    </row>
    <row r="123">
      <c r="A123" t="inlineStr">
        <is>
          <t>41351235</t>
        </is>
      </c>
      <c r="B123" t="inlineStr">
        <is>
          <t>ТОВ "КПІ-МАРКЕТ"</t>
        </is>
      </c>
      <c r="C123" s="5" t="n">
        <v>1</v>
      </c>
      <c r="D123" s="5" t="n">
        <v>1</v>
      </c>
      <c r="E123" s="5" t="n">
        <v>0</v>
      </c>
      <c r="F123" s="5" t="n">
        <v>0</v>
      </c>
      <c r="G123" s="12" t="n"/>
      <c r="H123" s="13" t="n">
        <v>136323.6</v>
      </c>
    </row>
    <row r="124">
      <c r="A124" t="inlineStr">
        <is>
          <t>2948314313</t>
        </is>
      </c>
      <c r="B124" t="inlineStr">
        <is>
          <t>ФОП Козловський Сергій Павлович</t>
        </is>
      </c>
      <c r="C124" s="5" t="n">
        <v>7</v>
      </c>
      <c r="D124" s="5" t="n">
        <v>6</v>
      </c>
      <c r="E124" s="5" t="n">
        <v>1</v>
      </c>
      <c r="F124" s="5" t="n">
        <v>0</v>
      </c>
      <c r="G124" s="12" t="n">
        <v>0.054</v>
      </c>
      <c r="H124" s="13" t="n">
        <v>972579.8199999999</v>
      </c>
    </row>
    <row r="125">
      <c r="A125" t="inlineStr">
        <is>
          <t>3248805838</t>
        </is>
      </c>
      <c r="B125" t="inlineStr">
        <is>
          <t>ФОП ПРІСИЧ ДМИТРО МИКОЛАЙОВИЧ</t>
        </is>
      </c>
      <c r="C125" s="5" t="n">
        <v>2</v>
      </c>
      <c r="D125" s="5" t="n">
        <v>2</v>
      </c>
      <c r="E125" s="5" t="n">
        <v>0</v>
      </c>
      <c r="F125" s="5" t="n">
        <v>0</v>
      </c>
      <c r="G125" s="12" t="n"/>
      <c r="H125" s="13" t="n">
        <v>305521</v>
      </c>
    </row>
  </sheetData>
  <pageMargins left="0.75" right="0.75" top="1" bottom="1" header="0.5" footer="0.5"/>
  <drawing xmlns:r="http://schemas.openxmlformats.org/officeDocument/2006/relationships" r:id="rId1"/>
  <tableParts count="2">
    <tablePart xmlns:r="http://schemas.openxmlformats.org/officeDocument/2006/relationships" r:id="rId2"/>
    <tablePart xmlns:r="http://schemas.openxmlformats.org/officeDocument/2006/relationships" r:id="rId3"/>
  </tableParts>
</worksheet>
</file>

<file path=xl/worksheets/sheet10.xml><?xml version="1.0" encoding="utf-8"?>
<worksheet xmlns="http://schemas.openxmlformats.org/spreadsheetml/2006/main">
  <sheetPr>
    <outlinePr summaryBelow="1" summaryRight="1"/>
    <pageSetUpPr/>
  </sheetPr>
  <dimension ref="A1:P1321"/>
  <sheetViews>
    <sheetView showGridLines="0" workbookViewId="0">
      <selection activeCell="A1" sqref="A1"/>
    </sheetView>
  </sheetViews>
  <sheetFormatPr baseColWidth="8" defaultRowHeight="15"/>
  <cols>
    <col width="60" customWidth="1" min="1" max="1"/>
    <col width="22" customWidth="1" min="2" max="2"/>
    <col width="32" customWidth="1" min="3" max="3"/>
    <col width="33" customWidth="1" min="4" max="4"/>
    <col width="24" customWidth="1" min="5" max="5"/>
    <col width="21" customWidth="1" min="6" max="6"/>
    <col width="60" customWidth="1" min="7" max="7"/>
    <col width="49" customWidth="1" min="8" max="8"/>
    <col width="60" customWidth="1" min="9" max="9"/>
    <col width="26" customWidth="1" min="10" max="10"/>
    <col width="29" customWidth="1" min="11" max="11"/>
    <col width="10" customWidth="1" min="12" max="12"/>
    <col width="10" customWidth="1" min="13" max="13"/>
    <col width="11" customWidth="1" min="14" max="14"/>
    <col width="10" customWidth="1" min="15" max="15"/>
    <col width="12" customWidth="1" min="16" max="16"/>
  </cols>
  <sheetData>
    <row r="1">
      <c r="A1" s="1" t="inlineStr">
        <is>
          <t>Товари і ТМ</t>
        </is>
      </c>
    </row>
    <row r="3">
      <c r="A3" s="7" t="inlineStr">
        <is>
          <t>Товари та торгові марки</t>
        </is>
      </c>
    </row>
    <row r="4">
      <c r="A4" s="6" t="inlineStr">
        <is>
          <t>ТМ визначається за текстом позицій і назвою предмета закупівлі за довідником data/brands.json — його можна доповнювати власними марками.</t>
        </is>
      </c>
    </row>
    <row r="6">
      <c r="A6" s="8" t="inlineStr">
        <is>
          <t>Висновки</t>
        </is>
      </c>
    </row>
    <row r="7">
      <c r="A7" t="inlineStr">
        <is>
          <t>•  Назви товарів об'єднано в родові типи: 691 різних формулювань з документів дали 129 товарів. Обидві таблиці нижче — та сама номенклатура, різниця лише в об'єднанні.</t>
        </is>
      </c>
    </row>
    <row r="8">
      <c r="A8" t="inlineStr">
        <is>
          <t>•  У книзі є 3888 карток е-каталогу — це єдине джерело, де бренд, ціновий діапазон і постачальник картки вказані явно.</t>
        </is>
      </c>
    </row>
    <row r="9">
      <c r="A9" t="inlineStr">
        <is>
          <t>•  «Кандидати в ТМ» — латинські слова з описів, яких немає в довіднику. Якщо серед них є справжня марка, допишіть її у data/brands.json — наступний аналіз рахуватиме її нарівні з рештою.</t>
        </is>
      </c>
    </row>
    <row r="11">
      <c r="A11" s="8" t="inlineStr">
        <is>
          <t>Графіки</t>
        </is>
      </c>
    </row>
    <row r="13">
      <c r="A13" s="2" t="inlineStr">
        <is>
          <t>Торгові марки за сумою угод</t>
        </is>
      </c>
    </row>
    <row r="14">
      <c r="A14" s="3" t="inlineStr">
        <is>
          <t>Категорія</t>
        </is>
      </c>
      <c r="B14" s="3" t="inlineStr">
        <is>
          <t>Сума, грн</t>
        </is>
      </c>
    </row>
    <row r="15">
      <c r="A15" t="inlineStr">
        <is>
          <t>Intel</t>
        </is>
      </c>
      <c r="B15" s="5" t="n">
        <v>10557047.52</v>
      </c>
    </row>
    <row r="16">
      <c r="A16" t="inlineStr">
        <is>
          <t>Canon</t>
        </is>
      </c>
      <c r="B16" s="5" t="n">
        <v>4880567.84</v>
      </c>
    </row>
    <row r="17">
      <c r="A17" t="inlineStr">
        <is>
          <t>HP</t>
        </is>
      </c>
      <c r="B17" s="5" t="n">
        <v>3677129.4</v>
      </c>
    </row>
    <row r="18">
      <c r="A18" t="inlineStr">
        <is>
          <t>Lenovo</t>
        </is>
      </c>
      <c r="B18" s="5" t="n">
        <v>3620910.4</v>
      </c>
    </row>
    <row r="19">
      <c r="A19" t="inlineStr">
        <is>
          <t>Samsung</t>
        </is>
      </c>
      <c r="B19" s="5" t="n">
        <v>3331362.44</v>
      </c>
    </row>
    <row r="20">
      <c r="A20" t="inlineStr">
        <is>
          <t>AMD</t>
        </is>
      </c>
      <c r="B20" s="5" t="n">
        <v>2413130.6</v>
      </c>
    </row>
    <row r="21">
      <c r="A21" t="inlineStr">
        <is>
          <t>ASUS</t>
        </is>
      </c>
      <c r="B21" s="5" t="n">
        <v>2159247.1</v>
      </c>
    </row>
    <row r="22">
      <c r="A22" t="inlineStr">
        <is>
          <t>Dell</t>
        </is>
      </c>
      <c r="B22" s="5" t="n">
        <v>1543550.98</v>
      </c>
    </row>
    <row r="23">
      <c r="A23" t="inlineStr">
        <is>
          <t>Vinga</t>
        </is>
      </c>
      <c r="B23" s="5" t="n">
        <v>1475962.16</v>
      </c>
    </row>
    <row r="24">
      <c r="A24" t="inlineStr">
        <is>
          <t>Acer</t>
        </is>
      </c>
      <c r="B24" s="5" t="n">
        <v>1442487.18</v>
      </c>
    </row>
    <row r="25">
      <c r="A25" t="inlineStr">
        <is>
          <t>Microsoft</t>
        </is>
      </c>
      <c r="B25" s="5" t="n">
        <v>1075129</v>
      </c>
    </row>
    <row r="26">
      <c r="A26" t="inlineStr">
        <is>
          <t>Artline</t>
        </is>
      </c>
      <c r="B26" s="5" t="n">
        <v>884344.5</v>
      </c>
    </row>
    <row r="34">
      <c r="A34" s="2" t="inlineStr">
        <is>
          <t>Частки ТМ</t>
        </is>
      </c>
    </row>
    <row r="35">
      <c r="A35" s="3" t="inlineStr">
        <is>
          <t>Категорія</t>
        </is>
      </c>
      <c r="B35" s="3" t="inlineStr">
        <is>
          <t>Сума, грн</t>
        </is>
      </c>
    </row>
    <row r="36">
      <c r="A36" t="inlineStr">
        <is>
          <t>Intel</t>
        </is>
      </c>
      <c r="B36" s="5" t="n">
        <v>10557047.52</v>
      </c>
    </row>
    <row r="37">
      <c r="A37" t="inlineStr">
        <is>
          <t>Canon</t>
        </is>
      </c>
      <c r="B37" s="5" t="n">
        <v>4880567.84</v>
      </c>
    </row>
    <row r="38">
      <c r="A38" t="inlineStr">
        <is>
          <t>HP</t>
        </is>
      </c>
      <c r="B38" s="5" t="n">
        <v>3677129.4</v>
      </c>
    </row>
    <row r="39">
      <c r="A39" t="inlineStr">
        <is>
          <t>Lenovo</t>
        </is>
      </c>
      <c r="B39" s="5" t="n">
        <v>3620910.4</v>
      </c>
    </row>
    <row r="40">
      <c r="A40" t="inlineStr">
        <is>
          <t>Samsung</t>
        </is>
      </c>
      <c r="B40" s="5" t="n">
        <v>3331362.44</v>
      </c>
    </row>
    <row r="41">
      <c r="A41" t="inlineStr">
        <is>
          <t>AMD</t>
        </is>
      </c>
      <c r="B41" s="5" t="n">
        <v>2413130.6</v>
      </c>
    </row>
    <row r="42">
      <c r="A42" t="inlineStr">
        <is>
          <t>ASUS</t>
        </is>
      </c>
      <c r="B42" s="5" t="n">
        <v>2159247.1</v>
      </c>
    </row>
    <row r="43">
      <c r="A43" t="inlineStr">
        <is>
          <t>Dell</t>
        </is>
      </c>
      <c r="B43" s="5" t="n">
        <v>1543550.98</v>
      </c>
    </row>
    <row r="44">
      <c r="A44" t="inlineStr">
        <is>
          <t>Vinga</t>
        </is>
      </c>
      <c r="B44" s="5" t="n">
        <v>1475962.16</v>
      </c>
    </row>
    <row r="54">
      <c r="A54" s="2" t="inlineStr">
        <is>
          <t>Найпоширеніші товари</t>
        </is>
      </c>
    </row>
    <row r="55">
      <c r="A55" s="6" t="inlineStr">
        <is>
          <t>Однакові товари з різними формулюваннями зведені в один рядок: «Миші», «Мишка» й «Миша дротова» — це «Миша». Колонка «Варіанти назви» в таблиці показує, що саме злилося.</t>
        </is>
      </c>
    </row>
    <row r="56">
      <c r="A56" s="3" t="inlineStr">
        <is>
          <t>Категорія</t>
        </is>
      </c>
      <c r="B56" s="3" t="inlineStr">
        <is>
          <t>Позицій, шт</t>
        </is>
      </c>
    </row>
    <row r="57">
      <c r="A57" t="inlineStr">
        <is>
          <t>Ноутбук</t>
        </is>
      </c>
      <c r="B57" s="5" t="n">
        <v>372</v>
      </c>
    </row>
    <row r="58">
      <c r="A58" t="inlineStr">
        <is>
          <t>Багатофункціональний пристрій (БФП</t>
        </is>
      </c>
      <c r="B58" s="5" t="n">
        <v>306</v>
      </c>
    </row>
    <row r="59">
      <c r="A59" t="inlineStr">
        <is>
          <t>Монітор</t>
        </is>
      </c>
      <c r="B59" s="5" t="n">
        <v>202</v>
      </c>
    </row>
    <row r="60">
      <c r="A60" t="inlineStr">
        <is>
          <t>Персональний комп'ютер</t>
        </is>
      </c>
      <c r="B60" s="5" t="n">
        <v>193</v>
      </c>
    </row>
    <row r="61">
      <c r="A61" t="inlineStr">
        <is>
          <t>Миша</t>
        </is>
      </c>
      <c r="B61" s="5" t="n">
        <v>159</v>
      </c>
    </row>
    <row r="62">
      <c r="A62" t="inlineStr">
        <is>
          <t>Клавіатура</t>
        </is>
      </c>
      <c r="B62" s="5" t="n">
        <v>113</v>
      </c>
    </row>
    <row r="63">
      <c r="A63" t="inlineStr">
        <is>
          <t>Системний блок</t>
        </is>
      </c>
      <c r="B63" s="5" t="n">
        <v>106</v>
      </c>
    </row>
    <row r="64">
      <c r="A64" t="inlineStr">
        <is>
          <t>Накопичувач SSD</t>
        </is>
      </c>
      <c r="B64" s="5" t="n">
        <v>99</v>
      </c>
    </row>
    <row r="65">
      <c r="A65" t="inlineStr">
        <is>
          <t>Флешка (USB-накопичувач)</t>
        </is>
      </c>
      <c r="B65" s="5" t="n">
        <v>82</v>
      </c>
    </row>
    <row r="66">
      <c r="A66" t="inlineStr">
        <is>
          <t>Кабель, перехідник</t>
        </is>
      </c>
      <c r="B66" s="5" t="n">
        <v>78</v>
      </c>
    </row>
    <row r="67">
      <c r="A67" t="inlineStr">
        <is>
          <t>Принтер</t>
        </is>
      </c>
      <c r="B67" s="5" t="n">
        <v>74</v>
      </c>
    </row>
    <row r="68">
      <c r="A68" t="inlineStr">
        <is>
          <t>Планшет</t>
        </is>
      </c>
      <c r="B68" s="5" t="n">
        <v>74</v>
      </c>
    </row>
    <row r="75">
      <c r="A75" s="2" t="inlineStr">
        <is>
          <t>Бренди в е-каталозі: карток</t>
        </is>
      </c>
    </row>
    <row r="76">
      <c r="A76" s="3" t="inlineStr">
        <is>
          <t>Категорія</t>
        </is>
      </c>
      <c r="B76" s="3" t="inlineStr">
        <is>
          <t>Карток, шт</t>
        </is>
      </c>
    </row>
    <row r="77">
      <c r="A77" t="inlineStr">
        <is>
          <t>HP</t>
        </is>
      </c>
      <c r="B77" s="5" t="n">
        <v>325</v>
      </c>
    </row>
    <row r="78">
      <c r="A78" t="inlineStr">
        <is>
          <t>PROLOGIX</t>
        </is>
      </c>
      <c r="B78" s="5" t="n">
        <v>207</v>
      </c>
    </row>
    <row r="79">
      <c r="A79" t="inlineStr">
        <is>
          <t>LENOVO</t>
        </is>
      </c>
      <c r="B79" s="5" t="n">
        <v>188</v>
      </c>
    </row>
    <row r="80">
      <c r="A80" t="inlineStr">
        <is>
          <t>IMPRESSION</t>
        </is>
      </c>
      <c r="B80" s="5" t="n">
        <v>158</v>
      </c>
    </row>
    <row r="81">
      <c r="A81" t="inlineStr">
        <is>
          <t>ASUS</t>
        </is>
      </c>
      <c r="B81" s="5" t="n">
        <v>125</v>
      </c>
    </row>
    <row r="82">
      <c r="A82" t="inlineStr">
        <is>
          <t>KINGSTON</t>
        </is>
      </c>
      <c r="B82" s="5" t="n">
        <v>117</v>
      </c>
    </row>
    <row r="83">
      <c r="A83" t="inlineStr">
        <is>
          <t>2E</t>
        </is>
      </c>
      <c r="B83" s="5" t="n">
        <v>110</v>
      </c>
    </row>
    <row r="84">
      <c r="A84" t="inlineStr">
        <is>
          <t>Creality</t>
        </is>
      </c>
      <c r="B84" s="5" t="n">
        <v>102</v>
      </c>
    </row>
    <row r="85">
      <c r="A85" t="inlineStr">
        <is>
          <t>CANON</t>
        </is>
      </c>
      <c r="B85" s="5" t="n">
        <v>101</v>
      </c>
    </row>
    <row r="86">
      <c r="A86" t="inlineStr">
        <is>
          <t>DELL</t>
        </is>
      </c>
      <c r="B86" s="5" t="n">
        <v>89</v>
      </c>
    </row>
    <row r="87">
      <c r="A87" t="inlineStr">
        <is>
          <t>SAMSUNG</t>
        </is>
      </c>
      <c r="B87" s="5" t="n">
        <v>76</v>
      </c>
    </row>
    <row r="88">
      <c r="A88" t="inlineStr">
        <is>
          <t>DIAWEST</t>
        </is>
      </c>
      <c r="B88" s="5" t="n">
        <v>75</v>
      </c>
    </row>
    <row r="96">
      <c r="A96" s="2" t="inlineStr">
        <is>
          <t>Цінове позиціонування брендів у каталозі</t>
        </is>
      </c>
    </row>
    <row r="97">
      <c r="A97" s="3" t="inlineStr">
        <is>
          <t>Категорія</t>
        </is>
      </c>
      <c r="B97" s="3" t="inlineStr">
        <is>
          <t>Нижній квартиль, грн</t>
        </is>
      </c>
      <c r="C97" s="3" t="inlineStr">
        <is>
          <t>Верхній квартиль, грн</t>
        </is>
      </c>
    </row>
    <row r="98">
      <c r="A98" t="inlineStr">
        <is>
          <t>HP</t>
        </is>
      </c>
      <c r="B98" s="5" t="n">
        <v>22228.5</v>
      </c>
      <c r="C98" s="5" t="n">
        <v>24071.25</v>
      </c>
    </row>
    <row r="99">
      <c r="A99" t="inlineStr">
        <is>
          <t>PROLOGIX</t>
        </is>
      </c>
      <c r="B99" s="5" t="n">
        <v>18992</v>
      </c>
      <c r="C99" s="5" t="n">
        <v>20500</v>
      </c>
    </row>
    <row r="100">
      <c r="A100" t="inlineStr">
        <is>
          <t>LENOVO</t>
        </is>
      </c>
      <c r="B100" s="5" t="n">
        <v>26125</v>
      </c>
      <c r="C100" s="5" t="n">
        <v>27875</v>
      </c>
    </row>
    <row r="101">
      <c r="A101" t="inlineStr">
        <is>
          <t>IMPRESSION</t>
        </is>
      </c>
      <c r="B101" s="5" t="n">
        <v>23191.25</v>
      </c>
      <c r="C101" s="5" t="n">
        <v>26449</v>
      </c>
    </row>
    <row r="102">
      <c r="A102" t="inlineStr">
        <is>
          <t>ASUS</t>
        </is>
      </c>
      <c r="B102" s="5" t="n">
        <v>12197.5</v>
      </c>
      <c r="C102" s="5" t="n">
        <v>12197.5</v>
      </c>
    </row>
    <row r="103">
      <c r="A103" t="inlineStr">
        <is>
          <t>KINGSTON</t>
        </is>
      </c>
      <c r="B103" s="5" t="n">
        <v>3956.18</v>
      </c>
      <c r="C103" s="5" t="n">
        <v>3980</v>
      </c>
    </row>
    <row r="104">
      <c r="A104" t="inlineStr">
        <is>
          <t>2E</t>
        </is>
      </c>
      <c r="B104" s="5" t="n">
        <v>16394.5</v>
      </c>
      <c r="C104" s="5" t="n">
        <v>17411.5</v>
      </c>
    </row>
    <row r="105">
      <c r="A105" t="inlineStr">
        <is>
          <t>Creality</t>
        </is>
      </c>
      <c r="B105" s="5" t="n">
        <v>915</v>
      </c>
      <c r="C105" s="5" t="n">
        <v>915</v>
      </c>
    </row>
    <row r="106">
      <c r="A106" t="inlineStr">
        <is>
          <t>CANON</t>
        </is>
      </c>
      <c r="B106" s="5" t="n">
        <v>16990</v>
      </c>
      <c r="C106" s="5" t="n">
        <v>19800</v>
      </c>
    </row>
    <row r="107">
      <c r="A107" t="inlineStr">
        <is>
          <t>DELL</t>
        </is>
      </c>
      <c r="B107" s="5" t="n">
        <v>13400</v>
      </c>
      <c r="C107" s="5" t="n">
        <v>14483</v>
      </c>
    </row>
    <row r="108">
      <c r="A108" t="inlineStr">
        <is>
          <t>SAMSUNG</t>
        </is>
      </c>
      <c r="B108" s="5" t="n">
        <v>12412.5</v>
      </c>
      <c r="C108" s="5" t="n">
        <v>13625</v>
      </c>
    </row>
    <row r="109">
      <c r="A109" t="inlineStr">
        <is>
          <t>DIAWEST</t>
        </is>
      </c>
      <c r="B109" s="5" t="n">
        <v>21026.25</v>
      </c>
      <c r="C109" s="5" t="n">
        <v>22433.75</v>
      </c>
    </row>
    <row r="117">
      <c r="A117" s="8" t="inlineStr">
        <is>
          <t>Таблиці</t>
        </is>
      </c>
    </row>
    <row r="119">
      <c r="A119" s="2" t="inlineStr">
        <is>
          <t>Торгові марки</t>
        </is>
      </c>
    </row>
    <row r="120">
      <c r="A120" s="11" t="inlineStr">
        <is>
          <t>Торгова марка</t>
        </is>
      </c>
      <c r="B120" s="11" t="inlineStr">
        <is>
          <t>Закупівель</t>
        </is>
      </c>
      <c r="C120" s="11" t="inlineStr">
        <is>
          <t>Позицій</t>
        </is>
      </c>
      <c r="D120" s="11" t="inlineStr">
        <is>
          <t>Сума угод, грн</t>
        </is>
      </c>
      <c r="E120" s="11" t="inlineStr">
        <is>
          <t>Частка ринку</t>
        </is>
      </c>
      <c r="F120" s="11" t="inlineStr">
        <is>
          <t>Компаній із цією ТМ</t>
        </is>
      </c>
      <c r="G120" s="11" t="inlineStr">
        <is>
          <t>Головний гравець</t>
        </is>
      </c>
      <c r="H120" s="11" t="inlineStr">
        <is>
          <t>Його частка в ТМ</t>
        </is>
      </c>
      <c r="I120" s="11" t="inlineStr">
        <is>
          <t>Ексклюзив у вибірці</t>
        </is>
      </c>
      <c r="J120" s="11" t="inlineStr">
        <is>
          <t>Власник ТМ за довідником</t>
        </is>
      </c>
      <c r="K120" s="11" t="inlineStr">
        <is>
          <t>Дистриб'ютори</t>
        </is>
      </c>
    </row>
    <row r="121">
      <c r="A121" t="inlineStr">
        <is>
          <t>Intel</t>
        </is>
      </c>
      <c r="B121" s="5" t="n">
        <v>125</v>
      </c>
      <c r="C121" s="5" t="n">
        <v>123</v>
      </c>
      <c r="D121" s="13" t="n">
        <v>10557047.52</v>
      </c>
      <c r="E121" s="12" t="n">
        <v>0.08890000000000001</v>
      </c>
      <c r="F121" s="5" t="n">
        <v>41</v>
      </c>
      <c r="G121" t="inlineStr">
        <is>
          <t>ТОВ "ЕМЕНС"</t>
        </is>
      </c>
      <c r="H121" s="12" t="n">
        <v>0.39</v>
      </c>
      <c r="I121" t="inlineStr"/>
      <c r="J121" t="inlineStr"/>
      <c r="K121" t="inlineStr">
        <is>
          <t>Потрібний глибший ШІ аналіз</t>
        </is>
      </c>
    </row>
    <row r="122">
      <c r="A122" t="inlineStr">
        <is>
          <t>Canon</t>
        </is>
      </c>
      <c r="B122" s="5" t="n">
        <v>179</v>
      </c>
      <c r="C122" s="5" t="n">
        <v>161</v>
      </c>
      <c r="D122" s="13" t="n">
        <v>4880567.84</v>
      </c>
      <c r="E122" s="12" t="n">
        <v>0.0411</v>
      </c>
      <c r="F122" s="5" t="n">
        <v>75</v>
      </c>
      <c r="G122" t="inlineStr">
        <is>
          <t>ТОВ «ПОРТАЛ АРЕНА»</t>
        </is>
      </c>
      <c r="H122" s="12" t="n">
        <v>0.0825</v>
      </c>
      <c r="I122" t="inlineStr"/>
      <c r="J122" t="inlineStr"/>
      <c r="K122" t="inlineStr">
        <is>
          <t>Потрібний глибший ШІ аналіз</t>
        </is>
      </c>
    </row>
    <row r="123">
      <c r="A123" t="inlineStr">
        <is>
          <t>HP</t>
        </is>
      </c>
      <c r="B123" s="5" t="n">
        <v>73</v>
      </c>
      <c r="C123" s="5" t="n">
        <v>68</v>
      </c>
      <c r="D123" s="13" t="n">
        <v>3677129.4</v>
      </c>
      <c r="E123" s="12" t="n">
        <v>0.031</v>
      </c>
      <c r="F123" s="5" t="n">
        <v>36</v>
      </c>
      <c r="G123" t="inlineStr">
        <is>
          <t>Полешко Валентина Володимирівна</t>
        </is>
      </c>
      <c r="H123" s="12" t="n">
        <v>0.2055</v>
      </c>
      <c r="I123" t="inlineStr"/>
      <c r="J123" t="inlineStr"/>
      <c r="K123" t="inlineStr">
        <is>
          <t>Потрібний глибший ШІ аналіз</t>
        </is>
      </c>
    </row>
    <row r="124">
      <c r="A124" t="inlineStr">
        <is>
          <t>Lenovo</t>
        </is>
      </c>
      <c r="B124" s="5" t="n">
        <v>87</v>
      </c>
      <c r="C124" s="5" t="n">
        <v>68</v>
      </c>
      <c r="D124" s="13" t="n">
        <v>3620910.4</v>
      </c>
      <c r="E124" s="12" t="n">
        <v>0.0305</v>
      </c>
      <c r="F124" s="5" t="n">
        <v>36</v>
      </c>
      <c r="G124" t="inlineStr">
        <is>
          <t>ТОВ "НАДІЙНІ ІТ РІШЕННЯ"</t>
        </is>
      </c>
      <c r="H124" s="12" t="n">
        <v>0.12</v>
      </c>
      <c r="I124" t="inlineStr"/>
      <c r="J124" t="inlineStr"/>
      <c r="K124" t="inlineStr">
        <is>
          <t>Потрібний глибший ШІ аналіз</t>
        </is>
      </c>
    </row>
    <row r="125">
      <c r="A125" t="inlineStr">
        <is>
          <t>Samsung</t>
        </is>
      </c>
      <c r="B125" s="5" t="n">
        <v>49</v>
      </c>
      <c r="C125" s="5" t="n">
        <v>34</v>
      </c>
      <c r="D125" s="13" t="n">
        <v>3331362.44</v>
      </c>
      <c r="E125" s="12" t="n">
        <v>0.0281</v>
      </c>
      <c r="F125" s="5" t="n">
        <v>27</v>
      </c>
      <c r="G125" t="inlineStr">
        <is>
          <t>ТОВ "ПАРСЕРС"</t>
        </is>
      </c>
      <c r="H125" s="12" t="n">
        <v>0.4124</v>
      </c>
      <c r="I125" t="inlineStr"/>
      <c r="J125" t="inlineStr"/>
      <c r="K125" t="inlineStr">
        <is>
          <t>Потрібний глибший ШІ аналіз</t>
        </is>
      </c>
    </row>
    <row r="126">
      <c r="A126" t="inlineStr">
        <is>
          <t>AMD</t>
        </is>
      </c>
      <c r="B126" s="5" t="n">
        <v>69</v>
      </c>
      <c r="C126" s="5" t="n">
        <v>76</v>
      </c>
      <c r="D126" s="13" t="n">
        <v>2413130.6</v>
      </c>
      <c r="E126" s="12" t="n">
        <v>0.0203</v>
      </c>
      <c r="F126" s="5" t="n">
        <v>17</v>
      </c>
      <c r="G126" t="inlineStr">
        <is>
          <t>ТОВ «ПОРТАЛ АРЕНА»</t>
        </is>
      </c>
      <c r="H126" s="12" t="n">
        <v>0.6599</v>
      </c>
      <c r="I126" t="inlineStr"/>
      <c r="J126" t="inlineStr"/>
      <c r="K126" t="inlineStr">
        <is>
          <t>Потрібний глибший ШІ аналіз</t>
        </is>
      </c>
    </row>
    <row r="127">
      <c r="A127" t="inlineStr">
        <is>
          <t>ASUS</t>
        </is>
      </c>
      <c r="B127" s="5" t="n">
        <v>58</v>
      </c>
      <c r="C127" s="5" t="n">
        <v>55</v>
      </c>
      <c r="D127" s="13" t="n">
        <v>2159247.1</v>
      </c>
      <c r="E127" s="12" t="n">
        <v>0.0182</v>
      </c>
      <c r="F127" s="5" t="n">
        <v>26</v>
      </c>
      <c r="G127" t="inlineStr">
        <is>
          <t>ТОВ "НАДІЙНІ ІТ РІШЕННЯ"</t>
        </is>
      </c>
      <c r="H127" s="12" t="n">
        <v>0.3054</v>
      </c>
      <c r="I127" t="inlineStr"/>
      <c r="J127" t="inlineStr"/>
      <c r="K127" t="inlineStr">
        <is>
          <t>Потрібний глибший ШІ аналіз</t>
        </is>
      </c>
    </row>
    <row r="128">
      <c r="A128" t="inlineStr">
        <is>
          <t>Dell</t>
        </is>
      </c>
      <c r="B128" s="5" t="n">
        <v>23</v>
      </c>
      <c r="C128" s="5" t="n">
        <v>20</v>
      </c>
      <c r="D128" s="13" t="n">
        <v>1543550.98</v>
      </c>
      <c r="E128" s="12" t="n">
        <v>0.013</v>
      </c>
      <c r="F128" s="5" t="n">
        <v>13</v>
      </c>
      <c r="G128" t="inlineStr">
        <is>
          <t>ТОВ "КСА 7"</t>
        </is>
      </c>
      <c r="H128" s="12" t="n">
        <v>0.2706</v>
      </c>
      <c r="I128" t="inlineStr"/>
      <c r="J128" t="inlineStr"/>
      <c r="K128" t="inlineStr">
        <is>
          <t>Потрібний глибший ШІ аналіз</t>
        </is>
      </c>
    </row>
    <row r="129">
      <c r="A129" t="inlineStr">
        <is>
          <t>Vinga</t>
        </is>
      </c>
      <c r="B129" s="5" t="n">
        <v>41</v>
      </c>
      <c r="C129" s="5" t="n">
        <v>41</v>
      </c>
      <c r="D129" s="13" t="n">
        <v>1475962.16</v>
      </c>
      <c r="E129" s="12" t="n">
        <v>0.0124</v>
      </c>
      <c r="F129" s="5" t="n">
        <v>19</v>
      </c>
      <c r="G129" t="inlineStr">
        <is>
          <t>ТОВ "МАКСИМВІСІМ"</t>
        </is>
      </c>
      <c r="H129" s="12" t="n">
        <v>0.5185999999999999</v>
      </c>
      <c r="I129" t="inlineStr"/>
      <c r="J129" t="inlineStr">
        <is>
          <t>КОМЕЛ</t>
        </is>
      </c>
      <c r="K129" t="inlineStr">
        <is>
          <t>Потрібний глибший ШІ аналіз</t>
        </is>
      </c>
    </row>
    <row r="130">
      <c r="A130" t="inlineStr">
        <is>
          <t>Acer</t>
        </is>
      </c>
      <c r="B130" s="5" t="n">
        <v>44</v>
      </c>
      <c r="C130" s="5" t="n">
        <v>40</v>
      </c>
      <c r="D130" s="13" t="n">
        <v>1442487.18</v>
      </c>
      <c r="E130" s="12" t="n">
        <v>0.0122</v>
      </c>
      <c r="F130" s="5" t="n">
        <v>23</v>
      </c>
      <c r="G130" t="inlineStr">
        <is>
          <t>ТОВ «ЮДІТРЕЙД»</t>
        </is>
      </c>
      <c r="H130" s="12" t="n">
        <v>0.2585</v>
      </c>
      <c r="I130" t="inlineStr"/>
      <c r="J130" t="inlineStr"/>
      <c r="K130" t="inlineStr">
        <is>
          <t>Потрібний глибший ШІ аналіз</t>
        </is>
      </c>
    </row>
    <row r="131">
      <c r="A131" t="inlineStr">
        <is>
          <t>Microsoft</t>
        </is>
      </c>
      <c r="B131" s="5" t="n">
        <v>58</v>
      </c>
      <c r="C131" s="5" t="n">
        <v>55</v>
      </c>
      <c r="D131" s="13" t="n">
        <v>1075129</v>
      </c>
      <c r="E131" s="12" t="n">
        <v>0.0091</v>
      </c>
      <c r="F131" s="5" t="n">
        <v>7</v>
      </c>
      <c r="G131" t="inlineStr">
        <is>
          <t>ФОП Атаманська Анастасія Сергіївна</t>
        </is>
      </c>
      <c r="H131" s="12" t="n">
        <v>0.4968</v>
      </c>
      <c r="I131" t="inlineStr"/>
      <c r="J131" t="inlineStr"/>
      <c r="K131" t="inlineStr">
        <is>
          <t>Потрібний глибший ШІ аналіз</t>
        </is>
      </c>
    </row>
    <row r="132">
      <c r="A132" t="inlineStr">
        <is>
          <t>Artline</t>
        </is>
      </c>
      <c r="B132" s="5" t="n">
        <v>20</v>
      </c>
      <c r="C132" s="5" t="n">
        <v>16</v>
      </c>
      <c r="D132" s="13" t="n">
        <v>884344.5</v>
      </c>
      <c r="E132" s="12" t="n">
        <v>0.0075</v>
      </c>
      <c r="F132" s="5" t="n">
        <v>7</v>
      </c>
      <c r="G132" t="inlineStr">
        <is>
          <t>ТОВ "АРТЛАЙН ІНТЕГРАЦІЯ"</t>
        </is>
      </c>
      <c r="H132" s="12" t="n">
        <v>0.5399</v>
      </c>
      <c r="I132" t="inlineStr"/>
      <c r="J132" t="inlineStr">
        <is>
          <t>АРТЛАЙН ІНТЕГРАЦІЯ</t>
        </is>
      </c>
      <c r="K132" t="inlineStr">
        <is>
          <t>Потрібний глибший ШІ аналіз</t>
        </is>
      </c>
    </row>
    <row r="133">
      <c r="A133" t="inlineStr">
        <is>
          <t>Epson</t>
        </is>
      </c>
      <c r="B133" s="5" t="n">
        <v>58</v>
      </c>
      <c r="C133" s="5" t="n">
        <v>53</v>
      </c>
      <c r="D133" s="13" t="n">
        <v>810836.4300000001</v>
      </c>
      <c r="E133" s="12" t="n">
        <v>0.0068</v>
      </c>
      <c r="F133" s="5" t="n">
        <v>31</v>
      </c>
      <c r="G133" t="inlineStr">
        <is>
          <t>ФОП "Храпко Іван Володимирович"</t>
        </is>
      </c>
      <c r="H133" s="12" t="n">
        <v>0.1302</v>
      </c>
      <c r="I133" t="inlineStr"/>
      <c r="J133" t="inlineStr"/>
      <c r="K133" t="inlineStr">
        <is>
          <t>Потрібний глибший ШІ аналіз</t>
        </is>
      </c>
    </row>
    <row r="134">
      <c r="A134" t="inlineStr">
        <is>
          <t>MSI</t>
        </is>
      </c>
      <c r="B134" s="5" t="n">
        <v>26</v>
      </c>
      <c r="C134" s="5" t="n">
        <v>23</v>
      </c>
      <c r="D134" s="13" t="n">
        <v>701629.38</v>
      </c>
      <c r="E134" s="12" t="n">
        <v>0.0059</v>
      </c>
      <c r="F134" s="5" t="n">
        <v>13</v>
      </c>
      <c r="G134" t="inlineStr">
        <is>
          <t>ТОВ "ПАРСЕРС"</t>
        </is>
      </c>
      <c r="H134" s="12" t="n">
        <v>0.2622</v>
      </c>
      <c r="I134" t="inlineStr"/>
      <c r="J134" t="inlineStr"/>
      <c r="K134" t="inlineStr">
        <is>
          <t>Потрібний глибший ШІ аналіз</t>
        </is>
      </c>
    </row>
    <row r="135">
      <c r="A135" t="inlineStr">
        <is>
          <t>Impression</t>
        </is>
      </c>
      <c r="B135" s="5" t="n">
        <v>12</v>
      </c>
      <c r="C135" s="5" t="n">
        <v>9</v>
      </c>
      <c r="D135" s="13" t="n">
        <v>577734.66</v>
      </c>
      <c r="E135" s="12" t="n">
        <v>0.0049</v>
      </c>
      <c r="F135" s="5" t="n">
        <v>6</v>
      </c>
      <c r="G135" t="inlineStr">
        <is>
          <t>ТОВ "ДИДАКТИКЛАБ"</t>
        </is>
      </c>
      <c r="H135" s="12" t="n">
        <v>0.3776</v>
      </c>
      <c r="I135" t="inlineStr"/>
      <c r="J135" t="inlineStr"/>
      <c r="K135" t="inlineStr">
        <is>
          <t>Потрібний глибший ШІ аналіз</t>
        </is>
      </c>
    </row>
    <row r="136">
      <c r="A136" t="inlineStr">
        <is>
          <t>APC</t>
        </is>
      </c>
      <c r="B136" s="5" t="n">
        <v>3</v>
      </c>
      <c r="C136" s="5" t="n">
        <v>0</v>
      </c>
      <c r="D136" s="13" t="n">
        <v>418794</v>
      </c>
      <c r="E136" s="12" t="n">
        <v>0.0035</v>
      </c>
      <c r="F136" s="5" t="n">
        <v>3</v>
      </c>
      <c r="G136" t="inlineStr">
        <is>
          <t>ФОП "ФОП ТОМАШЕВСЬКИЙ АРТУР ІВАНОВИЧ"</t>
        </is>
      </c>
      <c r="H136" s="12" t="n">
        <v>0.3552</v>
      </c>
      <c r="I136" t="inlineStr"/>
      <c r="J136" t="inlineStr"/>
      <c r="K136" t="inlineStr">
        <is>
          <t>Потрібний глибший ШІ аналіз</t>
        </is>
      </c>
    </row>
    <row r="137">
      <c r="A137" t="inlineStr">
        <is>
          <t>Logitech</t>
        </is>
      </c>
      <c r="B137" s="5" t="n">
        <v>68</v>
      </c>
      <c r="C137" s="5" t="n">
        <v>65</v>
      </c>
      <c r="D137" s="13" t="n">
        <v>399590.31</v>
      </c>
      <c r="E137" s="12" t="n">
        <v>0.0034</v>
      </c>
      <c r="F137" s="5" t="n">
        <v>28</v>
      </c>
      <c r="G137" t="inlineStr">
        <is>
          <t>ФОП "ІВАНОВ ІГОР ВІКТОРОВИЧ"</t>
        </is>
      </c>
      <c r="H137" s="12" t="n">
        <v>0.1857</v>
      </c>
      <c r="I137" t="inlineStr"/>
      <c r="J137" t="inlineStr"/>
      <c r="K137" t="inlineStr">
        <is>
          <t>Потрібний глибший ШІ аналіз</t>
        </is>
      </c>
    </row>
    <row r="138">
      <c r="A138" t="inlineStr">
        <is>
          <t>Philips</t>
        </is>
      </c>
      <c r="B138" s="5" t="n">
        <v>18</v>
      </c>
      <c r="C138" s="5" t="n">
        <v>15</v>
      </c>
      <c r="D138" s="13" t="n">
        <v>351306.9</v>
      </c>
      <c r="E138" s="12" t="n">
        <v>0.003</v>
      </c>
      <c r="F138" s="5" t="n">
        <v>9</v>
      </c>
      <c r="G138" t="inlineStr">
        <is>
          <t>ТОВ "МОБАЙЛ АЙТІ"</t>
        </is>
      </c>
      <c r="H138" s="12" t="n">
        <v>0.4274</v>
      </c>
      <c r="I138" t="inlineStr"/>
      <c r="J138" t="inlineStr"/>
      <c r="K138" t="inlineStr">
        <is>
          <t>Потрібний глибший ШІ аналіз</t>
        </is>
      </c>
    </row>
    <row r="139">
      <c r="A139" t="inlineStr">
        <is>
          <t>Toshiba</t>
        </is>
      </c>
      <c r="B139" s="5" t="n">
        <v>6</v>
      </c>
      <c r="C139" s="5" t="n">
        <v>5</v>
      </c>
      <c r="D139" s="13" t="n">
        <v>304544.04</v>
      </c>
      <c r="E139" s="12" t="n">
        <v>0.0026</v>
      </c>
      <c r="F139" s="5" t="n">
        <v>4</v>
      </c>
      <c r="G139" t="inlineStr">
        <is>
          <t>ТОВ "МОБАЙЛ АЙТІ"</t>
        </is>
      </c>
      <c r="H139" s="12" t="n">
        <v>0.5478</v>
      </c>
      <c r="I139" t="inlineStr"/>
      <c r="J139" t="inlineStr"/>
      <c r="K139" t="inlineStr">
        <is>
          <t>Потрібний глибший ШІ аналіз</t>
        </is>
      </c>
    </row>
    <row r="140">
      <c r="A140" t="inlineStr">
        <is>
          <t>A4Tech</t>
        </is>
      </c>
      <c r="B140" s="5" t="n">
        <v>25</v>
      </c>
      <c r="C140" s="5" t="n">
        <v>21</v>
      </c>
      <c r="D140" s="13" t="n">
        <v>192363.38</v>
      </c>
      <c r="E140" s="12" t="n">
        <v>0.0016</v>
      </c>
      <c r="F140" s="5" t="n">
        <v>11</v>
      </c>
      <c r="G140" t="inlineStr">
        <is>
          <t>ТОВ "Епіцентр К"</t>
        </is>
      </c>
      <c r="H140" s="12" t="n">
        <v>0.437</v>
      </c>
      <c r="I140" t="inlineStr"/>
      <c r="J140" t="inlineStr"/>
      <c r="K140" t="inlineStr">
        <is>
          <t>Потрібний глибший ШІ аналіз</t>
        </is>
      </c>
    </row>
    <row r="141">
      <c r="A141" t="inlineStr">
        <is>
          <t>Prologix</t>
        </is>
      </c>
      <c r="B141" s="5" t="n">
        <v>7</v>
      </c>
      <c r="C141" s="5" t="n">
        <v>6</v>
      </c>
      <c r="D141" s="13" t="n">
        <v>175334</v>
      </c>
      <c r="E141" s="12" t="n">
        <v>0.0015</v>
      </c>
      <c r="F141" s="5" t="n">
        <v>6</v>
      </c>
      <c r="G141" t="inlineStr">
        <is>
          <t>ФОП "Гріпіч Тетяна Борисівна"</t>
        </is>
      </c>
      <c r="H141" s="12" t="n">
        <v>0.3422</v>
      </c>
      <c r="I141" t="inlineStr"/>
      <c r="J141" t="inlineStr">
        <is>
          <t>РЕФОРМА СИСТЕМЗ</t>
        </is>
      </c>
      <c r="K141" t="inlineStr">
        <is>
          <t>Потрібний глибший ШІ аналіз</t>
        </is>
      </c>
    </row>
    <row r="142">
      <c r="A142" t="inlineStr">
        <is>
          <t>Patriot</t>
        </is>
      </c>
      <c r="B142" s="5" t="n">
        <v>9</v>
      </c>
      <c r="C142" s="5" t="n">
        <v>11</v>
      </c>
      <c r="D142" s="13" t="n">
        <v>175004</v>
      </c>
      <c r="E142" s="12" t="n">
        <v>0.0015</v>
      </c>
      <c r="F142" s="5" t="n">
        <v>6</v>
      </c>
      <c r="G142" t="inlineStr">
        <is>
          <t>ФОП Сидняк Костянтин Володимирович</t>
        </is>
      </c>
      <c r="H142" s="12" t="n">
        <v>0.496</v>
      </c>
      <c r="I142" t="inlineStr"/>
      <c r="J142" t="inlineStr"/>
      <c r="K142" t="inlineStr">
        <is>
          <t>Потрібний глибший ШІ аналіз</t>
        </is>
      </c>
    </row>
    <row r="143">
      <c r="A143" t="inlineStr">
        <is>
          <t>Kingston</t>
        </is>
      </c>
      <c r="B143" s="5" t="n">
        <v>24</v>
      </c>
      <c r="C143" s="5" t="n">
        <v>31</v>
      </c>
      <c r="D143" s="13" t="n">
        <v>171547.92</v>
      </c>
      <c r="E143" s="12" t="n">
        <v>0.0014</v>
      </c>
      <c r="F143" s="5" t="n">
        <v>15</v>
      </c>
      <c r="G143" t="inlineStr">
        <is>
          <t>ТзОВ "ПРИВАТІНВЕСТ"</t>
        </is>
      </c>
      <c r="H143" s="12" t="n">
        <v>0.2131</v>
      </c>
      <c r="I143" t="inlineStr"/>
      <c r="J143" t="inlineStr"/>
      <c r="K143" t="inlineStr">
        <is>
          <t>Потрібний глибший ШІ аналіз</t>
        </is>
      </c>
    </row>
    <row r="144">
      <c r="A144" t="inlineStr">
        <is>
          <t>NVIDIA</t>
        </is>
      </c>
      <c r="B144" s="5" t="n">
        <v>11</v>
      </c>
      <c r="C144" s="5" t="n">
        <v>12</v>
      </c>
      <c r="D144" s="13" t="n">
        <v>164000</v>
      </c>
      <c r="E144" s="12" t="n">
        <v>0.0014</v>
      </c>
      <c r="F144" s="5" t="n">
        <v>1</v>
      </c>
      <c r="G144" t="inlineStr">
        <is>
          <t>ТОВ "ПАРСЕРС"</t>
        </is>
      </c>
      <c r="H144" s="12" t="n">
        <v>1</v>
      </c>
      <c r="I144" t="inlineStr">
        <is>
          <t>так</t>
        </is>
      </c>
      <c r="J144" t="inlineStr"/>
      <c r="K144" t="inlineStr">
        <is>
          <t>Потрібний глибший ШІ аналіз</t>
        </is>
      </c>
    </row>
    <row r="145">
      <c r="A145" t="inlineStr">
        <is>
          <t>Western Digital</t>
        </is>
      </c>
      <c r="B145" s="5" t="n">
        <v>5</v>
      </c>
      <c r="C145" s="5" t="n">
        <v>5</v>
      </c>
      <c r="D145" s="13" t="n">
        <v>138260.96</v>
      </c>
      <c r="E145" s="12" t="n">
        <v>0.0012</v>
      </c>
      <c r="F145" s="5" t="n">
        <v>4</v>
      </c>
      <c r="G145" t="inlineStr">
        <is>
          <t>ФОП МІЩЕНКО ОЛЕНА АНАТОЛІЇВНА</t>
        </is>
      </c>
      <c r="H145" s="12" t="n">
        <v>0.4814</v>
      </c>
      <c r="I145" t="inlineStr"/>
      <c r="J145" t="inlineStr"/>
      <c r="K145" t="inlineStr">
        <is>
          <t>Потрібний глибший ШІ аналіз</t>
        </is>
      </c>
    </row>
    <row r="146">
      <c r="A146" t="inlineStr">
        <is>
          <t>Verbatim</t>
        </is>
      </c>
      <c r="B146" s="5" t="n">
        <v>7</v>
      </c>
      <c r="C146" s="5" t="n">
        <v>3</v>
      </c>
      <c r="D146" s="13" t="n">
        <v>132958</v>
      </c>
      <c r="E146" s="12" t="n">
        <v>0.0011</v>
      </c>
      <c r="F146" s="5" t="n">
        <v>4</v>
      </c>
      <c r="G146" t="inlineStr">
        <is>
          <t>ФОП Господенко Олександр Романович</t>
        </is>
      </c>
      <c r="H146" s="12" t="n">
        <v>0.5953000000000001</v>
      </c>
      <c r="I146" t="inlineStr"/>
      <c r="J146" t="inlineStr"/>
      <c r="K146" t="inlineStr">
        <is>
          <t>Потрібний глибший ШІ аналіз</t>
        </is>
      </c>
    </row>
    <row r="147">
      <c r="A147" t="inlineStr">
        <is>
          <t>GOODRAM</t>
        </is>
      </c>
      <c r="B147" s="5" t="n">
        <v>13</v>
      </c>
      <c r="C147" s="5" t="n">
        <v>14</v>
      </c>
      <c r="D147" s="13" t="n">
        <v>125181.1</v>
      </c>
      <c r="E147" s="12" t="n">
        <v>0.0011</v>
      </c>
      <c r="F147" s="5" t="n">
        <v>6</v>
      </c>
      <c r="G147" t="inlineStr">
        <is>
          <t>ТОВ "КОМПЛЕКСНІ РІШЕННЯ МЕРЕЖ"</t>
        </is>
      </c>
      <c r="H147" s="12" t="n">
        <v>0.6301</v>
      </c>
      <c r="I147" t="inlineStr"/>
      <c r="J147" t="inlineStr"/>
      <c r="K147" t="inlineStr">
        <is>
          <t>Потрібний глибший ШІ аналіз</t>
        </is>
      </c>
    </row>
    <row r="148">
      <c r="A148" t="inlineStr">
        <is>
          <t>Transcend</t>
        </is>
      </c>
      <c r="B148" s="5" t="n">
        <v>13</v>
      </c>
      <c r="C148" s="5" t="n">
        <v>13</v>
      </c>
      <c r="D148" s="13" t="n">
        <v>87647.27</v>
      </c>
      <c r="E148" s="12" t="n">
        <v>0.0007</v>
      </c>
      <c r="F148" s="5" t="n">
        <v>5</v>
      </c>
      <c r="G148" t="inlineStr">
        <is>
          <t>ТОВ "КТС Бізнес"</t>
        </is>
      </c>
      <c r="H148" s="12" t="n">
        <v>0.8667</v>
      </c>
      <c r="I148" t="inlineStr"/>
      <c r="J148" t="inlineStr"/>
      <c r="K148" t="inlineStr">
        <is>
          <t>Потрібний глибший ШІ аналіз</t>
        </is>
      </c>
    </row>
    <row r="149">
      <c r="A149" t="inlineStr">
        <is>
          <t>2E</t>
        </is>
      </c>
      <c r="B149" s="5" t="n">
        <v>11</v>
      </c>
      <c r="C149" s="5" t="n">
        <v>10</v>
      </c>
      <c r="D149" s="13" t="n">
        <v>69057</v>
      </c>
      <c r="E149" s="12" t="n">
        <v>0.0005999999999999999</v>
      </c>
      <c r="F149" s="5" t="n">
        <v>6</v>
      </c>
      <c r="G149" t="inlineStr">
        <is>
          <t>ТОВ "ПАРСЕРС"</t>
        </is>
      </c>
      <c r="H149" s="12" t="n">
        <v>0.5995</v>
      </c>
      <c r="I149" t="inlineStr"/>
      <c r="J149" t="inlineStr"/>
      <c r="K149" t="inlineStr">
        <is>
          <t>Потрібний глибший ШІ аналіз</t>
        </is>
      </c>
    </row>
    <row r="150">
      <c r="A150" t="inlineStr">
        <is>
          <t>Pantum</t>
        </is>
      </c>
      <c r="B150" s="5" t="n">
        <v>1</v>
      </c>
      <c r="C150" s="5" t="n">
        <v>1</v>
      </c>
      <c r="D150" s="13" t="n">
        <v>68580</v>
      </c>
      <c r="E150" s="12" t="n">
        <v>0.0005999999999999999</v>
      </c>
      <c r="F150" s="5" t="n">
        <v>1</v>
      </c>
      <c r="G150" t="inlineStr">
        <is>
          <t>ГАЛКІНА ТАМАРА ІВАНІВНА</t>
        </is>
      </c>
      <c r="H150" s="12" t="n">
        <v>1</v>
      </c>
      <c r="I150" t="inlineStr">
        <is>
          <t>так</t>
        </is>
      </c>
      <c r="J150" t="inlineStr"/>
      <c r="K150" t="inlineStr">
        <is>
          <t>Потрібний глибший ШІ аналіз</t>
        </is>
      </c>
    </row>
    <row r="151">
      <c r="A151" t="inlineStr">
        <is>
          <t>Chieftec</t>
        </is>
      </c>
      <c r="B151" s="5" t="n">
        <v>2</v>
      </c>
      <c r="C151" s="5" t="n">
        <v>2</v>
      </c>
      <c r="D151" s="13" t="n">
        <v>65950</v>
      </c>
      <c r="E151" s="12" t="n">
        <v>0.0005999999999999999</v>
      </c>
      <c r="F151" s="5" t="n">
        <v>1</v>
      </c>
      <c r="G151" t="inlineStr">
        <is>
          <t>Оборонний постачальник</t>
        </is>
      </c>
      <c r="H151" s="12" t="n">
        <v>1</v>
      </c>
      <c r="I151" t="inlineStr">
        <is>
          <t>так</t>
        </is>
      </c>
      <c r="J151" t="inlineStr"/>
      <c r="K151" t="inlineStr">
        <is>
          <t>Потрібний глибший ШІ аналіз</t>
        </is>
      </c>
    </row>
    <row r="152">
      <c r="A152" t="inlineStr">
        <is>
          <t>Seagate</t>
        </is>
      </c>
      <c r="B152" s="5" t="n">
        <v>6</v>
      </c>
      <c r="C152" s="5" t="n">
        <v>7</v>
      </c>
      <c r="D152" s="13" t="n">
        <v>61762</v>
      </c>
      <c r="E152" s="12" t="n">
        <v>0.0005</v>
      </c>
      <c r="F152" s="5" t="n">
        <v>3</v>
      </c>
      <c r="G152" t="inlineStr">
        <is>
          <t>Оборонний постачальник</t>
        </is>
      </c>
      <c r="H152" s="12" t="n">
        <v>0.8638</v>
      </c>
      <c r="I152" t="inlineStr"/>
      <c r="J152" t="inlineStr"/>
      <c r="K152" t="inlineStr">
        <is>
          <t>Потрібний глибший ШІ аналіз</t>
        </is>
      </c>
    </row>
    <row r="153">
      <c r="A153" t="inlineStr">
        <is>
          <t>Sandisk</t>
        </is>
      </c>
      <c r="B153" s="5" t="n">
        <v>5</v>
      </c>
      <c r="C153" s="5" t="n">
        <v>5</v>
      </c>
      <c r="D153" s="13" t="n">
        <v>60397.03</v>
      </c>
      <c r="E153" s="12" t="n">
        <v>0.0005</v>
      </c>
      <c r="F153" s="5" t="n">
        <v>2</v>
      </c>
      <c r="G153" t="inlineStr">
        <is>
          <t>Кучер Борис Борисович</t>
        </is>
      </c>
      <c r="H153" s="12" t="n">
        <v>0.9885</v>
      </c>
      <c r="I153" t="inlineStr"/>
      <c r="J153" t="inlineStr"/>
      <c r="K153" t="inlineStr">
        <is>
          <t>Потрібний глибший ШІ аналіз</t>
        </is>
      </c>
    </row>
    <row r="154">
      <c r="A154" t="inlineStr">
        <is>
          <t>Micron</t>
        </is>
      </c>
      <c r="B154" s="5" t="n">
        <v>3</v>
      </c>
      <c r="C154" s="5" t="n">
        <v>3</v>
      </c>
      <c r="D154" s="13" t="n">
        <v>60224</v>
      </c>
      <c r="E154" s="12" t="n">
        <v>0.0005</v>
      </c>
      <c r="F154" s="5" t="n">
        <v>2</v>
      </c>
      <c r="G154" t="inlineStr">
        <is>
          <t>ТОВ "ЛІНТУ"</t>
        </is>
      </c>
      <c r="H154" s="12" t="n">
        <v>0.9518</v>
      </c>
      <c r="I154" t="inlineStr"/>
      <c r="J154" t="inlineStr"/>
      <c r="K154" t="inlineStr">
        <is>
          <t>Потрібний глибший ШІ аналіз</t>
        </is>
      </c>
    </row>
    <row r="155">
      <c r="A155" t="inlineStr">
        <is>
          <t>Brother</t>
        </is>
      </c>
      <c r="B155" s="5" t="n">
        <v>4</v>
      </c>
      <c r="C155" s="5" t="n">
        <v>3</v>
      </c>
      <c r="D155" s="13" t="n">
        <v>60119</v>
      </c>
      <c r="E155" s="12" t="n">
        <v>0.0005</v>
      </c>
      <c r="F155" s="5" t="n">
        <v>2</v>
      </c>
      <c r="G155" t="inlineStr">
        <is>
          <t>ФОП "Гріпіч Тетяна Борисівна"</t>
        </is>
      </c>
      <c r="H155" s="12" t="n">
        <v>0.6487000000000001</v>
      </c>
      <c r="I155" t="inlineStr"/>
      <c r="J155" t="inlineStr"/>
      <c r="K155" t="inlineStr">
        <is>
          <t>Потрібний глибший ШІ аналіз</t>
        </is>
      </c>
    </row>
    <row r="156">
      <c r="A156" t="inlineStr">
        <is>
          <t>TP-Link</t>
        </is>
      </c>
      <c r="B156" s="5" t="n">
        <v>11</v>
      </c>
      <c r="C156" s="5" t="n">
        <v>12</v>
      </c>
      <c r="D156" s="13" t="n">
        <v>48779</v>
      </c>
      <c r="E156" s="12" t="n">
        <v>0.0004</v>
      </c>
      <c r="F156" s="5" t="n">
        <v>5</v>
      </c>
      <c r="G156" t="inlineStr">
        <is>
          <t>ФОП Цяк Валерій Михайлович</t>
        </is>
      </c>
      <c r="H156" s="12" t="n">
        <v>0.4469</v>
      </c>
      <c r="I156" t="inlineStr"/>
      <c r="J156" t="inlineStr"/>
      <c r="K156" t="inlineStr">
        <is>
          <t>Потрібний глибший ШІ аналіз</t>
        </is>
      </c>
    </row>
    <row r="157">
      <c r="A157" t="inlineStr">
        <is>
          <t>Xiaomi</t>
        </is>
      </c>
      <c r="B157" s="5" t="n">
        <v>8</v>
      </c>
      <c r="C157" s="5" t="n">
        <v>8</v>
      </c>
      <c r="D157" s="13" t="n">
        <v>47163</v>
      </c>
      <c r="E157" s="12" t="n">
        <v>0.0004</v>
      </c>
      <c r="F157" s="5" t="n">
        <v>4</v>
      </c>
      <c r="G157" t="inlineStr">
        <is>
          <t>ФО-П ТАРАСОВ ОЛЕКСАНДР ОЛЕГОВИЧ</t>
        </is>
      </c>
      <c r="H157" s="12" t="n">
        <v>0.3169</v>
      </c>
      <c r="I157" t="inlineStr"/>
      <c r="J157" t="inlineStr"/>
      <c r="K157" t="inlineStr">
        <is>
          <t>Потрібний глибший ШІ аналіз</t>
        </is>
      </c>
    </row>
    <row r="158">
      <c r="A158" t="inlineStr">
        <is>
          <t>ADATA</t>
        </is>
      </c>
      <c r="B158" s="5" t="n">
        <v>3</v>
      </c>
      <c r="C158" s="5" t="n">
        <v>3</v>
      </c>
      <c r="D158" s="13" t="n">
        <v>46720</v>
      </c>
      <c r="E158" s="12" t="n">
        <v>0.0004</v>
      </c>
      <c r="F158" s="5" t="n">
        <v>2</v>
      </c>
      <c r="G158" t="inlineStr">
        <is>
          <t>ФОП Хомич Вікторія Вікторівна</t>
        </is>
      </c>
      <c r="H158" s="12" t="n">
        <v>0.8968</v>
      </c>
      <c r="I158" t="inlineStr"/>
      <c r="J158" t="inlineStr"/>
      <c r="K158" t="inlineStr">
        <is>
          <t>Потрібний глибший ШІ аналіз</t>
        </is>
      </c>
    </row>
    <row r="159">
      <c r="A159" t="inlineStr">
        <is>
          <t>Crucial</t>
        </is>
      </c>
      <c r="B159" s="5" t="n">
        <v>2</v>
      </c>
      <c r="C159" s="5" t="n">
        <v>2</v>
      </c>
      <c r="D159" s="13" t="n">
        <v>45000</v>
      </c>
      <c r="E159" s="12" t="n">
        <v>0.0004</v>
      </c>
      <c r="F159" s="5" t="n">
        <v>1</v>
      </c>
      <c r="G159" t="inlineStr">
        <is>
          <t>ФОП Ковальчук Юрій Володимирович</t>
        </is>
      </c>
      <c r="H159" s="12" t="n">
        <v>1</v>
      </c>
      <c r="I159" t="inlineStr">
        <is>
          <t>так</t>
        </is>
      </c>
      <c r="J159" t="inlineStr"/>
      <c r="K159" t="inlineStr">
        <is>
          <t>Потрібний глибший ШІ аналіз</t>
        </is>
      </c>
    </row>
    <row r="160">
      <c r="A160" t="inlineStr">
        <is>
          <t>GAMEMAX</t>
        </is>
      </c>
      <c r="B160" s="5" t="n">
        <v>8</v>
      </c>
      <c r="C160" s="5" t="n">
        <v>10</v>
      </c>
      <c r="D160" s="13" t="n">
        <v>34750</v>
      </c>
      <c r="E160" s="12" t="n">
        <v>0.0003</v>
      </c>
      <c r="F160" s="5" t="n">
        <v>2</v>
      </c>
      <c r="G160" t="inlineStr">
        <is>
          <t>ФОП Сидняк Костянтин Володимирович</t>
        </is>
      </c>
      <c r="H160" s="12" t="n">
        <v>0.9338</v>
      </c>
      <c r="I160" t="inlineStr"/>
      <c r="J160" t="inlineStr"/>
      <c r="K160" t="inlineStr">
        <is>
          <t>Потрібний глибший ШІ аналіз</t>
        </is>
      </c>
    </row>
    <row r="161">
      <c r="A161" t="inlineStr">
        <is>
          <t>Gembird</t>
        </is>
      </c>
      <c r="B161" s="5" t="n">
        <v>18</v>
      </c>
      <c r="C161" s="5" t="n">
        <v>20</v>
      </c>
      <c r="D161" s="13" t="n">
        <v>31979.75</v>
      </c>
      <c r="E161" s="12" t="n">
        <v>0.0003</v>
      </c>
      <c r="F161" s="5" t="n">
        <v>13</v>
      </c>
      <c r="G161" t="inlineStr">
        <is>
          <t>ФОП Петрощук Сергій Володимирович</t>
        </is>
      </c>
      <c r="H161" s="12" t="n">
        <v>0.3002</v>
      </c>
      <c r="I161" t="inlineStr"/>
      <c r="J161" t="inlineStr"/>
      <c r="K161" t="inlineStr">
        <is>
          <t>Потрібний глибший ШІ аналіз</t>
        </is>
      </c>
    </row>
    <row r="162">
      <c r="A162" t="inlineStr">
        <is>
          <t>Xerox</t>
        </is>
      </c>
      <c r="B162" s="5" t="n">
        <v>6</v>
      </c>
      <c r="C162" s="5" t="n">
        <v>7</v>
      </c>
      <c r="D162" s="13" t="n">
        <v>31486</v>
      </c>
      <c r="E162" s="12" t="n">
        <v>0.0003</v>
      </c>
      <c r="F162" s="5" t="n">
        <v>2</v>
      </c>
      <c r="G162" t="inlineStr">
        <is>
          <t>ФОП Цяк Валерій Михайлович</t>
        </is>
      </c>
      <c r="H162" s="12" t="n">
        <v>0.659</v>
      </c>
      <c r="I162" t="inlineStr"/>
      <c r="J162" t="inlineStr"/>
      <c r="K162" t="inlineStr">
        <is>
          <t>Потрібний глибший ШІ аналіз</t>
        </is>
      </c>
    </row>
    <row r="163">
      <c r="A163" t="inlineStr">
        <is>
          <t>Cablexpert</t>
        </is>
      </c>
      <c r="B163" s="5" t="n">
        <v>12</v>
      </c>
      <c r="C163" s="5" t="n">
        <v>16</v>
      </c>
      <c r="D163" s="13" t="n">
        <v>31284.48</v>
      </c>
      <c r="E163" s="12" t="n">
        <v>0.0003</v>
      </c>
      <c r="F163" s="5" t="n">
        <v>6</v>
      </c>
      <c r="G163" t="inlineStr">
        <is>
          <t>ФОП Томчик Євгеній Вікторович</t>
        </is>
      </c>
      <c r="H163" s="12" t="n">
        <v>0.4391</v>
      </c>
      <c r="I163" t="inlineStr"/>
      <c r="J163" t="inlineStr"/>
      <c r="K163" t="inlineStr">
        <is>
          <t>Потрібний глибший ШІ аналіз</t>
        </is>
      </c>
    </row>
    <row r="164">
      <c r="A164" t="inlineStr">
        <is>
          <t>Genius</t>
        </is>
      </c>
      <c r="B164" s="5" t="n">
        <v>13</v>
      </c>
      <c r="C164" s="5" t="n">
        <v>14</v>
      </c>
      <c r="D164" s="13" t="n">
        <v>24706.8</v>
      </c>
      <c r="E164" s="12" t="n">
        <v>0.0002</v>
      </c>
      <c r="F164" s="5" t="n">
        <v>9</v>
      </c>
      <c r="G164" t="inlineStr">
        <is>
          <t>ФОП Зінчук Юлія Федорівна</t>
        </is>
      </c>
      <c r="H164" s="12" t="n">
        <v>0.4857</v>
      </c>
      <c r="I164" t="inlineStr"/>
      <c r="J164" t="inlineStr"/>
      <c r="K164" t="inlineStr">
        <is>
          <t>Потрібний глибший ШІ аналіз</t>
        </is>
      </c>
    </row>
    <row r="165">
      <c r="A165" t="inlineStr">
        <is>
          <t>Kyocera</t>
        </is>
      </c>
      <c r="B165" s="5" t="n">
        <v>1</v>
      </c>
      <c r="C165" s="5" t="n">
        <v>0</v>
      </c>
      <c r="D165" s="13" t="n">
        <v>16320</v>
      </c>
      <c r="E165" s="12" t="n">
        <v>0.0001</v>
      </c>
      <c r="F165" s="5" t="n">
        <v>1</v>
      </c>
      <c r="G165" t="inlineStr">
        <is>
          <t>ТОВ "САНТАРЕКС"</t>
        </is>
      </c>
      <c r="H165" s="12" t="n">
        <v>1</v>
      </c>
      <c r="I165" t="inlineStr">
        <is>
          <t>так</t>
        </is>
      </c>
      <c r="J165" t="inlineStr"/>
      <c r="K165" t="inlineStr">
        <is>
          <t>Потрібний глибший ШІ аналіз</t>
        </is>
      </c>
    </row>
    <row r="166">
      <c r="A166" t="inlineStr">
        <is>
          <t>iiyama</t>
        </is>
      </c>
      <c r="B166" s="5" t="n">
        <v>1</v>
      </c>
      <c r="C166" s="5" t="n">
        <v>1</v>
      </c>
      <c r="D166" s="13" t="n">
        <v>14850</v>
      </c>
      <c r="E166" s="12" t="n">
        <v>0.0001</v>
      </c>
      <c r="F166" s="5" t="n">
        <v>1</v>
      </c>
      <c r="G166" t="inlineStr">
        <is>
          <t>ФОП Томчик Євгеній Вікторович</t>
        </is>
      </c>
      <c r="H166" s="12" t="n">
        <v>1</v>
      </c>
      <c r="I166" t="inlineStr">
        <is>
          <t>так</t>
        </is>
      </c>
      <c r="J166" t="inlineStr"/>
      <c r="K166" t="inlineStr">
        <is>
          <t>Потрібний глибший ШІ аналіз</t>
        </is>
      </c>
    </row>
    <row r="167">
      <c r="A167" t="inlineStr">
        <is>
          <t>Maxxter</t>
        </is>
      </c>
      <c r="B167" s="5" t="n">
        <v>7</v>
      </c>
      <c r="C167" s="5" t="n">
        <v>7</v>
      </c>
      <c r="D167" s="13" t="n">
        <v>12461</v>
      </c>
      <c r="E167" s="12" t="n">
        <v>0.0001</v>
      </c>
      <c r="F167" s="5" t="n">
        <v>4</v>
      </c>
      <c r="G167" t="inlineStr">
        <is>
          <t>ФОП Варшик Богдан Анатолійович</t>
        </is>
      </c>
      <c r="H167" s="12" t="n">
        <v>0.5296999999999999</v>
      </c>
      <c r="I167" t="inlineStr"/>
      <c r="J167" t="inlineStr"/>
      <c r="K167" t="inlineStr">
        <is>
          <t>Потрібний глибший ШІ аналіз</t>
        </is>
      </c>
    </row>
    <row r="168">
      <c r="A168" t="inlineStr">
        <is>
          <t>Defender</t>
        </is>
      </c>
      <c r="B168" s="5" t="n">
        <v>11</v>
      </c>
      <c r="C168" s="5" t="n">
        <v>12</v>
      </c>
      <c r="D168" s="13" t="n">
        <v>8168.13</v>
      </c>
      <c r="E168" s="12" t="n">
        <v>0.0001</v>
      </c>
      <c r="F168" s="5" t="n">
        <v>5</v>
      </c>
      <c r="G168" t="inlineStr">
        <is>
          <t>Підприємець Борух Микола Миколайович</t>
        </is>
      </c>
      <c r="H168" s="12" t="n">
        <v>0.6415</v>
      </c>
      <c r="I168" t="inlineStr"/>
      <c r="J168" t="inlineStr"/>
      <c r="K168" t="inlineStr">
        <is>
          <t>Потрібний глибший ШІ аналіз</t>
        </is>
      </c>
    </row>
    <row r="169">
      <c r="A169" t="inlineStr">
        <is>
          <t>Trust</t>
        </is>
      </c>
      <c r="B169" s="5" t="n">
        <v>5</v>
      </c>
      <c r="C169" s="5" t="n">
        <v>5</v>
      </c>
      <c r="D169" s="13" t="n">
        <v>4201</v>
      </c>
      <c r="E169" s="12" t="n">
        <v>0</v>
      </c>
      <c r="F169" s="5" t="n">
        <v>1</v>
      </c>
      <c r="G169" t="inlineStr">
        <is>
          <t>ФОП Сомик Олександр Іванович</t>
        </is>
      </c>
      <c r="H169" s="12" t="n">
        <v>1</v>
      </c>
      <c r="I169" t="inlineStr">
        <is>
          <t>так</t>
        </is>
      </c>
      <c r="J169" t="inlineStr"/>
      <c r="K169" t="inlineStr">
        <is>
          <t>Потрібний глибший ШІ аналіз</t>
        </is>
      </c>
    </row>
    <row r="170">
      <c r="A170" t="inlineStr">
        <is>
          <t>BenQ</t>
        </is>
      </c>
      <c r="B170" s="5" t="n">
        <v>1</v>
      </c>
      <c r="C170" s="5" t="n">
        <v>0</v>
      </c>
      <c r="D170" s="13" t="n">
        <v>3338</v>
      </c>
      <c r="E170" s="12" t="n">
        <v>0</v>
      </c>
      <c r="F170" s="5" t="n">
        <v>1</v>
      </c>
      <c r="G170" t="inlineStr">
        <is>
          <t>ПП КЛІМУК ЮРІЙ ВАЛЕНТИНОВИЧ, Інформація про кінцевого бенефіціарта власника Клімук Юрій Валентинович, громадянство Україна, місцезнакходження 45000 м.Ковель, уиця Затишна буд. 3Б, кв. 4</t>
        </is>
      </c>
      <c r="H170" s="12" t="n">
        <v>1</v>
      </c>
      <c r="I170" t="inlineStr">
        <is>
          <t>так</t>
        </is>
      </c>
      <c r="J170" t="inlineStr"/>
      <c r="K170" t="inlineStr">
        <is>
          <t>Потрібний глибший ШІ аналіз</t>
        </is>
      </c>
    </row>
    <row r="171">
      <c r="A171" t="inlineStr">
        <is>
          <t>MikroTik</t>
        </is>
      </c>
      <c r="B171" s="5" t="n">
        <v>3</v>
      </c>
      <c r="C171" s="5" t="n">
        <v>3</v>
      </c>
      <c r="D171" s="13" t="n">
        <v>450</v>
      </c>
      <c r="E171" s="12" t="n">
        <v>0</v>
      </c>
      <c r="F171" s="5" t="n">
        <v>1</v>
      </c>
      <c r="G171" t="inlineStr">
        <is>
          <t>ФОП ІВАНІВ ОКСАНА ОЛЕКСАНДРІВНА</t>
        </is>
      </c>
      <c r="H171" s="12" t="n">
        <v>1</v>
      </c>
      <c r="I171" t="inlineStr">
        <is>
          <t>так</t>
        </is>
      </c>
      <c r="J171" t="inlineStr"/>
      <c r="K171" t="inlineStr">
        <is>
          <t>Потрібний глибший ШІ аналіз</t>
        </is>
      </c>
    </row>
    <row r="172">
      <c r="A172" t="inlineStr">
        <is>
          <t>REAL-EL</t>
        </is>
      </c>
      <c r="B172" s="5" t="n">
        <v>2</v>
      </c>
      <c r="C172" s="5" t="n">
        <v>2</v>
      </c>
      <c r="D172" s="13" t="n">
        <v>388</v>
      </c>
      <c r="E172" s="12" t="n">
        <v>0</v>
      </c>
      <c r="F172" s="5" t="n">
        <v>1</v>
      </c>
      <c r="G172" t="inlineStr">
        <is>
          <t>ФОП Музичук Ніна Валентинівна</t>
        </is>
      </c>
      <c r="H172" s="12" t="n">
        <v>1</v>
      </c>
      <c r="I172" t="inlineStr">
        <is>
          <t>так</t>
        </is>
      </c>
      <c r="J172" t="inlineStr"/>
      <c r="K172" t="inlineStr">
        <is>
          <t>Потрібний глибший ШІ аналіз</t>
        </is>
      </c>
    </row>
    <row r="173">
      <c r="A173" t="inlineStr">
        <is>
          <t>Vector</t>
        </is>
      </c>
      <c r="B173" s="5" t="n">
        <v>1</v>
      </c>
      <c r="C173" s="5" t="n">
        <v>1</v>
      </c>
      <c r="D173" s="13" t="n">
        <v>0</v>
      </c>
      <c r="E173" s="12" t="n">
        <v>0</v>
      </c>
      <c r="F173" s="5" t="n">
        <v>0</v>
      </c>
      <c r="G173" t="inlineStr"/>
      <c r="H173" s="12" t="n"/>
      <c r="I173" t="inlineStr"/>
      <c r="J173" t="inlineStr"/>
      <c r="K173" t="inlineStr">
        <is>
          <t>Потрібний глибший ШІ аналіз</t>
        </is>
      </c>
    </row>
    <row r="174">
      <c r="A174" t="inlineStr">
        <is>
          <t>PowerPlant</t>
        </is>
      </c>
      <c r="B174" s="5" t="n">
        <v>3</v>
      </c>
      <c r="C174" s="5" t="n">
        <v>3</v>
      </c>
      <c r="D174" s="13" t="n">
        <v>0</v>
      </c>
      <c r="E174" s="12" t="n">
        <v>0</v>
      </c>
      <c r="F174" s="5" t="n">
        <v>0</v>
      </c>
      <c r="G174" t="inlineStr"/>
      <c r="H174" s="12" t="n"/>
      <c r="I174" t="inlineStr"/>
      <c r="J174" t="inlineStr"/>
      <c r="K174" t="inlineStr">
        <is>
          <t>Потрібний глибший ШІ аналіз</t>
        </is>
      </c>
    </row>
    <row r="175">
      <c r="A175" t="inlineStr">
        <is>
          <t>Zalman</t>
        </is>
      </c>
      <c r="B175" s="5" t="n">
        <v>2</v>
      </c>
      <c r="C175" s="5" t="n">
        <v>2</v>
      </c>
      <c r="D175" s="13" t="n">
        <v>0</v>
      </c>
      <c r="E175" s="12" t="n">
        <v>0</v>
      </c>
      <c r="F175" s="5" t="n">
        <v>0</v>
      </c>
      <c r="G175" t="inlineStr"/>
      <c r="H175" s="12" t="n"/>
      <c r="I175" t="inlineStr"/>
      <c r="J175" t="inlineStr"/>
      <c r="K175" t="inlineStr">
        <is>
          <t>Потрібний глибший ШІ аналіз</t>
        </is>
      </c>
    </row>
    <row r="176">
      <c r="A176" t="inlineStr">
        <is>
          <t>Deepcool</t>
        </is>
      </c>
      <c r="B176" s="5" t="n">
        <v>2</v>
      </c>
      <c r="C176" s="5" t="n">
        <v>2</v>
      </c>
      <c r="D176" s="13" t="n">
        <v>0</v>
      </c>
      <c r="E176" s="12" t="n">
        <v>0</v>
      </c>
      <c r="F176" s="5" t="n">
        <v>0</v>
      </c>
      <c r="G176" t="inlineStr"/>
      <c r="H176" s="12" t="n"/>
      <c r="I176" t="inlineStr"/>
      <c r="J176" t="inlineStr"/>
      <c r="K176" t="inlineStr">
        <is>
          <t>Потрібний глибший ШІ аналіз</t>
        </is>
      </c>
    </row>
    <row r="177">
      <c r="A177" t="inlineStr">
        <is>
          <t>Gigabyte</t>
        </is>
      </c>
      <c r="B177" s="5" t="n">
        <v>7</v>
      </c>
      <c r="C177" s="5" t="n">
        <v>7</v>
      </c>
      <c r="D177" s="13" t="n">
        <v>0</v>
      </c>
      <c r="E177" s="12" t="n">
        <v>0</v>
      </c>
      <c r="F177" s="5" t="n">
        <v>0</v>
      </c>
      <c r="G177" t="inlineStr"/>
      <c r="H177" s="12" t="n"/>
      <c r="I177" t="inlineStr"/>
      <c r="J177" t="inlineStr"/>
      <c r="K177" t="inlineStr">
        <is>
          <t>Потрібний глибший ШІ аналіз</t>
        </is>
      </c>
    </row>
    <row r="178">
      <c r="A178" t="inlineStr">
        <is>
          <t>ASRock</t>
        </is>
      </c>
      <c r="B178" s="5" t="n">
        <v>2</v>
      </c>
      <c r="C178" s="5" t="n">
        <v>2</v>
      </c>
      <c r="D178" s="13" t="n">
        <v>0</v>
      </c>
      <c r="E178" s="12" t="n">
        <v>0</v>
      </c>
      <c r="F178" s="5" t="n">
        <v>0</v>
      </c>
      <c r="G178" t="inlineStr"/>
      <c r="H178" s="12" t="n"/>
      <c r="I178" t="inlineStr"/>
      <c r="J178" t="inlineStr"/>
      <c r="K178" t="inlineStr">
        <is>
          <t>Потрібний глибший ШІ аналіз</t>
        </is>
      </c>
    </row>
    <row r="179">
      <c r="A179" t="inlineStr">
        <is>
          <t>LG</t>
        </is>
      </c>
      <c r="B179" s="5" t="n">
        <v>1</v>
      </c>
      <c r="C179" s="5" t="n">
        <v>1</v>
      </c>
      <c r="D179" s="13" t="n">
        <v>0</v>
      </c>
      <c r="E179" s="12" t="n">
        <v>0</v>
      </c>
      <c r="F179" s="5" t="n">
        <v>0</v>
      </c>
      <c r="G179" t="inlineStr"/>
      <c r="H179" s="12" t="n"/>
      <c r="I179" t="inlineStr"/>
      <c r="J179" t="inlineStr"/>
      <c r="K179" t="inlineStr">
        <is>
          <t>Потрібний глибший ШІ аналіз</t>
        </is>
      </c>
    </row>
    <row r="180">
      <c r="A180" t="inlineStr">
        <is>
          <t>Powercom</t>
        </is>
      </c>
      <c r="B180" s="5" t="n">
        <v>1</v>
      </c>
      <c r="C180" s="5" t="n">
        <v>1</v>
      </c>
      <c r="D180" s="13" t="n">
        <v>0</v>
      </c>
      <c r="E180" s="12" t="n">
        <v>0</v>
      </c>
      <c r="F180" s="5" t="n">
        <v>0</v>
      </c>
      <c r="G180" t="inlineStr"/>
      <c r="H180" s="12" t="n"/>
      <c r="I180" t="inlineStr"/>
      <c r="J180" t="inlineStr"/>
      <c r="K180" t="inlineStr">
        <is>
          <t>Потрібний глибший ШІ аналіз</t>
        </is>
      </c>
    </row>
    <row r="181">
      <c r="A181" t="inlineStr">
        <is>
          <t>Optima</t>
        </is>
      </c>
      <c r="B181" s="5" t="n">
        <v>1</v>
      </c>
      <c r="C181" s="5" t="n">
        <v>1</v>
      </c>
      <c r="D181" s="13" t="n">
        <v>0</v>
      </c>
      <c r="E181" s="12" t="n">
        <v>0</v>
      </c>
      <c r="F181" s="5" t="n">
        <v>0</v>
      </c>
      <c r="G181" t="inlineStr"/>
      <c r="H181" s="12" t="n"/>
      <c r="I181" t="inlineStr"/>
      <c r="J181" t="inlineStr"/>
      <c r="K181" t="inlineStr">
        <is>
          <t>Потрібний глибший ШІ аналіз</t>
        </is>
      </c>
    </row>
    <row r="182">
      <c r="A182" t="inlineStr">
        <is>
          <t>ERGO</t>
        </is>
      </c>
      <c r="B182" s="5" t="n">
        <v>2</v>
      </c>
      <c r="C182" s="5" t="n">
        <v>2</v>
      </c>
      <c r="D182" s="13" t="n">
        <v>0</v>
      </c>
      <c r="E182" s="12" t="n">
        <v>0</v>
      </c>
      <c r="F182" s="5" t="n">
        <v>0</v>
      </c>
      <c r="G182" t="inlineStr"/>
      <c r="H182" s="12" t="n"/>
      <c r="I182" t="inlineStr"/>
      <c r="J182" t="inlineStr"/>
      <c r="K182" t="inlineStr">
        <is>
          <t>Потрібний глибший ШІ аналіз</t>
        </is>
      </c>
    </row>
    <row r="183">
      <c r="A183" t="inlineStr">
        <is>
          <t>HyperX</t>
        </is>
      </c>
      <c r="B183" s="5" t="n">
        <v>1</v>
      </c>
      <c r="C183" s="5" t="n">
        <v>1</v>
      </c>
      <c r="D183" s="13" t="n">
        <v>0</v>
      </c>
      <c r="E183" s="12" t="n">
        <v>0</v>
      </c>
      <c r="F183" s="5" t="n">
        <v>0</v>
      </c>
      <c r="G183" t="inlineStr"/>
      <c r="H183" s="12" t="n"/>
      <c r="I183" t="inlineStr"/>
      <c r="J183" t="inlineStr"/>
      <c r="K183" t="inlineStr">
        <is>
          <t>Потрібний глибший ШІ аналіз</t>
        </is>
      </c>
    </row>
    <row r="185">
      <c r="A185" s="2" t="inlineStr">
        <is>
          <t>ТМ по компаніях</t>
        </is>
      </c>
    </row>
    <row r="186">
      <c r="A186" s="11" t="inlineStr">
        <is>
          <t>Компанія</t>
        </is>
      </c>
      <c r="B186" s="11" t="inlineStr">
        <is>
          <t>ЄДРПОУ</t>
        </is>
      </c>
      <c r="C186" s="11" t="inlineStr">
        <is>
          <t>Наша</t>
        </is>
      </c>
      <c r="D186" s="11" t="inlineStr">
        <is>
          <t>Intel</t>
        </is>
      </c>
      <c r="E186" s="11" t="inlineStr">
        <is>
          <t>Canon</t>
        </is>
      </c>
      <c r="F186" s="11" t="inlineStr">
        <is>
          <t>HP</t>
        </is>
      </c>
      <c r="G186" s="11" t="inlineStr">
        <is>
          <t>Lenovo</t>
        </is>
      </c>
      <c r="H186" s="11" t="inlineStr">
        <is>
          <t>Samsung</t>
        </is>
      </c>
      <c r="I186" s="11" t="inlineStr">
        <is>
          <t>AMD</t>
        </is>
      </c>
      <c r="J186" s="11" t="inlineStr">
        <is>
          <t>ASUS</t>
        </is>
      </c>
      <c r="K186" s="11" t="inlineStr">
        <is>
          <t>Dell</t>
        </is>
      </c>
      <c r="L186" s="11" t="inlineStr">
        <is>
          <t>Vinga</t>
        </is>
      </c>
      <c r="M186" s="11" t="inlineStr">
        <is>
          <t>Acer</t>
        </is>
      </c>
      <c r="N186" s="11" t="inlineStr">
        <is>
          <t>Microsoft</t>
        </is>
      </c>
      <c r="O186" s="11" t="inlineStr">
        <is>
          <t>Artline</t>
        </is>
      </c>
      <c r="P186" s="11" t="inlineStr">
        <is>
          <t>Разом, грн</t>
        </is>
      </c>
    </row>
    <row r="187">
      <c r="A187" t="inlineStr">
        <is>
          <t>ТОВ "ЕМЕНС"</t>
        </is>
      </c>
      <c r="B187" t="inlineStr">
        <is>
          <t>42647754</t>
        </is>
      </c>
      <c r="C187" t="inlineStr"/>
      <c r="D187" s="5" t="n">
        <v>4116900</v>
      </c>
      <c r="E187" s="13" t="n"/>
      <c r="F187" s="13" t="n"/>
      <c r="G187" s="13" t="n"/>
      <c r="H187" s="13" t="n"/>
      <c r="I187" s="5" t="n"/>
      <c r="J187" s="5" t="n"/>
      <c r="K187" s="5" t="n"/>
      <c r="L187" s="5" t="n"/>
      <c r="M187" s="13" t="n"/>
      <c r="N187" s="5" t="n"/>
      <c r="O187" s="13" t="n"/>
      <c r="P187" s="13" t="n">
        <v>4116900</v>
      </c>
    </row>
    <row r="188">
      <c r="A188" t="inlineStr">
        <is>
          <t>ТОВ «ПОРТАЛ АРЕНА»</t>
        </is>
      </c>
      <c r="B188" t="inlineStr">
        <is>
          <t>45119322</t>
        </is>
      </c>
      <c r="C188" t="inlineStr"/>
      <c r="D188" s="5" t="n">
        <v>273600</v>
      </c>
      <c r="E188" s="13" t="n">
        <v>402480</v>
      </c>
      <c r="F188" s="13" t="n">
        <v>141000</v>
      </c>
      <c r="G188" s="13" t="n">
        <v>49946.4</v>
      </c>
      <c r="H188" s="13" t="n"/>
      <c r="I188" s="5" t="n">
        <v>1592400</v>
      </c>
      <c r="J188" s="5" t="n"/>
      <c r="K188" s="5" t="n"/>
      <c r="L188" s="5" t="n"/>
      <c r="M188" s="13" t="n"/>
      <c r="N188" s="5" t="n">
        <v>231198</v>
      </c>
      <c r="O188" s="13" t="n"/>
      <c r="P188" s="13" t="n">
        <v>2690624.4</v>
      </c>
    </row>
    <row r="189">
      <c r="A189" t="inlineStr">
        <is>
          <t>ТОВ "ПАРСЕРС"</t>
        </is>
      </c>
      <c r="B189" t="inlineStr">
        <is>
          <t>35893554</t>
        </is>
      </c>
      <c r="C189" t="inlineStr"/>
      <c r="D189" s="5" t="n"/>
      <c r="E189" s="13" t="n"/>
      <c r="F189" s="13" t="n"/>
      <c r="G189" s="13" t="n"/>
      <c r="H189" s="13" t="n">
        <v>1373999.91</v>
      </c>
      <c r="I189" s="5" t="n"/>
      <c r="J189" s="5" t="n"/>
      <c r="K189" s="5" t="n"/>
      <c r="L189" s="5" t="n"/>
      <c r="M189" s="13" t="n">
        <v>195438.2</v>
      </c>
      <c r="N189" s="5" t="n"/>
      <c r="O189" s="13" t="n"/>
      <c r="P189" s="13" t="n">
        <v>1569438.11</v>
      </c>
    </row>
    <row r="190">
      <c r="A190" t="inlineStr">
        <is>
          <t>ТОВ "ДІСТРІ ІНВАЙТ ІТ"</t>
        </is>
      </c>
      <c r="B190" t="inlineStr">
        <is>
          <t>40955533</t>
        </is>
      </c>
      <c r="C190" t="inlineStr"/>
      <c r="D190" s="5" t="n">
        <v>1098870</v>
      </c>
      <c r="E190" s="13" t="n"/>
      <c r="F190" s="13" t="n"/>
      <c r="G190" s="13" t="n"/>
      <c r="H190" s="13" t="n"/>
      <c r="I190" s="5" t="n"/>
      <c r="J190" s="5" t="n"/>
      <c r="K190" s="5" t="n"/>
      <c r="L190" s="5" t="n"/>
      <c r="M190" s="13" t="n"/>
      <c r="N190" s="5" t="n"/>
      <c r="O190" s="13" t="n"/>
      <c r="P190" s="13" t="n">
        <v>1098870</v>
      </c>
    </row>
    <row r="191">
      <c r="A191" t="inlineStr">
        <is>
          <t>ТОВ "НАДІЙНІ ІТ РІШЕННЯ"</t>
        </is>
      </c>
      <c r="B191" t="inlineStr">
        <is>
          <t>46046622</t>
        </is>
      </c>
      <c r="C191" t="inlineStr"/>
      <c r="D191" s="5" t="n"/>
      <c r="E191" s="13" t="n"/>
      <c r="F191" s="13" t="n"/>
      <c r="G191" s="13" t="n">
        <v>434478</v>
      </c>
      <c r="H191" s="13" t="n"/>
      <c r="I191" s="5" t="n"/>
      <c r="J191" s="5" t="n">
        <v>659466</v>
      </c>
      <c r="K191" s="5" t="n"/>
      <c r="L191" s="5" t="n"/>
      <c r="M191" s="13" t="n"/>
      <c r="N191" s="5" t="n"/>
      <c r="O191" s="13" t="n"/>
      <c r="P191" s="13" t="n">
        <v>1093944</v>
      </c>
    </row>
    <row r="192">
      <c r="A192" t="inlineStr">
        <is>
          <t>ТОВ «ЮДІТРЕЙД»</t>
        </is>
      </c>
      <c r="B192" t="inlineStr">
        <is>
          <t>42036301</t>
        </is>
      </c>
      <c r="C192" t="inlineStr"/>
      <c r="D192" s="5" t="n"/>
      <c r="E192" s="13" t="n"/>
      <c r="F192" s="13" t="n">
        <v>387622.8</v>
      </c>
      <c r="G192" s="13" t="n"/>
      <c r="H192" s="13" t="n">
        <v>268680</v>
      </c>
      <c r="I192" s="5" t="n"/>
      <c r="J192" s="5" t="n"/>
      <c r="K192" s="5" t="n"/>
      <c r="L192" s="5" t="n"/>
      <c r="M192" s="13" t="n">
        <v>372837</v>
      </c>
      <c r="N192" s="5" t="n"/>
      <c r="O192" s="13" t="n"/>
      <c r="P192" s="13" t="n">
        <v>1029139.8</v>
      </c>
    </row>
    <row r="193">
      <c r="A193" t="inlineStr">
        <is>
          <t>ТОВ "МАКСИМВІСІМ"</t>
        </is>
      </c>
      <c r="B193" t="inlineStr">
        <is>
          <t>45949901</t>
        </is>
      </c>
      <c r="C193" t="inlineStr"/>
      <c r="D193" s="5" t="n"/>
      <c r="E193" s="13" t="n"/>
      <c r="F193" s="13" t="n">
        <v>219993.6</v>
      </c>
      <c r="G193" s="13" t="n"/>
      <c r="H193" s="13" t="n"/>
      <c r="I193" s="5" t="n"/>
      <c r="J193" s="5" t="n"/>
      <c r="K193" s="5" t="n"/>
      <c r="L193" s="5" t="n">
        <v>765414</v>
      </c>
      <c r="M193" s="13" t="n"/>
      <c r="N193" s="5" t="n"/>
      <c r="O193" s="13" t="n"/>
      <c r="P193" s="13" t="n">
        <v>985407.6</v>
      </c>
    </row>
    <row r="194">
      <c r="A194" t="inlineStr">
        <is>
          <t>ФОП Артюшенко Ірина Миколаївна</t>
        </is>
      </c>
      <c r="B194" t="inlineStr">
        <is>
          <t>3127410563</t>
        </is>
      </c>
      <c r="C194" t="inlineStr"/>
      <c r="D194" s="5" t="n">
        <v>79950</v>
      </c>
      <c r="E194" s="13" t="n">
        <v>250132</v>
      </c>
      <c r="F194" s="13" t="n"/>
      <c r="G194" s="13" t="n">
        <v>192600</v>
      </c>
      <c r="H194" s="13" t="n"/>
      <c r="I194" s="5" t="n"/>
      <c r="J194" s="5" t="n">
        <v>78000</v>
      </c>
      <c r="K194" s="5" t="n"/>
      <c r="L194" s="5" t="n">
        <v>16350</v>
      </c>
      <c r="M194" s="13" t="n">
        <v>195400</v>
      </c>
      <c r="N194" s="5" t="n"/>
      <c r="O194" s="13" t="n"/>
      <c r="P194" s="13" t="n">
        <v>812432</v>
      </c>
    </row>
    <row r="195">
      <c r="A195" t="inlineStr">
        <is>
          <t>Полешко Валентина Володимирівна</t>
        </is>
      </c>
      <c r="B195" t="inlineStr">
        <is>
          <t>2844504980</t>
        </is>
      </c>
      <c r="C195" t="inlineStr"/>
      <c r="D195" s="5" t="n"/>
      <c r="E195" s="13" t="n"/>
      <c r="F195" s="13" t="n">
        <v>755580</v>
      </c>
      <c r="G195" s="13" t="n"/>
      <c r="H195" s="13" t="n"/>
      <c r="I195" s="5" t="n"/>
      <c r="J195" s="5" t="n"/>
      <c r="K195" s="5" t="n"/>
      <c r="L195" s="5" t="n"/>
      <c r="M195" s="13" t="n"/>
      <c r="N195" s="5" t="n"/>
      <c r="O195" s="13" t="n"/>
      <c r="P195" s="13" t="n">
        <v>755580</v>
      </c>
    </row>
    <row r="196">
      <c r="A196" t="inlineStr">
        <is>
          <t>ФОП Цяк Валерій Михайлович</t>
        </is>
      </c>
      <c r="B196" t="inlineStr">
        <is>
          <t>2145216995</t>
        </is>
      </c>
      <c r="C196" t="inlineStr"/>
      <c r="D196" s="5" t="n">
        <v>99000</v>
      </c>
      <c r="E196" s="13" t="n">
        <v>124299</v>
      </c>
      <c r="F196" s="13" t="n"/>
      <c r="G196" s="13" t="n">
        <v>89700</v>
      </c>
      <c r="H196" s="13" t="n"/>
      <c r="I196" s="5" t="n"/>
      <c r="J196" s="5" t="n">
        <v>322050</v>
      </c>
      <c r="K196" s="5" t="n"/>
      <c r="L196" s="5" t="n"/>
      <c r="M196" s="13" t="n">
        <v>73599</v>
      </c>
      <c r="N196" s="5" t="n"/>
      <c r="O196" s="13" t="n"/>
      <c r="P196" s="13" t="n">
        <v>708648</v>
      </c>
    </row>
    <row r="197">
      <c r="A197" t="inlineStr">
        <is>
          <t>ПП КЛІМУК ЮРІЙ ВАЛЕНТИНОВИЧ, Інформація про кінцевого бенефіціарта власника Клімук Юрій Валентинович, громадянство Україна, місцезнакходження 45000 м.Ковель, уиця Затишна буд. 3Б, кв. 4</t>
        </is>
      </c>
      <c r="B197" t="inlineStr">
        <is>
          <t>2517301759</t>
        </is>
      </c>
      <c r="C197" t="inlineStr"/>
      <c r="D197" s="5" t="n">
        <v>143525</v>
      </c>
      <c r="E197" s="13" t="n">
        <v>104707</v>
      </c>
      <c r="F197" s="13" t="n">
        <v>87900</v>
      </c>
      <c r="G197" s="13" t="n">
        <v>110777</v>
      </c>
      <c r="H197" s="13" t="n"/>
      <c r="I197" s="5" t="n">
        <v>134750</v>
      </c>
      <c r="J197" s="5" t="n">
        <v>28300</v>
      </c>
      <c r="K197" s="5" t="n">
        <v>39750</v>
      </c>
      <c r="L197" s="5" t="n">
        <v>7668</v>
      </c>
      <c r="M197" s="13" t="n">
        <v>2840</v>
      </c>
      <c r="N197" s="5" t="n"/>
      <c r="O197" s="13" t="n"/>
      <c r="P197" s="13" t="n">
        <v>660217</v>
      </c>
    </row>
    <row r="198">
      <c r="A198" t="inlineStr">
        <is>
          <t>ТОВ "ТОРГОВИЙ ДІМ "ПАРТНЕР АЙ ТІ"</t>
        </is>
      </c>
      <c r="B198" t="inlineStr">
        <is>
          <t>41263186</t>
        </is>
      </c>
      <c r="C198" t="inlineStr">
        <is>
          <t>так</t>
        </is>
      </c>
      <c r="D198" s="5" t="n">
        <v>555594</v>
      </c>
      <c r="E198" s="13" t="n">
        <v>81855</v>
      </c>
      <c r="F198" s="13" t="n"/>
      <c r="G198" s="13" t="n"/>
      <c r="H198" s="13" t="n"/>
      <c r="I198" s="5" t="n"/>
      <c r="J198" s="5" t="n"/>
      <c r="K198" s="5" t="n"/>
      <c r="L198" s="5" t="n"/>
      <c r="M198" s="13" t="n"/>
      <c r="N198" s="5" t="n"/>
      <c r="O198" s="13" t="n"/>
      <c r="P198" s="13" t="n">
        <v>637449</v>
      </c>
    </row>
    <row r="199">
      <c r="A199" t="inlineStr">
        <is>
          <t>ФОП Атаманська Анастасія Сергіївна</t>
        </is>
      </c>
      <c r="B199" t="inlineStr">
        <is>
          <t>3284013026</t>
        </is>
      </c>
      <c r="C199" t="inlineStr"/>
      <c r="D199" s="5" t="n"/>
      <c r="E199" s="13" t="n"/>
      <c r="F199" s="13" t="n"/>
      <c r="G199" s="13" t="n"/>
      <c r="H199" s="13" t="n"/>
      <c r="I199" s="5" t="n"/>
      <c r="J199" s="5" t="n"/>
      <c r="K199" s="5" t="n"/>
      <c r="L199" s="5" t="n"/>
      <c r="M199" s="13" t="n"/>
      <c r="N199" s="5" t="n">
        <v>534150</v>
      </c>
      <c r="O199" s="13" t="n"/>
      <c r="P199" s="13" t="n">
        <v>534150</v>
      </c>
    </row>
    <row r="200">
      <c r="A200" t="inlineStr">
        <is>
          <t>ТОВ "САНТАРЕКС"</t>
        </is>
      </c>
      <c r="B200" t="inlineStr">
        <is>
          <t>30126040</t>
        </is>
      </c>
      <c r="C200" t="inlineStr"/>
      <c r="D200" s="5" t="n"/>
      <c r="E200" s="13" t="n">
        <v>391878.12</v>
      </c>
      <c r="F200" s="13" t="n"/>
      <c r="G200" s="13" t="n">
        <v>35992.8</v>
      </c>
      <c r="H200" s="13" t="n">
        <v>33122.4</v>
      </c>
      <c r="I200" s="5" t="n"/>
      <c r="J200" s="5" t="n"/>
      <c r="K200" s="5" t="n"/>
      <c r="L200" s="5" t="n"/>
      <c r="M200" s="13" t="n">
        <v>52488</v>
      </c>
      <c r="N200" s="5" t="n">
        <v>14310</v>
      </c>
      <c r="O200" s="13" t="n"/>
      <c r="P200" s="13" t="n">
        <v>527791.3199999999</v>
      </c>
    </row>
    <row r="201">
      <c r="A201" t="inlineStr">
        <is>
          <t>ТОВ "АРТЛАЙН ІНТЕГРАЦІЯ"</t>
        </is>
      </c>
      <c r="B201" t="inlineStr">
        <is>
          <t>40733799</t>
        </is>
      </c>
      <c r="C201" t="inlineStr"/>
      <c r="D201" s="5" t="n"/>
      <c r="E201" s="13" t="n"/>
      <c r="F201" s="13" t="n">
        <v>36999</v>
      </c>
      <c r="G201" s="13" t="n"/>
      <c r="H201" s="13" t="n">
        <v>6300</v>
      </c>
      <c r="I201" s="5" t="n"/>
      <c r="J201" s="5" t="n"/>
      <c r="K201" s="5" t="n"/>
      <c r="L201" s="5" t="n"/>
      <c r="M201" s="13" t="n"/>
      <c r="N201" s="5" t="n"/>
      <c r="O201" s="13" t="n">
        <v>477472.5</v>
      </c>
      <c r="P201" s="13" t="n">
        <v>520771.5</v>
      </c>
    </row>
    <row r="203">
      <c r="A203" s="2" t="inlineStr">
        <is>
          <t>Товари ринку (об'єднані)</t>
        </is>
      </c>
    </row>
    <row r="204">
      <c r="A204" s="11" t="inlineStr">
        <is>
          <t>Товар</t>
        </is>
      </c>
      <c r="B204" s="11" t="inlineStr">
        <is>
          <t>Позицій</t>
        </is>
      </c>
      <c r="C204" s="11" t="inlineStr">
        <is>
          <t>Закупівель</t>
        </is>
      </c>
      <c r="D204" s="11" t="inlineStr">
        <is>
          <t>Кількість</t>
        </is>
      </c>
      <c r="E204" s="11" t="inlineStr">
        <is>
          <t>Медіанна ціна, грн</t>
        </is>
      </c>
      <c r="F204" s="11" t="inlineStr">
        <is>
          <t>Мін. ціна, грн</t>
        </is>
      </c>
      <c r="G204" s="11" t="inlineStr">
        <is>
          <t>Макс. ціна, грн</t>
        </is>
      </c>
      <c r="H204" s="11" t="inlineStr">
        <is>
          <t>Головні ТМ</t>
        </is>
      </c>
      <c r="I204" s="11" t="inlineStr">
        <is>
          <t>Варіанти назви</t>
        </is>
      </c>
    </row>
    <row r="205">
      <c r="A205" t="inlineStr">
        <is>
          <t>Ноутбук</t>
        </is>
      </c>
      <c r="B205" s="5" t="n">
        <v>372</v>
      </c>
      <c r="C205" s="5" t="n">
        <v>347</v>
      </c>
      <c r="D205" s="5" t="n">
        <v>1483</v>
      </c>
      <c r="E205" s="13" t="n">
        <v>29810</v>
      </c>
      <c r="F205" s="13" t="n">
        <v>488</v>
      </c>
      <c r="G205" s="13" t="n">
        <v>874000</v>
      </c>
      <c r="H205" t="inlineStr">
        <is>
          <t>Intel (62), Lenovo (46), AMD (42)</t>
        </is>
      </c>
      <c r="I205" t="inlineStr">
        <is>
          <t>Ноутбук (174), Ноутбуки (87), Ноутбук для педагогічного (21), Ноутбуки нуш (21), Ноутбук для робочих (11), Ноутбук для здобувача (10), Ноутбук нр (8), Машини для обробки (6)</t>
        </is>
      </c>
    </row>
    <row r="206">
      <c r="A206" t="inlineStr">
        <is>
          <t>Багатофункціональний пристрій (БФП)</t>
        </is>
      </c>
      <c r="B206" s="5" t="n">
        <v>306</v>
      </c>
      <c r="C206" s="5" t="n">
        <v>285</v>
      </c>
      <c r="D206" s="5" t="n">
        <v>1091</v>
      </c>
      <c r="E206" s="13" t="n">
        <v>14500</v>
      </c>
      <c r="F206" s="13" t="n">
        <v>3674.4</v>
      </c>
      <c r="G206" s="13" t="n">
        <v>270000</v>
      </c>
      <c r="H206" t="inlineStr">
        <is>
          <t>Canon (117), Epson (35), HP (7)</t>
        </is>
      </c>
      <c r="I206" t="inlineStr">
        <is>
          <t>Багатофункціональний пристрій (96), Багатофункціональні пристрої (75), Бфп (32), Бфп лазерний монохромний (17), Бфп лазерний (11), Бфп струменевий кольоровий (6), Принтер бфп (5), Бфп лазерний кольоровий (3)</t>
        </is>
      </c>
    </row>
    <row r="207">
      <c r="A207" t="inlineStr">
        <is>
          <t>Монітор</t>
        </is>
      </c>
      <c r="B207" s="5" t="n">
        <v>202</v>
      </c>
      <c r="C207" s="5" t="n">
        <v>192</v>
      </c>
      <c r="D207" s="5" t="n">
        <v>1110</v>
      </c>
      <c r="E207" s="13" t="n">
        <v>6816</v>
      </c>
      <c r="F207" s="13" t="n">
        <v>981.67</v>
      </c>
      <c r="G207" s="13" t="n">
        <v>324055</v>
      </c>
      <c r="H207" t="inlineStr">
        <is>
          <t>Philips (15), MSI (13), Samsung (11)</t>
        </is>
      </c>
      <c r="I207" t="inlineStr">
        <is>
          <t>Монітор (112), Монітори (69), Монітор аос (2), Моніторmsi pro mp241 (1), 30230000-0 комп’ютерне обладнання (моніт (1), Монітор і багатофункціональний (1), Монтітор (1), Дк (1)</t>
        </is>
      </c>
    </row>
    <row r="208">
      <c r="A208" t="inlineStr">
        <is>
          <t>Персональний комп'ютер</t>
        </is>
      </c>
      <c r="B208" s="5" t="n">
        <v>193</v>
      </c>
      <c r="C208" s="5" t="n">
        <v>182</v>
      </c>
      <c r="D208" s="5" t="n">
        <v>1020183</v>
      </c>
      <c r="E208" s="13" t="n">
        <v>27444</v>
      </c>
      <c r="F208" s="13" t="n">
        <v>0.09</v>
      </c>
      <c r="G208" s="13" t="n">
        <v>625000</v>
      </c>
      <c r="H208" t="inlineStr">
        <is>
          <t>Intel (21), Vinga (14), Artline (12)</t>
        </is>
      </c>
      <c r="I208" t="inlineStr">
        <is>
          <t>Комп'ютери настільні (41), Комп'ютер (15), Персональний комп’ютер (9), Персональний комп'ютер (9), Персональний комп’ютер форм-фактора (8), Комп’ютер (6), Персональний комп'ютер в (6), Пк (5)</t>
        </is>
      </c>
    </row>
    <row r="209">
      <c r="A209" t="inlineStr">
        <is>
          <t>Миша</t>
        </is>
      </c>
      <c r="B209" s="5" t="n">
        <v>159</v>
      </c>
      <c r="C209" s="5" t="n">
        <v>143</v>
      </c>
      <c r="D209" s="5" t="n">
        <v>983</v>
      </c>
      <c r="E209" s="13" t="n">
        <v>748.5</v>
      </c>
      <c r="F209" s="13" t="n">
        <v>129</v>
      </c>
      <c r="G209" s="13" t="n">
        <v>179980</v>
      </c>
      <c r="H209" t="inlineStr">
        <is>
          <t>Logitech (30), Defender (7), A4Tech (7)</t>
        </is>
      </c>
      <c r="I209" t="inlineStr">
        <is>
          <t>Мишка (56), Миша (32), Миша дротова (7), Миша бездротова (6), Миші (6), Миша оптична (5), Мишка комп'ютерна (5), Комп'ютерна миша (3)</t>
        </is>
      </c>
    </row>
    <row r="210">
      <c r="A210" t="inlineStr">
        <is>
          <t>Клавіатура</t>
        </is>
      </c>
      <c r="B210" s="5" t="n">
        <v>113</v>
      </c>
      <c r="C210" s="5" t="n">
        <v>108</v>
      </c>
      <c r="D210" s="5" t="n">
        <v>934</v>
      </c>
      <c r="E210" s="13" t="n">
        <v>1404.25</v>
      </c>
      <c r="F210" s="13" t="n">
        <v>200</v>
      </c>
      <c r="G210" s="13" t="n">
        <v>59800</v>
      </c>
      <c r="H210" t="inlineStr">
        <is>
          <t>Logitech (14), Gembird (5), A4Tech (5)</t>
        </is>
      </c>
      <c r="I210" t="inlineStr">
        <is>
          <t>Клавіатура (65), Клавіатури в комплекті (25), Клавіатури (5), Клавіатура дротова повнорозмірна (2), Клавіатура дротова (2), Набір (2), Koмruieicr клавіатура+мхіііа maxxter kms (1), Кклавіатура провідна класична (1)</t>
        </is>
      </c>
    </row>
    <row r="211">
      <c r="A211" t="inlineStr">
        <is>
          <t>Системний блок</t>
        </is>
      </c>
      <c r="B211" s="5" t="n">
        <v>106</v>
      </c>
      <c r="C211" s="5" t="n">
        <v>101</v>
      </c>
      <c r="D211" s="5" t="n">
        <v>387</v>
      </c>
      <c r="E211" s="13" t="n">
        <v>19825</v>
      </c>
      <c r="F211" s="13" t="n">
        <v>2200</v>
      </c>
      <c r="G211" s="13" t="n">
        <v>106333.33</v>
      </c>
      <c r="H211" t="inlineStr">
        <is>
          <t>Intel (24), AMD (17), Vinga (7)</t>
        </is>
      </c>
      <c r="I211" t="inlineStr">
        <is>
          <t>Системний блок (72), Робочі станції (5), Системний блок нео (4), Системні блоки (3), Системний блок пк (2), Системний блок кабель (2), Системний блок персонального (2), Системний блок та (2)</t>
        </is>
      </c>
    </row>
    <row r="212">
      <c r="A212" t="inlineStr">
        <is>
          <t>Накопичувач SSD</t>
        </is>
      </c>
      <c r="B212" s="5" t="n">
        <v>99</v>
      </c>
      <c r="C212" s="5" t="n">
        <v>89</v>
      </c>
      <c r="D212" s="5" t="n">
        <v>733</v>
      </c>
      <c r="E212" s="13" t="n">
        <v>3798</v>
      </c>
      <c r="F212" s="13" t="n">
        <v>580</v>
      </c>
      <c r="G212" s="13" t="n">
        <v>1373999.91</v>
      </c>
      <c r="H212" t="inlineStr">
        <is>
          <t>Kingston (9), Samsung (5), Patriot (4)</t>
        </is>
      </c>
      <c r="I212" t="inlineStr">
        <is>
          <t>Накопичувач (42), Накопичувачі (13), Твердотільний диск (8), Твердотільний накопичувач (6), Твердотілий накопичувач (4), Ssd диск (2), Haкопичувач ssd m.2 2280 sata 240gb tran (1), Ssd диск prologix s360 256gb 2.5" (1)</t>
        </is>
      </c>
    </row>
    <row r="213">
      <c r="A213" t="inlineStr">
        <is>
          <t>Флешка (USB-накопичувач)</t>
        </is>
      </c>
      <c r="B213" s="5" t="n">
        <v>82</v>
      </c>
      <c r="C213" s="5" t="n">
        <v>72</v>
      </c>
      <c r="D213" s="5" t="n">
        <v>2758</v>
      </c>
      <c r="E213" s="13" t="n">
        <v>395</v>
      </c>
      <c r="F213" s="13" t="n">
        <v>63.41</v>
      </c>
      <c r="G213" s="13" t="n">
        <v>29865</v>
      </c>
      <c r="H213" t="inlineStr">
        <is>
          <t>Transcend (5), Kingston (4), GOODRAM (3)</t>
        </is>
      </c>
      <c r="I213" t="inlineStr">
        <is>
          <t>Флешка (23), Флеш-карта (9), Флеш-накопичувач (7), Флеш-драйв (4), Флеш пам'ять (4), Флеш-пам'ять (3), Флеш накопичувач дк (2), Флеш накопичувач (2)</t>
        </is>
      </c>
    </row>
    <row r="214">
      <c r="A214" t="inlineStr">
        <is>
          <t>Кабель, перехідник</t>
        </is>
      </c>
      <c r="B214" s="5" t="n">
        <v>78</v>
      </c>
      <c r="C214" s="5" t="n">
        <v>40</v>
      </c>
      <c r="D214" s="5" t="n">
        <v>1083</v>
      </c>
      <c r="E214" s="13" t="n">
        <v>2600</v>
      </c>
      <c r="F214" s="13" t="n">
        <v>37.9</v>
      </c>
      <c r="G214" s="13" t="n">
        <v>324055</v>
      </c>
      <c r="H214" t="inlineStr">
        <is>
          <t>Cablexpert (13), Vinga (2), Defender (1)</t>
        </is>
      </c>
      <c r="I214" t="inlineStr">
        <is>
          <t>Кабель (26), Кабель мультимедійний (9), Патч-корд (8), Адаптер (6), Перехідник (6), Кабель живлення (4), Кабель монітора (2), Кабель дпя (1)</t>
        </is>
      </c>
    </row>
    <row r="215">
      <c r="A215" t="inlineStr">
        <is>
          <t>Принтер</t>
        </is>
      </c>
      <c r="B215" s="5" t="n">
        <v>74</v>
      </c>
      <c r="C215" s="5" t="n">
        <v>74</v>
      </c>
      <c r="D215" s="5" t="n">
        <v>184</v>
      </c>
      <c r="E215" s="13" t="n">
        <v>11500</v>
      </c>
      <c r="F215" s="13" t="n">
        <v>3450</v>
      </c>
      <c r="G215" s="13" t="n">
        <v>230000</v>
      </c>
      <c r="H215" t="inlineStr">
        <is>
          <t>Canon (21), Epson (13), Xerox (5)</t>
        </is>
      </c>
      <c r="I215" t="inlineStr">
        <is>
          <t>Принтер (34), Принтери (7), Принтер лазерний (5), Лазерний принтер (4), Принтер струменевий кольоровий (3), Принтер епсон (2), Принтер струменевий (2), Комп'ютерне обладнання принтер (2)</t>
        </is>
      </c>
    </row>
    <row r="216">
      <c r="A216" t="inlineStr">
        <is>
          <t>Планшет</t>
        </is>
      </c>
      <c r="B216" s="5" t="n">
        <v>74</v>
      </c>
      <c r="C216" s="5" t="n">
        <v>74</v>
      </c>
      <c r="D216" s="5" t="n">
        <v>660</v>
      </c>
      <c r="E216" s="13" t="n">
        <v>13797</v>
      </c>
      <c r="F216" s="13" t="n">
        <v>2000</v>
      </c>
      <c r="G216" s="13" t="n">
        <v>365000</v>
      </c>
      <c r="H216" t="inlineStr">
        <is>
          <t>Samsung (11), Lenovo (3), Xiaomi (1)</t>
        </is>
      </c>
      <c r="I216" t="inlineStr">
        <is>
          <t>Планшети (40), Планшет (24), Графічний планшет з (3), Графічні планшети (3), Дк (2), Планшет трансформер (1), Гафічний планшет процесор (1)</t>
        </is>
      </c>
    </row>
    <row r="217">
      <c r="A217" t="inlineStr">
        <is>
          <t>Жорсткий диск (HDD)</t>
        </is>
      </c>
      <c r="B217" s="5" t="n">
        <v>58</v>
      </c>
      <c r="C217" s="5" t="n">
        <v>52</v>
      </c>
      <c r="D217" s="5" t="n">
        <v>192</v>
      </c>
      <c r="E217" s="13" t="n">
        <v>5721.53</v>
      </c>
      <c r="F217" s="13" t="n">
        <v>661</v>
      </c>
      <c r="G217" s="13" t="n">
        <v>160000</v>
      </c>
      <c r="H217" t="inlineStr">
        <is>
          <t>Transcend (4), Western Digital (4), Toshiba (4)</t>
        </is>
      </c>
      <c r="I217" t="inlineStr">
        <is>
          <t>Жорсткий диск (35), Зовнішній жорсткий диск (6), Вінчестер (6), Жорсткий диск для (2), Придбання жорстких дисків (1), Жорсткий диск зовнішний (1), Жорсткий диск маніпулятор (1), 30230000-0 комп’ютерне обладнання (жорст (1)</t>
        </is>
      </c>
    </row>
    <row r="218">
      <c r="A218" t="inlineStr">
        <is>
          <t>Захищений носій, засіб КЗІ</t>
        </is>
      </c>
      <c r="B218" s="5" t="n">
        <v>57</v>
      </c>
      <c r="C218" s="5" t="n">
        <v>57</v>
      </c>
      <c r="D218" s="5" t="n">
        <v>656</v>
      </c>
      <c r="E218" s="13" t="n">
        <v>1416.5</v>
      </c>
      <c r="F218" s="13" t="n">
        <v>1000</v>
      </c>
      <c r="G218" s="13" t="n">
        <v>5000</v>
      </c>
      <c r="H218" t="inlineStr"/>
      <c r="I218" t="inlineStr">
        <is>
          <t>Захищені носії ключової (12), Захищені носії особистих (11), Засіб кзі електронний (8), Засіб кзі (8), Засіб криптографічного захисту (5), Захищений носій особистих (3), Ключ електронний (2), Електронний ключ (2)</t>
        </is>
      </c>
    </row>
    <row r="219">
      <c r="A219" t="inlineStr">
        <is>
          <t>Оперативна пам'ять</t>
        </is>
      </c>
      <c r="B219" s="5" t="n">
        <v>49</v>
      </c>
      <c r="C219" s="5" t="n">
        <v>39</v>
      </c>
      <c r="D219" s="5" t="n">
        <v>128</v>
      </c>
      <c r="E219" s="13" t="n">
        <v>6000</v>
      </c>
      <c r="F219" s="13" t="n">
        <v>750</v>
      </c>
      <c r="G219" s="13" t="n">
        <v>324055</v>
      </c>
      <c r="H219" t="inlineStr">
        <is>
          <t>Kingston (6), Samsung (4), Acer (1)</t>
        </is>
      </c>
      <c r="I219" t="inlineStr">
        <is>
          <t>Оперативна пам'ять (15), Модуль пам'яті для (10), Оперативна пам'ять б (8), Оперативна пам'ять для (3), Оперативна пам'ять та (2), Пам'ять для пк (2), Оперативна пам’ять (2), Оперативна память (1)</t>
        </is>
      </c>
    </row>
    <row r="220">
      <c r="A220" t="inlineStr">
        <is>
          <t>Накопичувач (тип не вказано)</t>
        </is>
      </c>
      <c r="B220" s="5" t="n">
        <v>49</v>
      </c>
      <c r="C220" s="5" t="n">
        <v>46</v>
      </c>
      <c r="D220" s="5" t="n">
        <v>353</v>
      </c>
      <c r="E220" s="13" t="n">
        <v>3622.66</v>
      </c>
      <c r="F220" s="13" t="n">
        <v>192</v>
      </c>
      <c r="G220" s="13" t="n">
        <v>61798.49</v>
      </c>
      <c r="H220" t="inlineStr">
        <is>
          <t>Kingston (5), Seagate (1), Toshiba (1)</t>
        </is>
      </c>
      <c r="I220" t="inlineStr">
        <is>
          <t>Накопичувач (18), Накопичувачі (17), Накопичувач на жорстких (2), Зовнішній накопичувач (2), Комп’ютерне обладнання накопичувач (1), Накопичувачі адаптери та (1), Накопичувач внутрішній (1), Матеріали для компюторнї (1)</t>
        </is>
      </c>
    </row>
    <row r="221">
      <c r="A221" t="inlineStr">
        <is>
          <t>Моноблок</t>
        </is>
      </c>
      <c r="B221" s="5" t="n">
        <v>46</v>
      </c>
      <c r="C221" s="5" t="n">
        <v>46</v>
      </c>
      <c r="D221" s="5" t="n">
        <v>548</v>
      </c>
      <c r="E221" s="13" t="n">
        <v>31085.65</v>
      </c>
      <c r="F221" s="13" t="n">
        <v>13692</v>
      </c>
      <c r="G221" s="13" t="n">
        <v>298128</v>
      </c>
      <c r="H221" t="inlineStr">
        <is>
          <t>Intel (4), ASUS (4), Lenovo (3)</t>
        </is>
      </c>
      <c r="I221" t="inlineStr">
        <is>
          <t>Моноблоки (23), Моноблок (17), Моноблок код дк (2), Моноблок нр (1), Автоматизоване робоче місце (1), Комп'ютерне обладнання моноблок (1), Товар - моноблоки (1)</t>
        </is>
      </c>
    </row>
    <row r="222">
      <c r="A222" t="inlineStr">
        <is>
          <t>Блок живлення</t>
        </is>
      </c>
      <c r="B222" s="5" t="n">
        <v>39</v>
      </c>
      <c r="C222" s="5" t="n">
        <v>37</v>
      </c>
      <c r="D222" s="5" t="n">
        <v>72</v>
      </c>
      <c r="E222" s="13" t="n">
        <v>2313</v>
      </c>
      <c r="F222" s="13" t="n">
        <v>450</v>
      </c>
      <c r="G222" s="13" t="n">
        <v>324055</v>
      </c>
      <c r="H222" t="inlineStr">
        <is>
          <t>ASUS (3), HP (2), PowerPlant (1)</t>
        </is>
      </c>
      <c r="I222" t="inlineStr">
        <is>
          <t>Блок живлення (27), Блоки живлення (3), Блок живлення ноутбука (2), Зарядний пристрій для (2), Блок живлення для (2), Блок живлення до (1), Блок живлення охолодження (1), Блок живлення комп'ютера (1)</t>
        </is>
      </c>
    </row>
    <row r="223">
      <c r="A223" t="inlineStr">
        <is>
          <t>Джерело безперебійного живлення</t>
        </is>
      </c>
      <c r="B223" s="5" t="n">
        <v>35</v>
      </c>
      <c r="C223" s="5" t="n">
        <v>35</v>
      </c>
      <c r="D223" s="5" t="n">
        <v>440</v>
      </c>
      <c r="E223" s="13" t="n">
        <v>4790</v>
      </c>
      <c r="F223" s="13" t="n">
        <v>2099</v>
      </c>
      <c r="G223" s="13" t="n">
        <v>135000</v>
      </c>
      <c r="H223" t="inlineStr">
        <is>
          <t>Trust (1), Vinga (1), Maxxter (1)</t>
        </is>
      </c>
      <c r="I223" t="inlineStr">
        <is>
          <t>Джерела безперебійного живлення (20), Пристрій безперебійного живлення (5), Джерело безперебійного живлення (4), Блок безперебійного живлення (2), Дбж лінійно-інтерактивний (2), Блоки безперебійного живлення (1), Дбж (1)</t>
        </is>
      </c>
    </row>
    <row r="224">
      <c r="A224" t="inlineStr">
        <is>
          <t>Мережеве обладнання</t>
        </is>
      </c>
      <c r="B224" s="5" t="n">
        <v>34</v>
      </c>
      <c r="C224" s="5" t="n">
        <v>28</v>
      </c>
      <c r="D224" s="5" t="n">
        <v>2545</v>
      </c>
      <c r="E224" s="13" t="n">
        <v>3001</v>
      </c>
      <c r="F224" s="13" t="n">
        <v>1.48</v>
      </c>
      <c r="G224" s="13" t="n">
        <v>160000</v>
      </c>
      <c r="H224" t="inlineStr">
        <is>
          <t>TP-Link (10), MikroTik (2), 2E (1)</t>
        </is>
      </c>
      <c r="I224" t="inlineStr">
        <is>
          <t>Комутатор (9), Комутатор мережевий (4), Мережеве активне (3), Мережева карта (3), Роутер (2), Мережевий комутатор (2), Бездротовий маршрутизатор роутер (2), Маршрутизатор (2)</t>
        </is>
      </c>
    </row>
    <row r="225">
      <c r="A225" t="inlineStr">
        <is>
          <t>Комплект клавіатура з мишею</t>
        </is>
      </c>
      <c r="B225" s="5" t="n">
        <v>32</v>
      </c>
      <c r="C225" s="5" t="n">
        <v>31</v>
      </c>
      <c r="D225" s="5" t="n">
        <v>96</v>
      </c>
      <c r="E225" s="13" t="n">
        <v>2560</v>
      </c>
      <c r="F225" s="13" t="n">
        <v>198.34</v>
      </c>
      <c r="G225" s="13" t="n">
        <v>49636.4</v>
      </c>
      <c r="H225" t="inlineStr">
        <is>
          <t>A4Tech (7), Logitech (2), Genius (2)</t>
        </is>
      </c>
      <c r="I225" t="inlineStr">
        <is>
          <t>Комплект клавіатура (5), Комплект (5), Клавіатура (3), Комплект бездротовий (1), Комплект бездротовий клавіатура (1), Комплект бездротової клавіатури (1), Бездротовий комплект (1), Комп'ютерне обладнання клавіатура (1)</t>
        </is>
      </c>
    </row>
    <row r="226">
      <c r="A226" t="inlineStr">
        <is>
          <t>Картридж, тонер, чорнило</t>
        </is>
      </c>
      <c r="B226" s="5" t="n">
        <v>32</v>
      </c>
      <c r="C226" s="5" t="n">
        <v>23</v>
      </c>
      <c r="D226" s="5" t="n">
        <v>102</v>
      </c>
      <c r="E226" s="13" t="n">
        <v>5533.66</v>
      </c>
      <c r="F226" s="13" t="n">
        <v>500</v>
      </c>
      <c r="G226" s="13" t="n">
        <v>89990</v>
      </c>
      <c r="H226" t="inlineStr">
        <is>
          <t>Canon (11), HP (3), Epson (3)</t>
        </is>
      </c>
      <c r="I226" t="inlineStr">
        <is>
          <t>Картридж (11), Чорнило (6), Набір контейнерів з (5), Драм картридж (2), Катрідж нр (2), 30230000-0 комп’ютерне обладнання (картр (1), Катрідж (1), Набор чорнил (1)</t>
        </is>
      </c>
    </row>
    <row r="227">
      <c r="A227" t="inlineStr">
        <is>
          <t>Оптичний диск</t>
        </is>
      </c>
      <c r="B227" s="5" t="n">
        <v>30</v>
      </c>
      <c r="C227" s="5" t="n">
        <v>25</v>
      </c>
      <c r="D227" s="5" t="n">
        <v>15358</v>
      </c>
      <c r="E227" s="13" t="n">
        <v>492.5</v>
      </c>
      <c r="F227" s="13" t="n">
        <v>9.42</v>
      </c>
      <c r="G227" s="13" t="n">
        <v>4500</v>
      </c>
      <c r="H227" t="inlineStr">
        <is>
          <t>ASUS (4), HP (1)</t>
        </is>
      </c>
      <c r="I227" t="inlineStr">
        <is>
          <t>Оптичні диски (14), Диск (6), Оптичний привід (5), Оптичні приводи (1), Зовнішній (1), Dvd-r диск з конвертом (30234400-2) (код (1), Зовнішній пристрій (1), Диски (1)</t>
        </is>
      </c>
    </row>
    <row r="228">
      <c r="A228" t="inlineStr">
        <is>
          <t>Вебкамера</t>
        </is>
      </c>
      <c r="B228" s="5" t="n">
        <v>24</v>
      </c>
      <c r="C228" s="5" t="n">
        <v>24</v>
      </c>
      <c r="D228" s="5" t="n">
        <v>146</v>
      </c>
      <c r="E228" s="13" t="n">
        <v>1300</v>
      </c>
      <c r="F228" s="13" t="n">
        <v>490</v>
      </c>
      <c r="G228" s="13" t="n">
        <v>8079.5</v>
      </c>
      <c r="H228" t="inlineStr">
        <is>
          <t>Logitech (4), Trust (1), A4Tech (1)</t>
        </is>
      </c>
      <c r="I228" t="inlineStr">
        <is>
          <t>Веб-камера (10), Веб-камери (5), Веб-камера код дк (1), Вебкамера (1), Комп.камера logitech brio 105 fhd graphi (1), Мультимедіа веб-камера (1), Вебкамера код дк (1), Веб - камера (1)</t>
        </is>
      </c>
    </row>
    <row r="229">
      <c r="A229" t="inlineStr">
        <is>
          <t>Мережевий фільтр і подовжувач</t>
        </is>
      </c>
      <c r="B229" s="5" t="n">
        <v>22</v>
      </c>
      <c r="C229" s="5" t="n">
        <v>16</v>
      </c>
      <c r="D229" s="5" t="n">
        <v>171</v>
      </c>
      <c r="E229" s="13" t="n">
        <v>1022.5</v>
      </c>
      <c r="F229" s="13" t="n">
        <v>260</v>
      </c>
      <c r="G229" s="13" t="n">
        <v>9482.5</v>
      </c>
      <c r="H229" t="inlineStr">
        <is>
          <t>Defender (2)</t>
        </is>
      </c>
      <c r="I229" t="inlineStr">
        <is>
          <t>Мережевий фільтр (8), Мережевий фільтр живлення (7), Мережеві фільтри та (7)</t>
        </is>
      </c>
    </row>
    <row r="230">
      <c r="A230" t="inlineStr">
        <is>
          <t>Концентратор USB</t>
        </is>
      </c>
      <c r="B230" s="5" t="n">
        <v>20</v>
      </c>
      <c r="C230" s="5" t="n">
        <v>20</v>
      </c>
      <c r="D230" s="5" t="n">
        <v>33</v>
      </c>
      <c r="E230" s="13" t="n">
        <v>2080</v>
      </c>
      <c r="F230" s="13" t="n">
        <v>179.94</v>
      </c>
      <c r="G230" s="13" t="n">
        <v>11943.5</v>
      </c>
      <c r="H230" t="inlineStr">
        <is>
          <t>Gembird (6), Maxxter (1), Transcend (1)</t>
        </is>
      </c>
      <c r="I230" t="inlineStr">
        <is>
          <t>Концентратор (8), Usb-концентратори і кардрідери (2), Maxxter hu2a-4p-01+1.00 баллов хаб usb 2 (1), Usb type-c концентратор (hub) сolorway 6 (1), Usb хаб gembird usb 2.0 х 4 (1), Usb hub baseus (1), Usb-хаб baseus lite series 4 port black  (1), Кардрідер зовнішній (1)</t>
        </is>
      </c>
    </row>
    <row r="231">
      <c r="A231" t="inlineStr">
        <is>
          <t>3D-принтер і витратні матеріали</t>
        </is>
      </c>
      <c r="B231" s="5" t="n">
        <v>19</v>
      </c>
      <c r="C231" s="5" t="n">
        <v>19</v>
      </c>
      <c r="D231" s="5" t="n">
        <v>35</v>
      </c>
      <c r="E231" s="13" t="n">
        <v>90000</v>
      </c>
      <c r="F231" s="13" t="n">
        <v>744</v>
      </c>
      <c r="G231" s="13" t="n">
        <v>321083.33</v>
      </c>
      <c r="H231" t="inlineStr"/>
      <c r="I231" t="inlineStr">
        <is>
          <t>3d принтери (5), 3d принтер (3), Комплект обладнання для (2), 3d принтер bambu lab p1s (2), 3d-принтер, код дк 021:2015: 30230000-0- (2), Філамент для (1), 3d-принтер bambu lab p1s combo + ams або (1), 3d-принтер bambu lab p2s (1)</t>
        </is>
      </c>
    </row>
    <row r="232">
      <c r="A232" t="inlineStr">
        <is>
          <t>Карта пам'яті</t>
        </is>
      </c>
      <c r="B232" s="5" t="n">
        <v>19</v>
      </c>
      <c r="C232" s="5" t="n">
        <v>15</v>
      </c>
      <c r="D232" s="5" t="n">
        <v>1993</v>
      </c>
      <c r="E232" s="13" t="n">
        <v>478.8</v>
      </c>
      <c r="F232" s="13" t="n">
        <v>3.08</v>
      </c>
      <c r="G232" s="13" t="n">
        <v>496364</v>
      </c>
      <c r="H232" t="inlineStr">
        <is>
          <t>Kingston (1), Patriot (1), Verbatim (1)</t>
        </is>
      </c>
      <c r="I232" t="inlineStr">
        <is>
          <t>Карта пам'яті (7), Карта пам’яті (5), Карта памяті (3), Карти пам'яті (1), Картка пам'яті (1), Карти пам'яті зарядний (1), Карта пам’яті на (1)</t>
        </is>
      </c>
    </row>
    <row r="233">
      <c r="A233" t="inlineStr">
        <is>
          <t>Процесор</t>
        </is>
      </c>
      <c r="B233" s="5" t="n">
        <v>18</v>
      </c>
      <c r="C233" s="5" t="n">
        <v>16</v>
      </c>
      <c r="D233" s="5" t="n">
        <v>40</v>
      </c>
      <c r="E233" s="13" t="n">
        <v>19122.5</v>
      </c>
      <c r="F233" s="13" t="n">
        <v>250</v>
      </c>
      <c r="G233" s="13" t="n">
        <v>324055</v>
      </c>
      <c r="H233" t="inlineStr">
        <is>
          <t>Intel (10), AMD (4), ASUS (1)</t>
        </is>
      </c>
      <c r="I233" t="inlineStr">
        <is>
          <t>Процесор (12), Процессор (1), Процесорний кулер (1), Процесор материнська плата (1), Процесор накопичувач системна (1), Процесор. (1), Охолодження (1)</t>
        </is>
      </c>
    </row>
    <row r="234">
      <c r="A234" t="inlineStr">
        <is>
          <t>Материнська плата</t>
        </is>
      </c>
      <c r="B234" s="5" t="n">
        <v>16</v>
      </c>
      <c r="C234" s="5" t="n">
        <v>16</v>
      </c>
      <c r="D234" s="5" t="n">
        <v>30</v>
      </c>
      <c r="E234" s="13" t="n">
        <v>18481</v>
      </c>
      <c r="F234" s="13" t="n">
        <v>2888</v>
      </c>
      <c r="G234" s="13" t="n">
        <v>324055</v>
      </c>
      <c r="H234" t="inlineStr">
        <is>
          <t>ASRock (2), ASUS (2), Gigabyte (2)</t>
        </is>
      </c>
      <c r="I234" t="inlineStr">
        <is>
          <t>Материнська плата (12), Материнські плати (2), Системна плата накопичувач (1), Материнська (1)</t>
        </is>
      </c>
    </row>
    <row r="235">
      <c r="A235" t="inlineStr">
        <is>
          <t>Кулер, вентилятор, термопаста</t>
        </is>
      </c>
      <c r="B235" s="5" t="n">
        <v>16</v>
      </c>
      <c r="C235" s="5" t="n">
        <v>11</v>
      </c>
      <c r="D235" s="5" t="n">
        <v>21</v>
      </c>
      <c r="E235" s="13" t="n">
        <v>6517</v>
      </c>
      <c r="F235" s="13" t="n">
        <v>1465</v>
      </c>
      <c r="G235" s="13" t="n">
        <v>160000</v>
      </c>
      <c r="H235" t="inlineStr">
        <is>
          <t>Vinga (3), Deepcool (1), Gembird (1)</t>
        </is>
      </c>
      <c r="I235" t="inlineStr">
        <is>
          <t>Термопаста (4), Кулер для процесора (4), Охолоджувач для процесора (3), Вентилятор в корпус (2), Вентилятор (1), Термопаста для очищення (1), Кулер для корпуса (1)</t>
        </is>
      </c>
    </row>
    <row r="236">
      <c r="A236" t="inlineStr">
        <is>
          <t>Сканер</t>
        </is>
      </c>
      <c r="B236" s="5" t="n">
        <v>15</v>
      </c>
      <c r="C236" s="5" t="n">
        <v>15</v>
      </c>
      <c r="D236" s="5" t="n">
        <v>77</v>
      </c>
      <c r="E236" s="13" t="n">
        <v>29000</v>
      </c>
      <c r="F236" s="13" t="n">
        <v>3500.04</v>
      </c>
      <c r="G236" s="13" t="n">
        <v>68600</v>
      </c>
      <c r="H236" t="inlineStr">
        <is>
          <t>Canon (3)</t>
        </is>
      </c>
      <c r="I236" t="inlineStr">
        <is>
          <t>Сканер (5), Сканери (4), Сканер планшетний (2), Сканер протяжний дк (1), 3d сканер настільний, дк 021:2015: 30210 (1), Сканер документів книжковий (1), Сканер протяжний (1)</t>
        </is>
      </c>
    </row>
    <row r="237">
      <c r="A237" t="inlineStr">
        <is>
          <t>Килимок для миші</t>
        </is>
      </c>
      <c r="B237" s="5" t="n">
        <v>13</v>
      </c>
      <c r="C237" s="5" t="n">
        <v>12</v>
      </c>
      <c r="D237" s="5" t="n">
        <v>25</v>
      </c>
      <c r="E237" s="13" t="n">
        <v>350</v>
      </c>
      <c r="F237" s="13" t="n">
        <v>53.09</v>
      </c>
      <c r="G237" s="13" t="n">
        <v>21160</v>
      </c>
      <c r="H237" t="inlineStr">
        <is>
          <t>Gembird (4)</t>
        </is>
      </c>
      <c r="I237" t="inlineStr">
        <is>
          <t>Килимок (6), Килимок для мишки (5), Килимок для комп’ютерної (2)</t>
        </is>
      </c>
    </row>
    <row r="238">
      <c r="A238" t="inlineStr">
        <is>
          <t>Комп'ютерне обладнання</t>
        </is>
      </c>
      <c r="B238" s="5" t="n">
        <v>12</v>
      </c>
      <c r="C238" s="5" t="n">
        <v>12</v>
      </c>
      <c r="D238" s="5" t="n">
        <v>304</v>
      </c>
      <c r="E238" s="13" t="n">
        <v>4546</v>
      </c>
      <c r="F238" s="13" t="n">
        <v>225</v>
      </c>
      <c r="G238" s="13" t="n">
        <v>30000</v>
      </c>
      <c r="H238" t="inlineStr">
        <is>
          <t>Canon (1)</t>
        </is>
      </c>
      <c r="I238" t="inlineStr">
        <is>
          <t>Комп'ютерне обладнання (12)</t>
        </is>
      </c>
    </row>
    <row r="239">
      <c r="A239" t="inlineStr">
        <is>
          <t>Колонки, акустика</t>
        </is>
      </c>
      <c r="B239" s="5" t="n">
        <v>11</v>
      </c>
      <c r="C239" s="5" t="n">
        <v>8</v>
      </c>
      <c r="D239" s="5" t="n">
        <v>20</v>
      </c>
      <c r="E239" s="13" t="n">
        <v>4796</v>
      </c>
      <c r="F239" s="13" t="n">
        <v>400</v>
      </c>
      <c r="G239" s="13" t="n">
        <v>13684</v>
      </c>
      <c r="H239" t="inlineStr">
        <is>
          <t>2E (1), REAL-EL (1), Maxxter (1)</t>
        </is>
      </c>
      <c r="I239" t="inlineStr">
        <is>
          <t>Колонки (6), Акустична система (4), Комп'ютерне обладнання комлект (1)</t>
        </is>
      </c>
    </row>
    <row r="240">
      <c r="A240" t="inlineStr">
        <is>
          <t>Комплект</t>
        </is>
      </c>
      <c r="B240" s="5" t="n">
        <v>11</v>
      </c>
      <c r="C240" s="5" t="n">
        <v>10</v>
      </c>
      <c r="D240" s="5" t="n">
        <v>34</v>
      </c>
      <c r="E240" s="13" t="n">
        <v>17160.5</v>
      </c>
      <c r="F240" s="13" t="n">
        <v>860</v>
      </c>
      <c r="G240" s="13" t="n">
        <v>116666.67</v>
      </c>
      <c r="H240" t="inlineStr">
        <is>
          <t>Logitech (1), Genius (1), HP (1)</t>
        </is>
      </c>
      <c r="I240" t="inlineStr">
        <is>
          <t>Комплект (6), Комплект обладнання для (2), Комплект безпровідний (1), Комплект комп’ютерного обладнання (1), Комплект чорнил (1)</t>
        </is>
      </c>
    </row>
    <row r="241">
      <c r="A241" t="inlineStr">
        <is>
          <t>Папір, плівка, конверти</t>
        </is>
      </c>
      <c r="B241" s="5" t="n">
        <v>10</v>
      </c>
      <c r="C241" s="5" t="n">
        <v>10</v>
      </c>
      <c r="D241" s="5" t="n">
        <v>409</v>
      </c>
      <c r="E241" s="13" t="n">
        <v>1415</v>
      </c>
      <c r="F241" s="13" t="n">
        <v>9.42</v>
      </c>
      <c r="G241" s="13" t="n">
        <v>17998</v>
      </c>
      <c r="H241" t="inlineStr"/>
      <c r="I241" t="inlineStr">
        <is>
          <t>Конверти для дисків (6), Папір плотерний (2), Плівка для ламінування (1), Конверти для (1)</t>
        </is>
      </c>
    </row>
    <row r="242">
      <c r="A242" t="inlineStr">
        <is>
          <t>Батарея, акумулятор</t>
        </is>
      </c>
      <c r="B242" s="5" t="n">
        <v>9</v>
      </c>
      <c r="C242" s="5" t="n">
        <v>9</v>
      </c>
      <c r="D242" s="5" t="n">
        <v>19</v>
      </c>
      <c r="E242" s="13" t="n">
        <v>6315</v>
      </c>
      <c r="F242" s="13" t="n">
        <v>242</v>
      </c>
      <c r="G242" s="13" t="n">
        <v>46376</v>
      </c>
      <c r="H242" t="inlineStr"/>
      <c r="I242" t="inlineStr">
        <is>
          <t>Батарейка (5), Батарея (2), Акумуляторна батарея (1), Акумулятор (1)</t>
        </is>
      </c>
    </row>
    <row r="243">
      <c r="A243" t="inlineStr">
        <is>
          <t>Сканер штрих-коду</t>
        </is>
      </c>
      <c r="B243" s="5" t="n">
        <v>8</v>
      </c>
      <c r="C243" s="5" t="n">
        <v>8</v>
      </c>
      <c r="D243" s="5" t="n">
        <v>27</v>
      </c>
      <c r="E243" s="13" t="n">
        <v>2676.99</v>
      </c>
      <c r="F243" s="13" t="n">
        <v>1546.44</v>
      </c>
      <c r="G243" s="13" t="n">
        <v>9600</v>
      </c>
      <c r="H243" t="inlineStr"/>
      <c r="I243" t="inlineStr">
        <is>
          <t>Сканер штрих-коду (6), Сканер штрихкодів (1), Сканер штрих-кодів ручний (1)</t>
        </is>
      </c>
    </row>
    <row r="244">
      <c r="A244" t="inlineStr">
        <is>
          <t>Відеокарта</t>
        </is>
      </c>
      <c r="B244" s="5" t="n">
        <v>8</v>
      </c>
      <c r="C244" s="5" t="n">
        <v>6</v>
      </c>
      <c r="D244" s="5" t="n">
        <v>14</v>
      </c>
      <c r="E244" s="13" t="n">
        <v>61798.49</v>
      </c>
      <c r="F244" s="13" t="n">
        <v>10864.02</v>
      </c>
      <c r="G244" s="13" t="n">
        <v>496364</v>
      </c>
      <c r="H244" t="inlineStr"/>
      <c r="I244" t="inlineStr">
        <is>
          <t>Відеокарти (4), Відеокарта на (2), Відеоплата (1), Відеокарта. (1)</t>
        </is>
      </c>
    </row>
    <row r="245">
      <c r="A245" t="inlineStr">
        <is>
          <t>Корпус</t>
        </is>
      </c>
      <c r="B245" s="5" t="n">
        <v>8</v>
      </c>
      <c r="C245" s="5" t="n">
        <v>8</v>
      </c>
      <c r="D245" s="5" t="n">
        <v>14</v>
      </c>
      <c r="E245" s="13" t="n">
        <v>19122.5</v>
      </c>
      <c r="F245" s="13" t="n">
        <v>2160</v>
      </c>
      <c r="G245" s="13" t="n">
        <v>324055</v>
      </c>
      <c r="H245" t="inlineStr">
        <is>
          <t>GAMEMAX (3), Vinga (2), 2E (1)</t>
        </is>
      </c>
      <c r="I245" t="inlineStr">
        <is>
          <t>Корпус (5), Корпус для пк (1), Ветилятор в корпус (1), Корпус для (1)</t>
        </is>
      </c>
    </row>
    <row r="246">
      <c r="A246" t="inlineStr">
        <is>
          <t>Плоттер</t>
        </is>
      </c>
      <c r="B246" s="5" t="n">
        <v>6</v>
      </c>
      <c r="C246" s="5" t="n">
        <v>6</v>
      </c>
      <c r="D246" s="5" t="n">
        <v>9</v>
      </c>
      <c r="E246" s="13" t="n">
        <v>63002</v>
      </c>
      <c r="F246" s="13" t="n">
        <v>41246.52</v>
      </c>
      <c r="G246" s="13" t="n">
        <v>89990</v>
      </c>
      <c r="H246" t="inlineStr">
        <is>
          <t>HP (3), Canon (2)</t>
        </is>
      </c>
      <c r="I246" t="inlineStr">
        <is>
          <t>Плотер (3), Плоттер (1), Плотер для кольорового (1), Плотер струменевий (1)</t>
        </is>
      </c>
    </row>
    <row r="247">
      <c r="A247" t="inlineStr">
        <is>
          <t>Сумка або чохол</t>
        </is>
      </c>
      <c r="B247" s="5" t="n">
        <v>6</v>
      </c>
      <c r="C247" s="5" t="n">
        <v>6</v>
      </c>
      <c r="D247" s="5" t="n">
        <v>6</v>
      </c>
      <c r="E247" s="13" t="n">
        <v>1603.5</v>
      </c>
      <c r="F247" s="13" t="n">
        <v>700</v>
      </c>
      <c r="G247" s="13" t="n">
        <v>4201</v>
      </c>
      <c r="H247" t="inlineStr">
        <is>
          <t>Vinga (1)</t>
        </is>
      </c>
      <c r="I247" t="inlineStr">
        <is>
          <t>Сумка для ноутбука (6)</t>
        </is>
      </c>
    </row>
    <row r="248">
      <c r="A248" t="inlineStr">
        <is>
          <t>Сервер і мережеве сховище</t>
        </is>
      </c>
      <c r="B248" s="5" t="n">
        <v>6</v>
      </c>
      <c r="C248" s="5" t="n">
        <v>6</v>
      </c>
      <c r="D248" s="5" t="n">
        <v>10</v>
      </c>
      <c r="E248" s="13" t="n">
        <v>447440.15</v>
      </c>
      <c r="F248" s="13" t="n">
        <v>24700</v>
      </c>
      <c r="G248" s="13" t="n">
        <v>462833.33</v>
      </c>
      <c r="H248" t="inlineStr">
        <is>
          <t>AMD (1), Gigabyte (1), Kingston (1)</t>
        </is>
      </c>
      <c r="I248" t="inlineStr">
        <is>
          <t>Мережевий комп’ютер-сховище (3), Диски в сервер (1), Сервер у складі (1), Пам'ять (1)</t>
        </is>
      </c>
    </row>
    <row r="249">
      <c r="A249" t="inlineStr">
        <is>
          <t>Кишеня для накопичувача</t>
        </is>
      </c>
      <c r="B249" s="5" t="n">
        <v>5</v>
      </c>
      <c r="C249" s="5" t="n">
        <v>5</v>
      </c>
      <c r="D249" s="5" t="n">
        <v>8</v>
      </c>
      <c r="E249" s="13" t="n">
        <v>1670</v>
      </c>
      <c r="F249" s="13" t="n">
        <v>386</v>
      </c>
      <c r="G249" s="13" t="n">
        <v>2675</v>
      </c>
      <c r="H249" t="inlineStr">
        <is>
          <t>Verbatim (1)</t>
        </is>
      </c>
      <c r="I249" t="inlineStr">
        <is>
          <t>Зовнішня кишеня контейнер (2), Кишеня зовнішня (2), Кишеня для (1)</t>
        </is>
      </c>
    </row>
    <row r="250">
      <c r="A250" t="inlineStr">
        <is>
          <t>Кронштейн, стійка</t>
        </is>
      </c>
      <c r="B250" s="5" t="n">
        <v>5</v>
      </c>
      <c r="C250" s="5" t="n">
        <v>5</v>
      </c>
      <c r="D250" s="5" t="n">
        <v>10</v>
      </c>
      <c r="E250" s="13" t="n">
        <v>1899</v>
      </c>
      <c r="F250" s="13" t="n">
        <v>950</v>
      </c>
      <c r="G250" s="13" t="n">
        <v>4201</v>
      </c>
      <c r="H250" t="inlineStr">
        <is>
          <t>Trust (1)</t>
        </is>
      </c>
      <c r="I250" t="inlineStr">
        <is>
          <t>Кронштейн (2), Підставка під монітор (1), Підставка для ноутбука (1), Настінні кронштейни для (1)</t>
        </is>
      </c>
    </row>
    <row r="251">
      <c r="A251" t="inlineStr">
        <is>
          <t>Сумісні комплектувальні</t>
        </is>
      </c>
      <c r="B251" s="5" t="n">
        <v>5</v>
      </c>
      <c r="C251" s="5" t="n">
        <v>5</v>
      </c>
      <c r="D251" s="5" t="n">
        <v>86</v>
      </c>
      <c r="E251" s="13" t="n">
        <v>850</v>
      </c>
      <c r="F251" s="13" t="n">
        <v>501.94</v>
      </c>
      <c r="G251" s="13" t="n">
        <v>17043</v>
      </c>
      <c r="H251" t="inlineStr"/>
      <c r="I251" t="inlineStr">
        <is>
          <t>Комплектуючі до комп'ютерної (2), Комплектуючі до персонального (1), Комплектуючі для комп'ютера (1), Комплектуючі та витратні (1)</t>
        </is>
      </c>
    </row>
    <row r="252">
      <c r="A252" t="inlineStr">
        <is>
          <t>Навушники, гарнітура</t>
        </is>
      </c>
      <c r="B252" s="5" t="n">
        <v>4</v>
      </c>
      <c r="C252" s="5" t="n">
        <v>4</v>
      </c>
      <c r="D252" s="5" t="n">
        <v>56</v>
      </c>
      <c r="E252" s="13" t="n">
        <v>1450</v>
      </c>
      <c r="F252" s="13" t="n">
        <v>1300</v>
      </c>
      <c r="G252" s="13" t="n">
        <v>21321</v>
      </c>
      <c r="H252" t="inlineStr"/>
      <c r="I252" t="inlineStr">
        <is>
          <t>Гарнітури для офісу (3), Навушники (1)</t>
        </is>
      </c>
    </row>
    <row r="253">
      <c r="A253" t="inlineStr">
        <is>
          <t>Диск</t>
        </is>
      </c>
      <c r="B253" s="5" t="n">
        <v>4</v>
      </c>
      <c r="C253" s="5" t="n">
        <v>4</v>
      </c>
      <c r="D253" s="5" t="n">
        <v>2401</v>
      </c>
      <c r="E253" s="13" t="n">
        <v>118.88</v>
      </c>
      <c r="F253" s="13" t="n">
        <v>18.2</v>
      </c>
      <c r="G253" s="13" t="n">
        <v>2955.06</v>
      </c>
      <c r="H253" t="inlineStr"/>
      <c r="I253" t="inlineStr">
        <is>
          <t>Оптичний диск (2), Cd-r диск з конвертом (30234300-1) (код  (1), Диски (1)</t>
        </is>
      </c>
    </row>
    <row r="254">
      <c r="A254" t="inlineStr">
        <is>
          <t>Наклейка на клавіатуру</t>
        </is>
      </c>
      <c r="B254" s="5" t="n">
        <v>3</v>
      </c>
      <c r="C254" s="5" t="n">
        <v>2</v>
      </c>
      <c r="D254" s="5" t="n">
        <v>32</v>
      </c>
      <c r="E254" s="13" t="n">
        <v>100</v>
      </c>
      <c r="F254" s="13" t="n">
        <v>100</v>
      </c>
      <c r="G254" s="13" t="n">
        <v>845.5</v>
      </c>
      <c r="H254" t="inlineStr"/>
      <c r="I254" t="inlineStr">
        <is>
          <t>Наклейка на клавіатуру (2), Наклейки на клавіатуру (1)</t>
        </is>
      </c>
    </row>
    <row r="255">
      <c r="A255" t="inlineStr">
        <is>
          <t>Телевізор</t>
        </is>
      </c>
      <c r="B255" s="5" t="n">
        <v>3</v>
      </c>
      <c r="C255" s="5" t="n">
        <v>3</v>
      </c>
      <c r="D255" s="5" t="n">
        <v>4</v>
      </c>
      <c r="E255" s="13" t="n">
        <v>128859.55</v>
      </c>
      <c r="F255" s="13" t="n">
        <v>97719.10000000001</v>
      </c>
      <c r="G255" s="13" t="n">
        <v>160000</v>
      </c>
      <c r="H255" t="inlineStr">
        <is>
          <t>ERGO (2), Xiaomi (1)</t>
        </is>
      </c>
      <c r="I255" t="inlineStr">
        <is>
          <t>Телевізор (2), «xiaomi 65» qled 4k tv a pro 65 2026 та  (1)</t>
        </is>
      </c>
    </row>
    <row r="256">
      <c r="A256" t="inlineStr">
        <is>
          <t>Кришка, корпусна деталь</t>
        </is>
      </c>
      <c r="B256" s="5" t="n">
        <v>3</v>
      </c>
      <c r="C256" s="5" t="n">
        <v>3</v>
      </c>
      <c r="D256" s="5" t="n">
        <v>3</v>
      </c>
      <c r="E256" s="13" t="n">
        <v>1600</v>
      </c>
      <c r="F256" s="13" t="n">
        <v>1400</v>
      </c>
      <c r="G256" s="13" t="n">
        <v>1900</v>
      </c>
      <c r="H256" t="inlineStr">
        <is>
          <t>ASUS (2)</t>
        </is>
      </c>
      <c r="I256" t="inlineStr">
        <is>
          <t>Кришка матриці ноутбука (3)</t>
        </is>
      </c>
    </row>
    <row r="257">
      <c r="A257" t="inlineStr">
        <is>
          <t>Зберіганн</t>
        </is>
      </c>
      <c r="B257" s="5" t="n">
        <v>3</v>
      </c>
      <c r="C257" s="5" t="n">
        <v>3</v>
      </c>
      <c r="D257" s="5" t="n">
        <v>3</v>
      </c>
      <c r="E257" s="13" t="n">
        <v>1360</v>
      </c>
      <c r="F257" s="13" t="n">
        <v>1360</v>
      </c>
      <c r="G257" s="13" t="n">
        <v>1399</v>
      </c>
      <c r="H257" t="inlineStr"/>
      <c r="I257" t="inlineStr">
        <is>
          <t>Пристрій для зберігання (2), Пристрої для зберігання (1)</t>
        </is>
      </c>
    </row>
    <row r="258">
      <c r="A258" t="inlineStr">
        <is>
          <t>Конектор</t>
        </is>
      </c>
      <c r="B258" s="5" t="n">
        <v>3</v>
      </c>
      <c r="C258" s="5" t="n">
        <v>3</v>
      </c>
      <c r="D258" s="5" t="n">
        <v>196</v>
      </c>
      <c r="E258" s="13" t="n">
        <v>132.95</v>
      </c>
      <c r="F258" s="13" t="n">
        <v>130</v>
      </c>
      <c r="G258" s="13" t="n">
        <v>2994</v>
      </c>
      <c r="H258" t="inlineStr"/>
      <c r="I258" t="inlineStr">
        <is>
          <t>Конектор (2), Конектор. (1)</t>
        </is>
      </c>
    </row>
    <row r="259">
      <c r="A259" t="inlineStr">
        <is>
          <t>Ключ</t>
        </is>
      </c>
      <c r="B259" s="5" t="n">
        <v>3</v>
      </c>
      <c r="C259" s="5" t="n">
        <v>3</v>
      </c>
      <c r="D259" s="5" t="n">
        <v>5</v>
      </c>
      <c r="E259" s="13" t="n">
        <v>1398.96</v>
      </c>
      <c r="F259" s="13" t="n">
        <v>1225</v>
      </c>
      <c r="G259" s="13" t="n">
        <v>1610</v>
      </c>
      <c r="H259" t="inlineStr"/>
      <c r="I259" t="inlineStr">
        <is>
          <t>Електронний (1), Придбання електронного ключа (1), Апаратний ключ безпеки (1)</t>
        </is>
      </c>
    </row>
    <row r="260">
      <c r="A260" t="inlineStr">
        <is>
          <t>Контролер, плата розширення</t>
        </is>
      </c>
      <c r="B260" s="5" t="n">
        <v>2</v>
      </c>
      <c r="C260" s="5" t="n">
        <v>2</v>
      </c>
      <c r="D260" s="5" t="n">
        <v>2</v>
      </c>
      <c r="E260" s="13" t="n">
        <v>84800</v>
      </c>
      <c r="F260" s="13" t="n">
        <v>9600</v>
      </c>
      <c r="G260" s="13" t="n">
        <v>160000</v>
      </c>
      <c r="H260" t="inlineStr">
        <is>
          <t>Gembird (1), ASUS (1)</t>
        </is>
      </c>
      <c r="I260" t="inlineStr">
        <is>
          <t>Контролер (2)</t>
        </is>
      </c>
    </row>
    <row r="261">
      <c r="A261" t="inlineStr">
        <is>
          <t>Накладно</t>
        </is>
      </c>
      <c r="B261" s="5" t="n">
        <v>2</v>
      </c>
      <c r="C261" s="5" t="n">
        <v>2</v>
      </c>
      <c r="D261" s="5" t="n">
        <v>13</v>
      </c>
      <c r="E261" s="13" t="n">
        <v>6564.77</v>
      </c>
      <c r="F261" s="13" t="n">
        <v>1454.55</v>
      </c>
      <c r="G261" s="13" t="n">
        <v>11675</v>
      </c>
      <c r="H261" t="inlineStr"/>
      <c r="I261" t="inlineStr">
        <is>
          <t>30230000-0 комп’ютерне обладнання згідно (1), Комп’ютерне обладнання згідно (1)</t>
        </is>
      </c>
    </row>
    <row r="262">
      <c r="A262" t="inlineStr">
        <is>
          <t>Мікрофон</t>
        </is>
      </c>
      <c r="B262" s="5" t="n">
        <v>2</v>
      </c>
      <c r="C262" s="5" t="n">
        <v>2</v>
      </c>
      <c r="D262" s="5" t="n">
        <v>6</v>
      </c>
      <c r="E262" s="13" t="n">
        <v>5577</v>
      </c>
      <c r="F262" s="13" t="n">
        <v>1100</v>
      </c>
      <c r="G262" s="13" t="n">
        <v>10054</v>
      </c>
      <c r="H262" t="inlineStr">
        <is>
          <t>Trust (1)</t>
        </is>
      </c>
      <c r="I262" t="inlineStr">
        <is>
          <t>Мікрофон (1), Web-камера 1080p webcam for pc (з мікроф (1)</t>
        </is>
      </c>
    </row>
    <row r="263">
      <c r="A263" t="inlineStr">
        <is>
          <t>Комп'ютерна техніка</t>
        </is>
      </c>
      <c r="B263" s="5" t="n">
        <v>2</v>
      </c>
      <c r="C263" s="5" t="n">
        <v>2</v>
      </c>
      <c r="D263" s="5" t="n">
        <v>9</v>
      </c>
      <c r="E263" s="13" t="n">
        <v>20560.7</v>
      </c>
      <c r="F263" s="13" t="n">
        <v>19883.4</v>
      </c>
      <c r="G263" s="13" t="n">
        <v>21238</v>
      </c>
      <c r="H263" t="inlineStr"/>
      <c r="I263" t="inlineStr">
        <is>
          <t>Комп'ютерна техніка (2)</t>
        </is>
      </c>
    </row>
    <row r="264">
      <c r="A264" t="inlineStr">
        <is>
          <t>Плат</t>
        </is>
      </c>
      <c r="B264" s="5" t="n">
        <v>2</v>
      </c>
      <c r="C264" s="5" t="n">
        <v>2</v>
      </c>
      <c r="D264" s="5" t="n">
        <v>11</v>
      </c>
      <c r="E264" s="13" t="n">
        <v>325</v>
      </c>
      <c r="F264" s="13" t="n">
        <v>150</v>
      </c>
      <c r="G264" s="13" t="n">
        <v>500</v>
      </c>
      <c r="H264" t="inlineStr"/>
      <c r="I264" t="inlineStr">
        <is>
          <t>Плата (1), Звукова плата (1)</t>
        </is>
      </c>
    </row>
    <row r="265">
      <c r="A265" t="inlineStr">
        <is>
          <t>Товар</t>
        </is>
      </c>
      <c r="B265" s="5" t="n">
        <v>2</v>
      </c>
      <c r="C265" s="5" t="n">
        <v>2</v>
      </c>
      <c r="D265" s="5" t="n">
        <v>5</v>
      </c>
      <c r="E265" s="13" t="n">
        <v>1630</v>
      </c>
      <c r="F265" s="13" t="n">
        <v>1560</v>
      </c>
      <c r="G265" s="13" t="n">
        <v>1700</v>
      </c>
      <c r="H265" t="inlineStr"/>
      <c r="I265" t="inlineStr">
        <is>
          <t>Придбання товару (2)</t>
        </is>
      </c>
    </row>
    <row r="266">
      <c r="A266" t="inlineStr">
        <is>
          <t>Дк</t>
        </is>
      </c>
      <c r="B266" s="5" t="n">
        <v>2</v>
      </c>
      <c r="C266" s="5" t="n">
        <v>2</v>
      </c>
      <c r="D266" s="5" t="n">
        <v>2</v>
      </c>
      <c r="E266" s="13" t="n">
        <v>1177.5</v>
      </c>
      <c r="F266" s="13" t="n">
        <v>700</v>
      </c>
      <c r="G266" s="13" t="n">
        <v>1655</v>
      </c>
      <c r="H266" t="inlineStr"/>
      <c r="I266" t="inlineStr">
        <is>
          <t>Дк (2)</t>
        </is>
      </c>
    </row>
    <row r="267">
      <c r="A267" t="inlineStr">
        <is>
          <t>За</t>
        </is>
      </c>
      <c r="B267" s="5" t="n">
        <v>2</v>
      </c>
      <c r="C267" s="5" t="n">
        <v>2</v>
      </c>
      <c r="D267" s="5" t="n">
        <v>27</v>
      </c>
      <c r="E267" s="13" t="n">
        <v>2872.01</v>
      </c>
      <c r="F267" s="13" t="n">
        <v>2565.01</v>
      </c>
      <c r="G267" s="13" t="n">
        <v>3179.01</v>
      </c>
      <c r="H267" t="inlineStr"/>
      <c r="I267" t="inlineStr">
        <is>
          <t>Код за дк (2)</t>
        </is>
      </c>
    </row>
    <row r="268">
      <c r="A268" t="inlineStr">
        <is>
          <t>Пам'ять</t>
        </is>
      </c>
      <c r="B268" s="5" t="n">
        <v>2</v>
      </c>
      <c r="C268" s="5" t="n">
        <v>2</v>
      </c>
      <c r="D268" s="5" t="n">
        <v>3</v>
      </c>
      <c r="E268" s="13" t="n">
        <v>22126</v>
      </c>
      <c r="F268" s="13" t="n">
        <v>3252</v>
      </c>
      <c r="G268" s="13" t="n">
        <v>41000</v>
      </c>
      <c r="H268" t="inlineStr"/>
      <c r="I268" t="inlineStr">
        <is>
          <t>Пам’ять (1), Пам'ять (1)</t>
        </is>
      </c>
    </row>
    <row r="269">
      <c r="A269" t="inlineStr">
        <is>
          <t>Матриц</t>
        </is>
      </c>
      <c r="B269" s="5" t="n">
        <v>2</v>
      </c>
      <c r="C269" s="5" t="n">
        <v>1</v>
      </c>
      <c r="D269" s="5" t="n">
        <v>15</v>
      </c>
      <c r="E269" s="13" t="n">
        <v>195</v>
      </c>
      <c r="F269" s="13" t="n">
        <v>130</v>
      </c>
      <c r="G269" s="13" t="n">
        <v>260</v>
      </c>
      <c r="H269" t="inlineStr"/>
      <c r="I269" t="inlineStr">
        <is>
          <t>Комп’ютерне обладнання матриця (2)</t>
        </is>
      </c>
    </row>
    <row r="270">
      <c r="A270" t="inlineStr">
        <is>
          <t>Проєктор</t>
        </is>
      </c>
      <c r="B270" s="5" t="n">
        <v>2</v>
      </c>
      <c r="C270" s="5" t="n">
        <v>1</v>
      </c>
      <c r="D270" s="5" t="n">
        <v>6</v>
      </c>
      <c r="E270" s="13" t="n">
        <v>108018.33</v>
      </c>
      <c r="F270" s="13" t="n">
        <v>108018.33</v>
      </c>
      <c r="G270" s="13" t="n">
        <v>108018.33</v>
      </c>
      <c r="H270" t="inlineStr"/>
      <c r="I270" t="inlineStr">
        <is>
          <t>Відеопроєктор короткофокусний (1), Кріплення для (1)</t>
        </is>
      </c>
    </row>
    <row r="271">
      <c r="A271" t="inlineStr">
        <is>
          <t>Дисплей Брайля</t>
        </is>
      </c>
      <c r="B271" s="5" t="n">
        <v>1</v>
      </c>
      <c r="C271" s="5" t="n">
        <v>1</v>
      </c>
      <c r="D271" s="5" t="n">
        <v>1</v>
      </c>
      <c r="E271" s="13" t="n">
        <v>160000</v>
      </c>
      <c r="F271" s="13" t="n">
        <v>160000</v>
      </c>
      <c r="G271" s="13" t="n">
        <v>160000</v>
      </c>
      <c r="H271" t="inlineStr"/>
      <c r="I271" t="inlineStr">
        <is>
          <t>Портативний дисплей брайля (1)</t>
        </is>
      </c>
    </row>
    <row r="272">
      <c r="A272" t="inlineStr">
        <is>
          <t>Ріхм</t>
        </is>
      </c>
      <c r="B272" s="5" t="n">
        <v>1</v>
      </c>
      <c r="C272" s="5" t="n">
        <v>1</v>
      </c>
      <c r="D272" s="5" t="n">
        <v>1</v>
      </c>
      <c r="E272" s="13" t="n">
        <v>8400</v>
      </c>
      <c r="F272" s="13" t="n">
        <v>8400</v>
      </c>
      <c r="G272" s="13" t="n">
        <v>8400</v>
      </c>
      <c r="H272" t="inlineStr">
        <is>
          <t>Canon (1)</t>
        </is>
      </c>
      <c r="I272" t="inlineStr">
        <is>
          <t>Canon pixma g3410 з wifi (2315c009) (1)</t>
        </is>
      </c>
    </row>
    <row r="273">
      <c r="A273" t="inlineStr">
        <is>
          <t>Пульт</t>
        </is>
      </c>
      <c r="B273" s="5" t="n">
        <v>1</v>
      </c>
      <c r="C273" s="5" t="n">
        <v>1</v>
      </c>
      <c r="D273" s="5" t="n">
        <v>1</v>
      </c>
      <c r="E273" s="13" t="n">
        <v>46500</v>
      </c>
      <c r="F273" s="13" t="n">
        <v>46500</v>
      </c>
      <c r="G273" s="13" t="n">
        <v>46500</v>
      </c>
      <c r="H273" t="inlineStr"/>
      <c r="I273" t="inlineStr">
        <is>
          <t>Пульт управління до (1)</t>
        </is>
      </c>
    </row>
    <row r="274">
      <c r="A274" t="inlineStr">
        <is>
          <t>Придбання комп'ютерного обладнання</t>
        </is>
      </c>
      <c r="B274" s="5" t="n">
        <v>1</v>
      </c>
      <c r="C274" s="5" t="n">
        <v>1</v>
      </c>
      <c r="D274" s="5" t="n">
        <v>10</v>
      </c>
      <c r="E274" s="13" t="n">
        <v>2596.4</v>
      </c>
      <c r="F274" s="13" t="n">
        <v>2596.4</v>
      </c>
      <c r="G274" s="13" t="n">
        <v>2596.4</v>
      </c>
      <c r="H274" t="inlineStr"/>
      <c r="I274" t="inlineStr">
        <is>
          <t>Придбання комп'ютерного обладнання (1)</t>
        </is>
      </c>
    </row>
    <row r="275">
      <c r="A275" t="inlineStr">
        <is>
          <t>Зовнішній</t>
        </is>
      </c>
      <c r="B275" s="5" t="n">
        <v>1</v>
      </c>
      <c r="C275" s="5" t="n">
        <v>1</v>
      </c>
      <c r="D275" s="5" t="n">
        <v>1</v>
      </c>
      <c r="E275" s="13" t="n">
        <v>4500</v>
      </c>
      <c r="F275" s="13" t="n">
        <v>4500</v>
      </c>
      <c r="G275" s="13" t="n">
        <v>4500</v>
      </c>
      <c r="H275" t="inlineStr">
        <is>
          <t>Seagate (1)</t>
        </is>
      </c>
      <c r="I275" t="inlineStr">
        <is>
          <t>Зовнішній (1)</t>
        </is>
      </c>
    </row>
    <row r="276">
      <c r="A276" t="inlineStr">
        <is>
          <t>Засіб для чищення</t>
        </is>
      </c>
      <c r="B276" s="5" t="n">
        <v>1</v>
      </c>
      <c r="C276" s="5" t="n">
        <v>1</v>
      </c>
      <c r="D276" s="5" t="n">
        <v>5</v>
      </c>
      <c r="E276" s="13" t="n">
        <v>250</v>
      </c>
      <c r="F276" s="13" t="n">
        <v>250</v>
      </c>
      <c r="G276" s="13" t="n">
        <v>250</v>
      </c>
      <c r="H276" t="inlineStr"/>
      <c r="I276" t="inlineStr">
        <is>
          <t>Спрей для очищення (1)</t>
        </is>
      </c>
    </row>
    <row r="277">
      <c r="A277" t="inlineStr">
        <is>
          <t>Usb-hub 4-port</t>
        </is>
      </c>
      <c r="B277" s="5" t="n">
        <v>1</v>
      </c>
      <c r="C277" s="5" t="n">
        <v>1</v>
      </c>
      <c r="D277" s="5" t="n">
        <v>1</v>
      </c>
      <c r="E277" s="13" t="n">
        <v>3924</v>
      </c>
      <c r="F277" s="13" t="n">
        <v>3924</v>
      </c>
      <c r="G277" s="13" t="n">
        <v>3924</v>
      </c>
      <c r="H277" t="inlineStr"/>
      <c r="I277" t="inlineStr">
        <is>
          <t>Usb-hub 4-port (1)</t>
        </is>
      </c>
    </row>
    <row r="278">
      <c r="A278" t="inlineStr">
        <is>
          <t>2991402862</t>
        </is>
      </c>
      <c r="B278" s="5" t="n">
        <v>1</v>
      </c>
      <c r="C278" s="5" t="n">
        <v>1</v>
      </c>
      <c r="D278" s="5" t="n">
        <v>5</v>
      </c>
      <c r="E278" s="13" t="n">
        <v>1758</v>
      </c>
      <c r="F278" s="13" t="n">
        <v>1758</v>
      </c>
      <c r="G278" s="13" t="n">
        <v>1758</v>
      </c>
      <c r="H278" t="inlineStr"/>
      <c r="I278" t="inlineStr">
        <is>
          <t>2991402862 (1)</t>
        </is>
      </c>
    </row>
    <row r="279">
      <c r="A279" t="inlineStr">
        <is>
          <t>Засоб</t>
        </is>
      </c>
      <c r="B279" s="5" t="n">
        <v>1</v>
      </c>
      <c r="C279" s="5" t="n">
        <v>1</v>
      </c>
      <c r="D279" s="5" t="n">
        <v>5</v>
      </c>
      <c r="E279" s="13" t="n">
        <v>1584</v>
      </c>
      <c r="F279" s="13" t="n">
        <v>1584</v>
      </c>
      <c r="G279" s="13" t="n">
        <v>1584</v>
      </c>
      <c r="H279" t="inlineStr"/>
      <c r="I279" t="inlineStr">
        <is>
          <t>Засоби криптографічного захисту (1)</t>
        </is>
      </c>
    </row>
    <row r="280">
      <c r="A280" t="inlineStr">
        <is>
          <t>Презентер</t>
        </is>
      </c>
      <c r="B280" s="5" t="n">
        <v>1</v>
      </c>
      <c r="C280" s="5" t="n">
        <v>1</v>
      </c>
      <c r="D280" s="5" t="n">
        <v>3</v>
      </c>
      <c r="E280" s="13" t="n">
        <v>6045.67</v>
      </c>
      <c r="F280" s="13" t="n">
        <v>6045.67</v>
      </c>
      <c r="G280" s="13" t="n">
        <v>6045.67</v>
      </c>
      <c r="H280" t="inlineStr"/>
      <c r="I280" t="inlineStr">
        <is>
          <t>Презентер бездротовий (1)</t>
        </is>
      </c>
    </row>
    <row r="281">
      <c r="A281" t="inlineStr">
        <is>
          <t>Зрощувач</t>
        </is>
      </c>
      <c r="B281" s="5" t="n">
        <v>1</v>
      </c>
      <c r="C281" s="5" t="n">
        <v>1</v>
      </c>
      <c r="D281" s="5" t="n">
        <v>3</v>
      </c>
      <c r="E281" s="13" t="n">
        <v>6045.67</v>
      </c>
      <c r="F281" s="13" t="n">
        <v>6045.67</v>
      </c>
      <c r="G281" s="13" t="n">
        <v>6045.67</v>
      </c>
      <c r="H281" t="inlineStr"/>
      <c r="I281" t="inlineStr">
        <is>
          <t>Зрощувач (1)</t>
        </is>
      </c>
    </row>
    <row r="282">
      <c r="A282" t="inlineStr">
        <is>
          <t>Комп’ютерне обладнання</t>
        </is>
      </c>
      <c r="B282" s="5" t="n">
        <v>1</v>
      </c>
      <c r="C282" s="5" t="n">
        <v>1</v>
      </c>
      <c r="D282" s="5" t="n">
        <v>1</v>
      </c>
      <c r="E282" s="13" t="n">
        <v>6200</v>
      </c>
      <c r="F282" s="13" t="n">
        <v>6200</v>
      </c>
      <c r="G282" s="13" t="n">
        <v>6200</v>
      </c>
      <c r="H282" t="inlineStr"/>
      <c r="I282" t="inlineStr">
        <is>
          <t>Комп’ютерне обладнання (1)</t>
        </is>
      </c>
    </row>
    <row r="283">
      <c r="A283" t="inlineStr">
        <is>
          <t>Usb</t>
        </is>
      </c>
      <c r="B283" s="5" t="n">
        <v>1</v>
      </c>
      <c r="C283" s="5" t="n">
        <v>1</v>
      </c>
      <c r="D283" s="5" t="n">
        <v>1</v>
      </c>
      <c r="E283" s="13" t="n">
        <v>1380</v>
      </c>
      <c r="F283" s="13" t="n">
        <v>1380</v>
      </c>
      <c r="G283" s="13" t="n">
        <v>1380</v>
      </c>
      <c r="H283" t="inlineStr"/>
      <c r="I283" t="inlineStr">
        <is>
          <t>Usb (1)</t>
        </is>
      </c>
    </row>
    <row r="284">
      <c r="A284" t="inlineStr">
        <is>
          <t>Комп'ютерне обладнання різне</t>
        </is>
      </c>
      <c r="B284" s="5" t="n">
        <v>1</v>
      </c>
      <c r="C284" s="5" t="n">
        <v>1</v>
      </c>
      <c r="D284" s="5" t="n">
        <v>10</v>
      </c>
      <c r="E284" s="13" t="n">
        <v>274.6</v>
      </c>
      <c r="F284" s="13" t="n">
        <v>274.6</v>
      </c>
      <c r="G284" s="13" t="n">
        <v>274.6</v>
      </c>
      <c r="H284" t="inlineStr"/>
      <c r="I284" t="inlineStr">
        <is>
          <t>Комп'ютерне обладнання різне (1)</t>
        </is>
      </c>
    </row>
    <row r="285">
      <c r="A285" t="inlineStr">
        <is>
          <t>Специфікаці</t>
        </is>
      </c>
      <c r="B285" s="5" t="n">
        <v>1</v>
      </c>
      <c r="C285" s="5" t="n">
        <v>1</v>
      </c>
      <c r="D285" s="5" t="n">
        <v>1</v>
      </c>
      <c r="E285" s="13" t="n">
        <v>35940</v>
      </c>
      <c r="F285" s="13" t="n">
        <v>35940</v>
      </c>
      <c r="G285" s="13" t="n">
        <v>35940</v>
      </c>
      <c r="H285" t="inlineStr"/>
      <c r="I285" t="inlineStr">
        <is>
          <t>Придбання згідно специфікації (1)</t>
        </is>
      </c>
    </row>
    <row r="286">
      <c r="A286" t="inlineStr">
        <is>
          <t>Станці</t>
        </is>
      </c>
      <c r="B286" s="5" t="n">
        <v>1</v>
      </c>
      <c r="C286" s="5" t="n">
        <v>1</v>
      </c>
      <c r="D286" s="5" t="n">
        <v>1</v>
      </c>
      <c r="E286" s="13" t="n">
        <v>179980</v>
      </c>
      <c r="F286" s="13" t="n">
        <v>179980</v>
      </c>
      <c r="G286" s="13" t="n">
        <v>179980</v>
      </c>
      <c r="H286" t="inlineStr"/>
      <c r="I286" t="inlineStr">
        <is>
          <t>Зарядна станція (1)</t>
        </is>
      </c>
    </row>
    <row r="287">
      <c r="A287" t="inlineStr">
        <is>
          <t>Artline home h47 (h47v17)</t>
        </is>
      </c>
      <c r="B287" s="5" t="n">
        <v>1</v>
      </c>
      <c r="C287" s="5" t="n">
        <v>1</v>
      </c>
      <c r="D287" s="5" t="n">
        <v>5</v>
      </c>
      <c r="E287" s="13" t="n">
        <v>19200</v>
      </c>
      <c r="F287" s="13" t="n">
        <v>19200</v>
      </c>
      <c r="G287" s="13" t="n">
        <v>19200</v>
      </c>
      <c r="H287" t="inlineStr">
        <is>
          <t>Artline (1)</t>
        </is>
      </c>
      <c r="I287" t="inlineStr">
        <is>
          <t>Artline home h47 (h47v17) (1)</t>
        </is>
      </c>
    </row>
    <row r="288">
      <c r="A288" t="inlineStr">
        <is>
          <t>Kingston micro sdxc 256gb</t>
        </is>
      </c>
      <c r="B288" s="5" t="n">
        <v>1</v>
      </c>
      <c r="C288" s="5" t="n">
        <v>1</v>
      </c>
      <c r="D288" s="5" t="n">
        <v>11</v>
      </c>
      <c r="E288" s="13" t="n">
        <v>1550</v>
      </c>
      <c r="F288" s="13" t="n">
        <v>1550</v>
      </c>
      <c r="G288" s="13" t="n">
        <v>1550</v>
      </c>
      <c r="H288" t="inlineStr">
        <is>
          <t>Kingston (1)</t>
        </is>
      </c>
      <c r="I288" t="inlineStr">
        <is>
          <t>Kingston micro sdxc 256gb (1)</t>
        </is>
      </c>
    </row>
    <row r="289">
      <c r="A289" t="inlineStr">
        <is>
          <t>Ліхрик</t>
        </is>
      </c>
      <c r="B289" s="5" t="n">
        <v>1</v>
      </c>
      <c r="C289" s="5" t="n">
        <v>1</v>
      </c>
      <c r="D289" s="5" t="n">
        <v>1</v>
      </c>
      <c r="E289" s="13" t="n">
        <v>6650</v>
      </c>
      <c r="F289" s="13" t="n">
        <v>6650</v>
      </c>
      <c r="G289" s="13" t="n">
        <v>6650</v>
      </c>
      <c r="H289" t="inlineStr"/>
      <c r="I289" t="inlineStr">
        <is>
          <t>Led ліхрик quatum techno usb 10w (qm-fl1 (1)</t>
        </is>
      </c>
    </row>
    <row r="290">
      <c r="A290" t="inlineStr">
        <is>
          <t>Концентрат</t>
        </is>
      </c>
      <c r="B290" s="5" t="n">
        <v>1</v>
      </c>
      <c r="C290" s="5" t="n">
        <v>1</v>
      </c>
      <c r="D290" s="5" t="n">
        <v>1</v>
      </c>
      <c r="E290" s="13" t="n">
        <v>1499</v>
      </c>
      <c r="F290" s="13" t="n">
        <v>1499</v>
      </c>
      <c r="G290" s="13" t="n">
        <v>1499</v>
      </c>
      <c r="H290" t="inlineStr"/>
      <c r="I290" t="inlineStr">
        <is>
          <t>Концентрат (1)</t>
        </is>
      </c>
    </row>
    <row r="291">
      <c r="A291" t="inlineStr">
        <is>
          <t>Oukitel rt7 titan 8/256gb black</t>
        </is>
      </c>
      <c r="B291" s="5" t="n">
        <v>1</v>
      </c>
      <c r="C291" s="5" t="n">
        <v>1</v>
      </c>
      <c r="D291" s="5" t="n">
        <v>2</v>
      </c>
      <c r="E291" s="13" t="n">
        <v>13797</v>
      </c>
      <c r="F291" s="13" t="n">
        <v>13797</v>
      </c>
      <c r="G291" s="13" t="n">
        <v>13797</v>
      </c>
      <c r="H291" t="inlineStr"/>
      <c r="I291" t="inlineStr">
        <is>
          <t>Oukitel rt7 titan 8/256gb black (1)</t>
        </is>
      </c>
    </row>
    <row r="292">
      <c r="A292" t="inlineStr">
        <is>
          <t>Машини для обробки</t>
        </is>
      </c>
      <c r="B292" s="5" t="n">
        <v>1</v>
      </c>
      <c r="C292" s="5" t="n">
        <v>1</v>
      </c>
      <c r="D292" s="5" t="n">
        <v>1</v>
      </c>
      <c r="E292" s="13" t="n">
        <v>17235</v>
      </c>
      <c r="F292" s="13" t="n">
        <v>17235</v>
      </c>
      <c r="G292" s="13" t="n">
        <v>17235</v>
      </c>
      <c r="H292" t="inlineStr"/>
      <c r="I292" t="inlineStr">
        <is>
          <t>Машини для обробки (1)</t>
        </is>
      </c>
    </row>
    <row r="293">
      <c r="A293" t="inlineStr">
        <is>
          <t>Накупичувач</t>
        </is>
      </c>
      <c r="B293" s="5" t="n">
        <v>1</v>
      </c>
      <c r="C293" s="5" t="n">
        <v>1</v>
      </c>
      <c r="D293" s="5" t="n">
        <v>4</v>
      </c>
      <c r="E293" s="13" t="n">
        <v>1487.5</v>
      </c>
      <c r="F293" s="13" t="n">
        <v>1487.5</v>
      </c>
      <c r="G293" s="13" t="n">
        <v>1487.5</v>
      </c>
      <c r="H293" t="inlineStr"/>
      <c r="I293" t="inlineStr">
        <is>
          <t>Накупичувач патріот (1)</t>
        </is>
      </c>
    </row>
    <row r="294">
      <c r="A294" t="inlineStr">
        <is>
          <t>Ме</t>
        </is>
      </c>
      <c r="B294" s="5" t="n">
        <v>1</v>
      </c>
      <c r="C294" s="5" t="n">
        <v>1</v>
      </c>
      <c r="D294" s="5" t="n">
        <v>4</v>
      </c>
      <c r="E294" s="13" t="n">
        <v>859.66</v>
      </c>
      <c r="F294" s="13" t="n">
        <v>859.66</v>
      </c>
      <c r="G294" s="13" t="n">
        <v>859.66</v>
      </c>
      <c r="H294" t="inlineStr"/>
      <c r="I294" t="inlineStr">
        <is>
          <t>Xtrike me mk-503 комплект (1)</t>
        </is>
      </c>
    </row>
    <row r="295">
      <c r="A295" t="inlineStr">
        <is>
          <t>Електронний</t>
        </is>
      </c>
      <c r="B295" s="5" t="n">
        <v>1</v>
      </c>
      <c r="C295" s="5" t="n">
        <v>1</v>
      </c>
      <c r="D295" s="5" t="n">
        <v>2</v>
      </c>
      <c r="E295" s="13" t="n">
        <v>1300</v>
      </c>
      <c r="F295" s="13" t="n">
        <v>1300</v>
      </c>
      <c r="G295" s="13" t="n">
        <v>1300</v>
      </c>
      <c r="H295" t="inlineStr"/>
      <c r="I295" t="inlineStr">
        <is>
          <t>Електронний (1)</t>
        </is>
      </c>
    </row>
    <row r="296">
      <c r="A296" t="inlineStr">
        <is>
          <t>Сумк</t>
        </is>
      </c>
      <c r="B296" s="5" t="n">
        <v>1</v>
      </c>
      <c r="C296" s="5" t="n">
        <v>1</v>
      </c>
      <c r="D296" s="5" t="n">
        <v>1</v>
      </c>
      <c r="E296" s="13" t="n">
        <v>12630</v>
      </c>
      <c r="F296" s="13" t="n">
        <v>12630</v>
      </c>
      <c r="G296" s="13" t="n">
        <v>12630</v>
      </c>
      <c r="H296" t="inlineStr"/>
      <c r="I296" t="inlineStr">
        <is>
          <t>Сумка (1)</t>
        </is>
      </c>
    </row>
    <row r="297">
      <c r="A297" t="inlineStr">
        <is>
          <t>Artline home h47</t>
        </is>
      </c>
      <c r="B297" s="5" t="n">
        <v>1</v>
      </c>
      <c r="C297" s="5" t="n">
        <v>1</v>
      </c>
      <c r="D297" s="5" t="n">
        <v>1</v>
      </c>
      <c r="E297" s="13" t="n">
        <v>19092</v>
      </c>
      <c r="F297" s="13" t="n">
        <v>19092</v>
      </c>
      <c r="G297" s="13" t="n">
        <v>19092</v>
      </c>
      <c r="H297" t="inlineStr">
        <is>
          <t>Artline (1)</t>
        </is>
      </c>
      <c r="I297" t="inlineStr">
        <is>
          <t>Artline home h47 (1)</t>
        </is>
      </c>
    </row>
    <row r="298">
      <c r="A298" t="inlineStr">
        <is>
          <t>Artline gaming x43</t>
        </is>
      </c>
      <c r="B298" s="5" t="n">
        <v>1</v>
      </c>
      <c r="C298" s="5" t="n">
        <v>1</v>
      </c>
      <c r="D298" s="5" t="n">
        <v>4</v>
      </c>
      <c r="E298" s="13" t="n">
        <v>33660</v>
      </c>
      <c r="F298" s="13" t="n">
        <v>33660</v>
      </c>
      <c r="G298" s="13" t="n">
        <v>33660</v>
      </c>
      <c r="H298" t="inlineStr">
        <is>
          <t>Artline (1)</t>
        </is>
      </c>
      <c r="I298" t="inlineStr">
        <is>
          <t>Artline gaming x43 (1)</t>
        </is>
      </c>
    </row>
    <row r="299">
      <c r="A299" t="inlineStr">
        <is>
          <t>Консентратор</t>
        </is>
      </c>
      <c r="B299" s="5" t="n">
        <v>1</v>
      </c>
      <c r="C299" s="5" t="n">
        <v>1</v>
      </c>
      <c r="D299" s="5" t="n">
        <v>1</v>
      </c>
      <c r="E299" s="13" t="n">
        <v>300</v>
      </c>
      <c r="F299" s="13" t="n">
        <v>300</v>
      </c>
      <c r="G299" s="13" t="n">
        <v>300</v>
      </c>
      <c r="H299" t="inlineStr"/>
      <c r="I299" t="inlineStr">
        <is>
          <t>Консентратор (1)</t>
        </is>
      </c>
    </row>
    <row r="300">
      <c r="A300" t="inlineStr">
        <is>
          <t>Конверт</t>
        </is>
      </c>
      <c r="B300" s="5" t="n">
        <v>1</v>
      </c>
      <c r="C300" s="5" t="n">
        <v>1</v>
      </c>
      <c r="D300" s="5" t="n">
        <v>1000</v>
      </c>
      <c r="E300" s="13" t="n">
        <v>11.8</v>
      </c>
      <c r="F300" s="13" t="n">
        <v>11.8</v>
      </c>
      <c r="G300" s="13" t="n">
        <v>11.8</v>
      </c>
      <c r="H300" t="inlineStr"/>
      <c r="I300" t="inlineStr">
        <is>
          <t>Конверт для (1)</t>
        </is>
      </c>
    </row>
    <row r="301">
      <c r="A301" t="inlineStr">
        <is>
          <t>Інші</t>
        </is>
      </c>
      <c r="B301" s="5" t="n">
        <v>1</v>
      </c>
      <c r="C301" s="5" t="n">
        <v>1</v>
      </c>
      <c r="D301" s="5" t="n">
        <v>50</v>
      </c>
      <c r="E301" s="13" t="n">
        <v>1600</v>
      </c>
      <c r="F301" s="13" t="n">
        <v>1600</v>
      </c>
      <c r="G301" s="13" t="n">
        <v>1600</v>
      </c>
      <c r="H301" t="inlineStr"/>
      <c r="I301" t="inlineStr">
        <is>
          <t>Комп'ютерне обладнання та (1)</t>
        </is>
      </c>
    </row>
    <row r="302">
      <c r="A302" t="inlineStr">
        <is>
          <t>Памм'ять</t>
        </is>
      </c>
      <c r="B302" s="5" t="n">
        <v>1</v>
      </c>
      <c r="C302" s="5" t="n">
        <v>1</v>
      </c>
      <c r="D302" s="5" t="n">
        <v>2</v>
      </c>
      <c r="E302" s="13" t="n">
        <v>5900</v>
      </c>
      <c r="F302" s="13" t="n">
        <v>5900</v>
      </c>
      <c r="G302" s="13" t="n">
        <v>5900</v>
      </c>
      <c r="H302" t="inlineStr"/>
      <c r="I302" t="inlineStr">
        <is>
          <t>3.памм'ять 8 gb (1)</t>
        </is>
      </c>
    </row>
    <row r="303">
      <c r="A303" t="inlineStr">
        <is>
          <t>Web-камера logitech c920s pro</t>
        </is>
      </c>
      <c r="B303" s="5" t="n">
        <v>1</v>
      </c>
      <c r="C303" s="5" t="n">
        <v>1</v>
      </c>
      <c r="D303" s="5" t="n">
        <v>1</v>
      </c>
      <c r="E303" s="13" t="n">
        <v>6380.56</v>
      </c>
      <c r="F303" s="13" t="n">
        <v>6380.56</v>
      </c>
      <c r="G303" s="13" t="n">
        <v>6380.56</v>
      </c>
      <c r="H303" t="inlineStr">
        <is>
          <t>Logitech (1)</t>
        </is>
      </c>
      <c r="I303" t="inlineStr">
        <is>
          <t>Web-камера logitech c920s pro (1)</t>
        </is>
      </c>
    </row>
    <row r="304">
      <c r="A304" t="inlineStr">
        <is>
          <t>Micro-sdhc memory card 32gb sandisk (s s</t>
        </is>
      </c>
      <c r="B304" s="5" t="n">
        <v>1</v>
      </c>
      <c r="C304" s="5" t="n">
        <v>1</v>
      </c>
      <c r="D304" s="5" t="n">
        <v>100</v>
      </c>
      <c r="E304" s="13" t="n">
        <v>597</v>
      </c>
      <c r="F304" s="13" t="n">
        <v>597</v>
      </c>
      <c r="G304" s="13" t="n">
        <v>597</v>
      </c>
      <c r="H304" t="inlineStr">
        <is>
          <t>Sandisk (1)</t>
        </is>
      </c>
      <c r="I304" t="inlineStr">
        <is>
          <t>Micro-sdhc memory card 32gb sandisk (s s (1)</t>
        </is>
      </c>
    </row>
    <row r="305">
      <c r="A305" t="inlineStr">
        <is>
          <t>Мзп</t>
        </is>
      </c>
      <c r="B305" s="5" t="n">
        <v>1</v>
      </c>
      <c r="C305" s="5" t="n">
        <v>1</v>
      </c>
      <c r="D305" s="5" t="n">
        <v>1</v>
      </c>
      <c r="E305" s="13" t="n">
        <v>19000</v>
      </c>
      <c r="F305" s="13" t="n">
        <v>19000</v>
      </c>
      <c r="G305" s="13" t="n">
        <v>19000</v>
      </c>
      <c r="H305" t="inlineStr"/>
      <c r="I305" t="inlineStr">
        <is>
          <t>Мзп рр (1)</t>
        </is>
      </c>
    </row>
    <row r="306">
      <c r="A306" t="inlineStr">
        <is>
          <t>Флеш-</t>
        </is>
      </c>
      <c r="B306" s="5" t="n">
        <v>1</v>
      </c>
      <c r="C306" s="5" t="n">
        <v>1</v>
      </c>
      <c r="D306" s="5" t="n">
        <v>7</v>
      </c>
      <c r="E306" s="13" t="n">
        <v>275</v>
      </c>
      <c r="F306" s="13" t="n">
        <v>275</v>
      </c>
      <c r="G306" s="13" t="n">
        <v>275</v>
      </c>
      <c r="H306" t="inlineStr"/>
      <c r="I306" t="inlineStr">
        <is>
          <t>Флеш- карта (1)</t>
        </is>
      </c>
    </row>
    <row r="307">
      <c r="A307" t="inlineStr">
        <is>
          <t>Samsung sl-2070 (mlt-d 101s)</t>
        </is>
      </c>
      <c r="B307" s="5" t="n">
        <v>1</v>
      </c>
      <c r="C307" s="5" t="n">
        <v>1</v>
      </c>
      <c r="D307" s="5" t="n">
        <v>28</v>
      </c>
      <c r="E307" s="13" t="n">
        <v>800</v>
      </c>
      <c r="F307" s="13" t="n">
        <v>800</v>
      </c>
      <c r="G307" s="13" t="n">
        <v>800</v>
      </c>
      <c r="H307" t="inlineStr">
        <is>
          <t>Samsung (1)</t>
        </is>
      </c>
      <c r="I307" t="inlineStr">
        <is>
          <t>Samsung sl-2070 (mlt-d 101s) (1)</t>
        </is>
      </c>
    </row>
    <row r="308">
      <c r="A308" t="inlineStr">
        <is>
          <t>Кол</t>
        </is>
      </c>
      <c r="B308" s="5" t="n">
        <v>1</v>
      </c>
      <c r="C308" s="5" t="n">
        <v>1</v>
      </c>
      <c r="D308" s="5" t="n">
        <v>2</v>
      </c>
      <c r="E308" s="13" t="n">
        <v>26400</v>
      </c>
      <c r="F308" s="13" t="n">
        <v>26400</v>
      </c>
      <c r="G308" s="13" t="n">
        <v>26400</v>
      </c>
      <c r="H308" t="inlineStr">
        <is>
          <t>HP (1)</t>
        </is>
      </c>
      <c r="I308" t="inlineStr">
        <is>
          <t>Багатофунціональний пристрій (1)</t>
        </is>
      </c>
    </row>
    <row r="309">
      <c r="A309" t="inlineStr">
        <is>
          <t>Багатонаціональний</t>
        </is>
      </c>
      <c r="B309" s="5" t="n">
        <v>1</v>
      </c>
      <c r="C309" s="5" t="n">
        <v>1</v>
      </c>
      <c r="D309" s="5" t="n">
        <v>1</v>
      </c>
      <c r="E309" s="13" t="n">
        <v>21700</v>
      </c>
      <c r="F309" s="13" t="n">
        <v>21700</v>
      </c>
      <c r="G309" s="13" t="n">
        <v>21700</v>
      </c>
      <c r="H309" t="inlineStr">
        <is>
          <t>Canon (1)</t>
        </is>
      </c>
      <c r="I309" t="inlineStr">
        <is>
          <t>Багатонаціональний пристрій (1)</t>
        </is>
      </c>
    </row>
    <row r="310">
      <c r="A310" t="inlineStr">
        <is>
          <t>Ламп</t>
        </is>
      </c>
      <c r="B310" s="5" t="n">
        <v>1</v>
      </c>
      <c r="C310" s="5" t="n">
        <v>1</v>
      </c>
      <c r="D310" s="5" t="n">
        <v>1</v>
      </c>
      <c r="E310" s="13" t="n">
        <v>1090</v>
      </c>
      <c r="F310" s="13" t="n">
        <v>1090</v>
      </c>
      <c r="G310" s="13" t="n">
        <v>1090</v>
      </c>
      <c r="H310" t="inlineStr"/>
      <c r="I310" t="inlineStr">
        <is>
          <t>Led- лампа схв-300 (тринога розсувна 1,8 (1)</t>
        </is>
      </c>
    </row>
    <row r="311">
      <c r="A311" t="inlineStr">
        <is>
          <t>Криптогаманець</t>
        </is>
      </c>
      <c r="B311" s="5" t="n">
        <v>1</v>
      </c>
      <c r="C311" s="5" t="n">
        <v>1</v>
      </c>
      <c r="D311" s="5" t="n">
        <v>3</v>
      </c>
      <c r="E311" s="13" t="n">
        <v>165454.67</v>
      </c>
      <c r="F311" s="13" t="n">
        <v>165454.67</v>
      </c>
      <c r="G311" s="13" t="n">
        <v>165454.67</v>
      </c>
      <c r="H311" t="inlineStr"/>
      <c r="I311" t="inlineStr">
        <is>
          <t>Криптогаманець (1)</t>
        </is>
      </c>
    </row>
    <row r="312">
      <c r="A312" t="inlineStr">
        <is>
          <t>Мережев</t>
        </is>
      </c>
      <c r="B312" s="5" t="n">
        <v>1</v>
      </c>
      <c r="C312" s="5" t="n">
        <v>1</v>
      </c>
      <c r="D312" s="5" t="n">
        <v>1</v>
      </c>
      <c r="E312" s="13" t="n">
        <v>26059.99</v>
      </c>
      <c r="F312" s="13" t="n">
        <v>26059.99</v>
      </c>
      <c r="G312" s="13" t="n">
        <v>26059.99</v>
      </c>
      <c r="H312" t="inlineStr"/>
      <c r="I312" t="inlineStr">
        <is>
          <t>Мережеве сховище (1)</t>
        </is>
      </c>
    </row>
    <row r="313">
      <c r="A313" t="inlineStr">
        <is>
          <t>Usb 16gb goodram ume3 usb 3.0 black</t>
        </is>
      </c>
      <c r="B313" s="5" t="n">
        <v>1</v>
      </c>
      <c r="C313" s="5" t="n">
        <v>1</v>
      </c>
      <c r="D313" s="5" t="n">
        <v>1</v>
      </c>
      <c r="E313" s="13" t="n">
        <v>4820</v>
      </c>
      <c r="F313" s="13" t="n">
        <v>4820</v>
      </c>
      <c r="G313" s="13" t="n">
        <v>4820</v>
      </c>
      <c r="H313" t="inlineStr">
        <is>
          <t>GOODRAM (1)</t>
        </is>
      </c>
      <c r="I313" t="inlineStr">
        <is>
          <t>Usb 16gb goodram ume3 usb 3.0 black (1)</t>
        </is>
      </c>
    </row>
    <row r="314">
      <c r="A314" t="inlineStr">
        <is>
          <t>Usb sandisk ultra flair 32gb sliver (sdc</t>
        </is>
      </c>
      <c r="B314" s="5" t="n">
        <v>1</v>
      </c>
      <c r="C314" s="5" t="n">
        <v>1</v>
      </c>
      <c r="D314" s="5" t="n">
        <v>6</v>
      </c>
      <c r="E314" s="13" t="n">
        <v>803.33</v>
      </c>
      <c r="F314" s="13" t="n">
        <v>803.33</v>
      </c>
      <c r="G314" s="13" t="n">
        <v>803.33</v>
      </c>
      <c r="H314" t="inlineStr">
        <is>
          <t>Sandisk (1)</t>
        </is>
      </c>
      <c r="I314" t="inlineStr">
        <is>
          <t>Usb sandisk ultra flair 32gb sliver (sdc (1)</t>
        </is>
      </c>
    </row>
    <row r="315">
      <c r="A315" t="inlineStr">
        <is>
          <t>Комп'ютерне</t>
        </is>
      </c>
      <c r="B315" s="5" t="n">
        <v>1</v>
      </c>
      <c r="C315" s="5" t="n">
        <v>1</v>
      </c>
      <c r="D315" s="5" t="n">
        <v>6</v>
      </c>
      <c r="E315" s="13" t="n">
        <v>2608.04</v>
      </c>
      <c r="F315" s="13" t="n">
        <v>2608.04</v>
      </c>
      <c r="G315" s="13" t="n">
        <v>2608.04</v>
      </c>
      <c r="H315" t="inlineStr"/>
      <c r="I315" t="inlineStr">
        <is>
          <t>Комп'ютерне (1)</t>
        </is>
      </c>
    </row>
    <row r="316">
      <c r="A316" t="inlineStr">
        <is>
          <t>Системнй</t>
        </is>
      </c>
      <c r="B316" s="5" t="n">
        <v>1</v>
      </c>
      <c r="C316" s="5" t="n">
        <v>1</v>
      </c>
      <c r="D316" s="5" t="n">
        <v>1</v>
      </c>
      <c r="E316" s="13" t="n">
        <v>27000</v>
      </c>
      <c r="F316" s="13" t="n">
        <v>27000</v>
      </c>
      <c r="G316" s="13" t="n">
        <v>27000</v>
      </c>
      <c r="H316" t="inlineStr">
        <is>
          <t>Intel (1)</t>
        </is>
      </c>
      <c r="I316" t="inlineStr">
        <is>
          <t>Системнй блок (1)</t>
        </is>
      </c>
    </row>
    <row r="317">
      <c r="A317" t="inlineStr">
        <is>
          <t>Gamemax et-215-np-2u3tyc</t>
        </is>
      </c>
      <c r="B317" s="5" t="n">
        <v>1</v>
      </c>
      <c r="C317" s="5" t="n">
        <v>1</v>
      </c>
      <c r="D317" s="5" t="n">
        <v>1</v>
      </c>
      <c r="E317" s="13" t="n">
        <v>160000</v>
      </c>
      <c r="F317" s="13" t="n">
        <v>160000</v>
      </c>
      <c r="G317" s="13" t="n">
        <v>160000</v>
      </c>
      <c r="H317" t="inlineStr">
        <is>
          <t>GAMEMAX (1)</t>
        </is>
      </c>
      <c r="I317" t="inlineStr">
        <is>
          <t>Gamemax et-215-np-2u3tyc (1)</t>
        </is>
      </c>
    </row>
    <row r="318">
      <c r="A318" t="inlineStr">
        <is>
          <t>Розетк</t>
        </is>
      </c>
      <c r="B318" s="5" t="n">
        <v>1</v>
      </c>
      <c r="C318" s="5" t="n">
        <v>1</v>
      </c>
      <c r="D318" s="5" t="n">
        <v>8</v>
      </c>
      <c r="E318" s="13" t="n">
        <v>1717</v>
      </c>
      <c r="F318" s="13" t="n">
        <v>1717</v>
      </c>
      <c r="G318" s="13" t="n">
        <v>1717</v>
      </c>
      <c r="H318" t="inlineStr"/>
      <c r="I318" t="inlineStr">
        <is>
          <t>Розетка мережева (1)</t>
        </is>
      </c>
    </row>
    <row r="319">
      <c r="A319" t="inlineStr">
        <is>
          <t>Блок</t>
        </is>
      </c>
      <c r="B319" s="5" t="n">
        <v>1</v>
      </c>
      <c r="C319" s="5" t="n">
        <v>1</v>
      </c>
      <c r="D319" s="5" t="n">
        <v>1</v>
      </c>
      <c r="E319" s="13" t="n">
        <v>13736</v>
      </c>
      <c r="F319" s="13" t="n">
        <v>13736</v>
      </c>
      <c r="G319" s="13" t="n">
        <v>13736</v>
      </c>
      <c r="H319" t="inlineStr"/>
      <c r="I319" t="inlineStr">
        <is>
          <t>Силовий блок (1)</t>
        </is>
      </c>
    </row>
    <row r="320">
      <c r="A320" t="inlineStr">
        <is>
          <t>Шафа</t>
        </is>
      </c>
      <c r="B320" s="5" t="n">
        <v>1</v>
      </c>
      <c r="C320" s="5" t="n">
        <v>1</v>
      </c>
      <c r="D320" s="5" t="n">
        <v>1</v>
      </c>
      <c r="E320" s="13" t="n">
        <v>13736</v>
      </c>
      <c r="F320" s="13" t="n">
        <v>13736</v>
      </c>
      <c r="G320" s="13" t="n">
        <v>13736</v>
      </c>
      <c r="H320" t="inlineStr"/>
      <c r="I320" t="inlineStr">
        <is>
          <t>Шафа настінна (1)</t>
        </is>
      </c>
    </row>
    <row r="321">
      <c r="A321" t="inlineStr">
        <is>
          <t>Кріпленням</t>
        </is>
      </c>
      <c r="B321" s="5" t="n">
        <v>1</v>
      </c>
      <c r="C321" s="5" t="n">
        <v>1</v>
      </c>
      <c r="D321" s="5" t="n">
        <v>1</v>
      </c>
      <c r="E321" s="13" t="n">
        <v>30000</v>
      </c>
      <c r="F321" s="13" t="n">
        <v>30000</v>
      </c>
      <c r="G321" s="13" t="n">
        <v>30000</v>
      </c>
      <c r="H321" t="inlineStr">
        <is>
          <t>Microsoft (1), Vector (1)</t>
        </is>
      </c>
      <c r="I321" t="inlineStr">
        <is>
          <t>Сенсорний (1)</t>
        </is>
      </c>
    </row>
    <row r="322">
      <c r="A322" t="inlineStr">
        <is>
          <t>Гучномовець</t>
        </is>
      </c>
      <c r="B322" s="5" t="n">
        <v>1</v>
      </c>
      <c r="C322" s="5" t="n">
        <v>1</v>
      </c>
      <c r="D322" s="5" t="n">
        <v>1</v>
      </c>
      <c r="E322" s="13" t="n">
        <v>18762</v>
      </c>
      <c r="F322" s="13" t="n">
        <v>18762</v>
      </c>
      <c r="G322" s="13" t="n">
        <v>18762</v>
      </c>
      <c r="H322" t="inlineStr"/>
      <c r="I322" t="inlineStr">
        <is>
          <t>Гучномовець (1)</t>
        </is>
      </c>
    </row>
    <row r="323">
      <c r="A323" t="inlineStr">
        <is>
          <t>Пам</t>
        </is>
      </c>
      <c r="B323" s="5" t="n">
        <v>1</v>
      </c>
      <c r="C323" s="5" t="n">
        <v>1</v>
      </c>
      <c r="D323" s="5" t="n">
        <v>1</v>
      </c>
      <c r="E323" s="13" t="n">
        <v>25060</v>
      </c>
      <c r="F323" s="13" t="n">
        <v>25060</v>
      </c>
      <c r="G323" s="13" t="n">
        <v>25060</v>
      </c>
      <c r="H323" t="inlineStr"/>
      <c r="I323" t="inlineStr">
        <is>
          <t>Пам ять (1)</t>
        </is>
      </c>
    </row>
    <row r="324">
      <c r="A324" t="inlineStr">
        <is>
          <t>Конверторр</t>
        </is>
      </c>
      <c r="B324" s="5" t="n">
        <v>1</v>
      </c>
      <c r="C324" s="5" t="n">
        <v>1</v>
      </c>
      <c r="D324" s="5" t="n">
        <v>1</v>
      </c>
      <c r="E324" s="13" t="n">
        <v>1010</v>
      </c>
      <c r="F324" s="13" t="n">
        <v>1010</v>
      </c>
      <c r="G324" s="13" t="n">
        <v>1010</v>
      </c>
      <c r="H324" t="inlineStr">
        <is>
          <t>Cablexpert (1)</t>
        </is>
      </c>
      <c r="I324" t="inlineStr">
        <is>
          <t>Конверторp cablexpert 3 dvi-d на vga (30 (1)</t>
        </is>
      </c>
    </row>
    <row r="325">
      <c r="A325" t="inlineStr">
        <is>
          <t>Багатафункціональний</t>
        </is>
      </c>
      <c r="B325" s="5" t="n">
        <v>1</v>
      </c>
      <c r="C325" s="5" t="n">
        <v>1</v>
      </c>
      <c r="D325" s="5" t="n">
        <v>1</v>
      </c>
      <c r="E325" s="13" t="n">
        <v>13099</v>
      </c>
      <c r="F325" s="13" t="n">
        <v>13099</v>
      </c>
      <c r="G325" s="13" t="n">
        <v>13099</v>
      </c>
      <c r="H325" t="inlineStr"/>
      <c r="I325" t="inlineStr">
        <is>
          <t>Багатафункціональний пристрій (1)</t>
        </is>
      </c>
    </row>
    <row r="326">
      <c r="A326" t="inlineStr">
        <is>
          <t>Флеш-дрвйв</t>
        </is>
      </c>
      <c r="B326" s="5" t="n">
        <v>1</v>
      </c>
      <c r="C326" s="5" t="n">
        <v>1</v>
      </c>
      <c r="D326" s="5" t="n">
        <v>2</v>
      </c>
      <c r="E326" s="13" t="n">
        <v>39500</v>
      </c>
      <c r="F326" s="13" t="n">
        <v>39500</v>
      </c>
      <c r="G326" s="13" t="n">
        <v>39500</v>
      </c>
      <c r="H326" t="inlineStr"/>
      <c r="I326" t="inlineStr">
        <is>
          <t>Флеш-дрвйв (1)</t>
        </is>
      </c>
    </row>
    <row r="327">
      <c r="A327" t="inlineStr">
        <is>
          <t>Web-камера canyon</t>
        </is>
      </c>
      <c r="B327" s="5" t="n">
        <v>1</v>
      </c>
      <c r="C327" s="5" t="n">
        <v>1</v>
      </c>
      <c r="D327" s="5" t="n">
        <v>3</v>
      </c>
      <c r="E327" s="13" t="n">
        <v>4808.33</v>
      </c>
      <c r="F327" s="13" t="n">
        <v>4808.33</v>
      </c>
      <c r="G327" s="13" t="n">
        <v>4808.33</v>
      </c>
      <c r="H327" t="inlineStr"/>
      <c r="I327" t="inlineStr">
        <is>
          <t>Web-камера canyon (1)</t>
        </is>
      </c>
    </row>
    <row r="328">
      <c r="A328" t="inlineStr">
        <is>
          <t>Лабораторі</t>
        </is>
      </c>
      <c r="B328" s="5" t="n">
        <v>1</v>
      </c>
      <c r="C328" s="5" t="n">
        <v>1</v>
      </c>
      <c r="D328" s="5" t="n">
        <v>1</v>
      </c>
      <c r="E328" s="13" t="n">
        <v>207900</v>
      </c>
      <c r="F328" s="13" t="n">
        <v>207900</v>
      </c>
      <c r="G328" s="13" t="n">
        <v>207900</v>
      </c>
      <c r="H328" t="inlineStr"/>
      <c r="I328" t="inlineStr">
        <is>
          <t>Лабораторія (1)</t>
        </is>
      </c>
    </row>
    <row r="329">
      <c r="A329" t="inlineStr">
        <is>
          <t>Кабінет</t>
        </is>
      </c>
      <c r="B329" s="5" t="n">
        <v>1</v>
      </c>
      <c r="C329" s="5" t="n">
        <v>1</v>
      </c>
      <c r="D329" s="5" t="n">
        <v>1</v>
      </c>
      <c r="E329" s="13" t="n">
        <v>51370</v>
      </c>
      <c r="F329" s="13" t="n">
        <v>51370</v>
      </c>
      <c r="G329" s="13" t="n">
        <v>51370</v>
      </c>
      <c r="H329" t="inlineStr"/>
      <c r="I329" t="inlineStr">
        <is>
          <t>Апаратна частина для (1)</t>
        </is>
      </c>
    </row>
    <row r="330">
      <c r="A330" t="inlineStr">
        <is>
          <t>Usb mouse</t>
        </is>
      </c>
      <c r="B330" s="5" t="n">
        <v>1</v>
      </c>
      <c r="C330" s="5" t="n">
        <v>1</v>
      </c>
      <c r="D330" s="5" t="n">
        <v>1</v>
      </c>
      <c r="E330" s="13" t="n">
        <v>220</v>
      </c>
      <c r="F330" s="13" t="n">
        <v>220</v>
      </c>
      <c r="G330" s="13" t="n">
        <v>220</v>
      </c>
      <c r="H330" t="inlineStr"/>
      <c r="I330" t="inlineStr">
        <is>
          <t>Usb mouse (1)</t>
        </is>
      </c>
    </row>
    <row r="331">
      <c r="A331" t="inlineStr">
        <is>
          <t>Ковпачок</t>
        </is>
      </c>
      <c r="B331" s="5" t="n">
        <v>1</v>
      </c>
      <c r="C331" s="5" t="n">
        <v>1</v>
      </c>
      <c r="D331" s="5" t="n">
        <v>1</v>
      </c>
      <c r="E331" s="13" t="n">
        <v>2994</v>
      </c>
      <c r="F331" s="13" t="n">
        <v>2994</v>
      </c>
      <c r="G331" s="13" t="n">
        <v>2994</v>
      </c>
      <c r="H331" t="inlineStr"/>
      <c r="I331" t="inlineStr">
        <is>
          <t>Ковпачок (1)</t>
        </is>
      </c>
    </row>
    <row r="332">
      <c r="A332" t="inlineStr">
        <is>
          <t>Cd-r</t>
        </is>
      </c>
      <c r="B332" s="5" t="n">
        <v>1</v>
      </c>
      <c r="C332" s="5" t="n">
        <v>1</v>
      </c>
      <c r="D332" s="5" t="n">
        <v>1500</v>
      </c>
      <c r="E332" s="13" t="n">
        <v>8.73</v>
      </c>
      <c r="F332" s="13" t="n">
        <v>8.73</v>
      </c>
      <c r="G332" s="13" t="n">
        <v>8.73</v>
      </c>
      <c r="H332" t="inlineStr"/>
      <c r="I332" t="inlineStr">
        <is>
          <t>Cd-r (1)</t>
        </is>
      </c>
    </row>
    <row r="333">
      <c r="A333" t="inlineStr">
        <is>
          <t>Пристрій</t>
        </is>
      </c>
      <c r="B333" s="5" t="n">
        <v>1</v>
      </c>
      <c r="C333" s="5" t="n">
        <v>1</v>
      </c>
      <c r="D333" s="5" t="n">
        <v>1</v>
      </c>
      <c r="E333" s="13" t="n">
        <v>18800</v>
      </c>
      <c r="F333" s="13" t="n">
        <v>18800</v>
      </c>
      <c r="G333" s="13" t="n">
        <v>18800</v>
      </c>
      <c r="H333" t="inlineStr">
        <is>
          <t>Canon (1)</t>
        </is>
      </c>
      <c r="I333" t="inlineStr">
        <is>
          <t>Пристрій (1)</t>
        </is>
      </c>
    </row>
    <row r="335">
      <c r="A335" s="2" t="inlineStr">
        <is>
          <t>Товари ринку (як у документах)</t>
        </is>
      </c>
    </row>
    <row r="336">
      <c r="A336" s="11" t="inlineStr">
        <is>
          <t>Товар</t>
        </is>
      </c>
      <c r="B336" s="11" t="inlineStr">
        <is>
          <t>Позицій</t>
        </is>
      </c>
      <c r="C336" s="11" t="inlineStr">
        <is>
          <t>Закупівель</t>
        </is>
      </c>
      <c r="D336" s="11" t="inlineStr">
        <is>
          <t>Кількість</t>
        </is>
      </c>
      <c r="E336" s="11" t="inlineStr">
        <is>
          <t>Медіанна ціна, грн</t>
        </is>
      </c>
      <c r="F336" s="11" t="inlineStr">
        <is>
          <t>Мін. ціна, грн</t>
        </is>
      </c>
      <c r="G336" s="11" t="inlineStr">
        <is>
          <t>Макс. ціна, грн</t>
        </is>
      </c>
      <c r="H336" s="11" t="inlineStr">
        <is>
          <t>Головні ТМ</t>
        </is>
      </c>
    </row>
    <row r="337">
      <c r="A337" t="inlineStr">
        <is>
          <t>Ноутбук</t>
        </is>
      </c>
      <c r="B337" s="5" t="n">
        <v>174</v>
      </c>
      <c r="C337" s="5" t="n">
        <v>159</v>
      </c>
      <c r="D337" s="5" t="n">
        <v>503</v>
      </c>
      <c r="E337" s="13" t="n">
        <v>30000</v>
      </c>
      <c r="F337" s="13" t="n">
        <v>9350</v>
      </c>
      <c r="G337" s="13" t="n">
        <v>486617</v>
      </c>
      <c r="H337" t="inlineStr">
        <is>
          <t>Lenovo (43), HP (34), Acer (25)</t>
        </is>
      </c>
    </row>
    <row r="338">
      <c r="A338" t="inlineStr">
        <is>
          <t>Монітор</t>
        </is>
      </c>
      <c r="B338" s="5" t="n">
        <v>112</v>
      </c>
      <c r="C338" s="5" t="n">
        <v>107</v>
      </c>
      <c r="D338" s="5" t="n">
        <v>409</v>
      </c>
      <c r="E338" s="13" t="n">
        <v>6968</v>
      </c>
      <c r="F338" s="13" t="n">
        <v>2749</v>
      </c>
      <c r="G338" s="13" t="n">
        <v>324055</v>
      </c>
      <c r="H338" t="inlineStr">
        <is>
          <t>Philips (13), MSI (12), Samsung (11)</t>
        </is>
      </c>
    </row>
    <row r="339">
      <c r="A339" t="inlineStr">
        <is>
          <t>Багатофункціональний пристрій</t>
        </is>
      </c>
      <c r="B339" s="5" t="n">
        <v>96</v>
      </c>
      <c r="C339" s="5" t="n">
        <v>91</v>
      </c>
      <c r="D339" s="5" t="n">
        <v>156</v>
      </c>
      <c r="E339" s="13" t="n">
        <v>13670</v>
      </c>
      <c r="F339" s="13" t="n">
        <v>3674.4</v>
      </c>
      <c r="G339" s="13" t="n">
        <v>270000</v>
      </c>
      <c r="H339" t="inlineStr">
        <is>
          <t>Canon (61), Epson (16), Xerox (2)</t>
        </is>
      </c>
    </row>
    <row r="340">
      <c r="A340" t="inlineStr">
        <is>
          <t>Ноутбуки</t>
        </is>
      </c>
      <c r="B340" s="5" t="n">
        <v>87</v>
      </c>
      <c r="C340" s="5" t="n">
        <v>83</v>
      </c>
      <c r="D340" s="5" t="n">
        <v>313</v>
      </c>
      <c r="E340" s="13" t="n">
        <v>30000</v>
      </c>
      <c r="F340" s="13" t="n">
        <v>15000</v>
      </c>
      <c r="G340" s="13" t="n">
        <v>436651.8</v>
      </c>
      <c r="H340" t="inlineStr">
        <is>
          <t>Dell (2), Acer (1), AMD (1)</t>
        </is>
      </c>
    </row>
    <row r="341">
      <c r="A341" t="inlineStr">
        <is>
          <t>Багатофункціональні пристрої</t>
        </is>
      </c>
      <c r="B341" s="5" t="n">
        <v>75</v>
      </c>
      <c r="C341" s="5" t="n">
        <v>73</v>
      </c>
      <c r="D341" s="5" t="n">
        <v>392</v>
      </c>
      <c r="E341" s="13" t="n">
        <v>15426</v>
      </c>
      <c r="F341" s="13" t="n">
        <v>5166.67</v>
      </c>
      <c r="G341" s="13" t="n">
        <v>258810</v>
      </c>
      <c r="H341" t="inlineStr"/>
    </row>
    <row r="342">
      <c r="A342" t="inlineStr">
        <is>
          <t>Системний блок</t>
        </is>
      </c>
      <c r="B342" s="5" t="n">
        <v>72</v>
      </c>
      <c r="C342" s="5" t="n">
        <v>70</v>
      </c>
      <c r="D342" s="5" t="n">
        <v>244</v>
      </c>
      <c r="E342" s="13" t="n">
        <v>19500</v>
      </c>
      <c r="F342" s="13" t="n">
        <v>4358</v>
      </c>
      <c r="G342" s="13" t="n">
        <v>76000</v>
      </c>
      <c r="H342" t="inlineStr">
        <is>
          <t>Intel (18), AMD (15), Vinga (4)</t>
        </is>
      </c>
    </row>
    <row r="343">
      <c r="A343" t="inlineStr">
        <is>
          <t>Монітори</t>
        </is>
      </c>
      <c r="B343" s="5" t="n">
        <v>69</v>
      </c>
      <c r="C343" s="5" t="n">
        <v>64</v>
      </c>
      <c r="D343" s="5" t="n">
        <v>575</v>
      </c>
      <c r="E343" s="13" t="n">
        <v>7140</v>
      </c>
      <c r="F343" s="13" t="n">
        <v>3333.34</v>
      </c>
      <c r="G343" s="13" t="n">
        <v>165000</v>
      </c>
      <c r="H343" t="inlineStr">
        <is>
          <t>Acer (2)</t>
        </is>
      </c>
    </row>
    <row r="344">
      <c r="A344" t="inlineStr">
        <is>
          <t>Клавіатура</t>
        </is>
      </c>
      <c r="B344" s="5" t="n">
        <v>68</v>
      </c>
      <c r="C344" s="5" t="n">
        <v>63</v>
      </c>
      <c r="D344" s="5" t="n">
        <v>169</v>
      </c>
      <c r="E344" s="13" t="n">
        <v>1690</v>
      </c>
      <c r="F344" s="13" t="n">
        <v>265</v>
      </c>
      <c r="G344" s="13" t="n">
        <v>59070</v>
      </c>
      <c r="H344" t="inlineStr">
        <is>
          <t>Logitech (13), A4Tech (4), Gembird (4)</t>
        </is>
      </c>
    </row>
    <row r="345">
      <c r="A345" t="inlineStr">
        <is>
          <t>Накопичувач</t>
        </is>
      </c>
      <c r="B345" s="5" t="n">
        <v>60</v>
      </c>
      <c r="C345" s="5" t="n">
        <v>54</v>
      </c>
      <c r="D345" s="5" t="n">
        <v>207</v>
      </c>
      <c r="E345" s="13" t="n">
        <v>2675</v>
      </c>
      <c r="F345" s="13" t="n">
        <v>192</v>
      </c>
      <c r="G345" s="13" t="n">
        <v>46376</v>
      </c>
      <c r="H345" t="inlineStr">
        <is>
          <t>Kingston (9), Patriot (4), Samsung (4)</t>
        </is>
      </c>
    </row>
    <row r="346">
      <c r="A346" t="inlineStr">
        <is>
          <t>Мишка</t>
        </is>
      </c>
      <c r="B346" s="5" t="n">
        <v>56</v>
      </c>
      <c r="C346" s="5" t="n">
        <v>53</v>
      </c>
      <c r="D346" s="5" t="n">
        <v>181</v>
      </c>
      <c r="E346" s="13" t="n">
        <v>799</v>
      </c>
      <c r="F346" s="13" t="n">
        <v>174</v>
      </c>
      <c r="G346" s="13" t="n">
        <v>59070</v>
      </c>
      <c r="H346" t="inlineStr">
        <is>
          <t>Logitech (17), Defender (3), REAL-EL (1)</t>
        </is>
      </c>
    </row>
    <row r="347">
      <c r="A347" t="inlineStr">
        <is>
          <t>Комп'ютери настільні</t>
        </is>
      </c>
      <c r="B347" s="5" t="n">
        <v>41</v>
      </c>
      <c r="C347" s="5" t="n">
        <v>39</v>
      </c>
      <c r="D347" s="5" t="n">
        <v>211</v>
      </c>
      <c r="E347" s="13" t="n">
        <v>22424.4</v>
      </c>
      <c r="F347" s="13" t="n">
        <v>13400</v>
      </c>
      <c r="G347" s="13" t="n">
        <v>73000</v>
      </c>
      <c r="H347" t="inlineStr"/>
    </row>
    <row r="348">
      <c r="A348" t="inlineStr">
        <is>
          <t>Планшети</t>
        </is>
      </c>
      <c r="B348" s="5" t="n">
        <v>40</v>
      </c>
      <c r="C348" s="5" t="n">
        <v>40</v>
      </c>
      <c r="D348" s="5" t="n">
        <v>276</v>
      </c>
      <c r="E348" s="13" t="n">
        <v>13698.5</v>
      </c>
      <c r="F348" s="13" t="n">
        <v>6000</v>
      </c>
      <c r="G348" s="13" t="n">
        <v>365000</v>
      </c>
      <c r="H348" t="inlineStr"/>
    </row>
    <row r="349">
      <c r="A349" t="inlineStr">
        <is>
          <t>Жорсткий диск</t>
        </is>
      </c>
      <c r="B349" s="5" t="n">
        <v>35</v>
      </c>
      <c r="C349" s="5" t="n">
        <v>32</v>
      </c>
      <c r="D349" s="5" t="n">
        <v>135</v>
      </c>
      <c r="E349" s="13" t="n">
        <v>10666</v>
      </c>
      <c r="F349" s="13" t="n">
        <v>900</v>
      </c>
      <c r="G349" s="13" t="n">
        <v>160000</v>
      </c>
      <c r="H349" t="inlineStr">
        <is>
          <t>Toshiba (4), Seagate (3), Patriot (2)</t>
        </is>
      </c>
    </row>
    <row r="350">
      <c r="A350" t="inlineStr">
        <is>
          <t>Принтер</t>
        </is>
      </c>
      <c r="B350" s="5" t="n">
        <v>34</v>
      </c>
      <c r="C350" s="5" t="n">
        <v>34</v>
      </c>
      <c r="D350" s="5" t="n">
        <v>54</v>
      </c>
      <c r="E350" s="13" t="n">
        <v>10499.5</v>
      </c>
      <c r="F350" s="13" t="n">
        <v>3450</v>
      </c>
      <c r="G350" s="13" t="n">
        <v>48498</v>
      </c>
      <c r="H350" t="inlineStr">
        <is>
          <t>Canon (14), Epson (6), Xerox (3)</t>
        </is>
      </c>
    </row>
    <row r="351">
      <c r="A351" t="inlineStr">
        <is>
          <t>Бфп</t>
        </is>
      </c>
      <c r="B351" s="5" t="n">
        <v>32</v>
      </c>
      <c r="C351" s="5" t="n">
        <v>31</v>
      </c>
      <c r="D351" s="5" t="n">
        <v>71</v>
      </c>
      <c r="E351" s="13" t="n">
        <v>11999.5</v>
      </c>
      <c r="F351" s="13" t="n">
        <v>5867.5</v>
      </c>
      <c r="G351" s="13" t="n">
        <v>179980</v>
      </c>
      <c r="H351" t="inlineStr">
        <is>
          <t>Canon (22), Epson (9)</t>
        </is>
      </c>
    </row>
    <row r="352">
      <c r="A352" t="inlineStr">
        <is>
          <t>Миша</t>
        </is>
      </c>
      <c r="B352" s="5" t="n">
        <v>32</v>
      </c>
      <c r="C352" s="5" t="n">
        <v>28</v>
      </c>
      <c r="D352" s="5" t="n">
        <v>90</v>
      </c>
      <c r="E352" s="13" t="n">
        <v>1689</v>
      </c>
      <c r="F352" s="13" t="n">
        <v>200</v>
      </c>
      <c r="G352" s="13" t="n">
        <v>160000</v>
      </c>
      <c r="H352" t="inlineStr">
        <is>
          <t>Logitech (6), Defender (2), Genius (2)</t>
        </is>
      </c>
    </row>
    <row r="353">
      <c r="A353" t="inlineStr">
        <is>
          <t>Накопичувачі</t>
        </is>
      </c>
      <c r="B353" s="5" t="n">
        <v>30</v>
      </c>
      <c r="C353" s="5" t="n">
        <v>25</v>
      </c>
      <c r="D353" s="5" t="n">
        <v>709</v>
      </c>
      <c r="E353" s="13" t="n">
        <v>10992.98</v>
      </c>
      <c r="F353" s="13" t="n">
        <v>345.17</v>
      </c>
      <c r="G353" s="13" t="n">
        <v>61798.49</v>
      </c>
      <c r="H353" t="inlineStr"/>
    </row>
    <row r="354">
      <c r="A354" t="inlineStr">
        <is>
          <t>Блок живлення</t>
        </is>
      </c>
      <c r="B354" s="5" t="n">
        <v>27</v>
      </c>
      <c r="C354" s="5" t="n">
        <v>25</v>
      </c>
      <c r="D354" s="5" t="n">
        <v>41</v>
      </c>
      <c r="E354" s="13" t="n">
        <v>2160</v>
      </c>
      <c r="F354" s="13" t="n">
        <v>450</v>
      </c>
      <c r="G354" s="13" t="n">
        <v>160000</v>
      </c>
      <c r="H354" t="inlineStr">
        <is>
          <t>ASUS (3), HP (2), MikroTik (1)</t>
        </is>
      </c>
    </row>
    <row r="355">
      <c r="A355" t="inlineStr">
        <is>
          <t>Кабель</t>
        </is>
      </c>
      <c r="B355" s="5" t="n">
        <v>26</v>
      </c>
      <c r="C355" s="5" t="n">
        <v>19</v>
      </c>
      <c r="D355" s="5" t="n">
        <v>375</v>
      </c>
      <c r="E355" s="13" t="n">
        <v>2440</v>
      </c>
      <c r="F355" s="13" t="n">
        <v>61.61</v>
      </c>
      <c r="G355" s="13" t="n">
        <v>108018.33</v>
      </c>
      <c r="H355" t="inlineStr">
        <is>
          <t>Defender (1)</t>
        </is>
      </c>
    </row>
    <row r="356">
      <c r="A356" t="inlineStr">
        <is>
          <t>Клавіатури в комплекті</t>
        </is>
      </c>
      <c r="B356" s="5" t="n">
        <v>25</v>
      </c>
      <c r="C356" s="5" t="n">
        <v>25</v>
      </c>
      <c r="D356" s="5" t="n">
        <v>319</v>
      </c>
      <c r="E356" s="13" t="n">
        <v>1493.77</v>
      </c>
      <c r="F356" s="13" t="n">
        <v>400</v>
      </c>
      <c r="G356" s="13" t="n">
        <v>36363.5</v>
      </c>
      <c r="H356" t="inlineStr"/>
    </row>
    <row r="357">
      <c r="A357" t="inlineStr">
        <is>
          <t>Планшет</t>
        </is>
      </c>
      <c r="B357" s="5" t="n">
        <v>24</v>
      </c>
      <c r="C357" s="5" t="n">
        <v>24</v>
      </c>
      <c r="D357" s="5" t="n">
        <v>268</v>
      </c>
      <c r="E357" s="13" t="n">
        <v>12749</v>
      </c>
      <c r="F357" s="13" t="n">
        <v>6500</v>
      </c>
      <c r="G357" s="13" t="n">
        <v>72315.78</v>
      </c>
      <c r="H357" t="inlineStr">
        <is>
          <t>Samsung (11), Lenovo (3), Xiaomi (1)</t>
        </is>
      </c>
    </row>
    <row r="358">
      <c r="A358" t="inlineStr">
        <is>
          <t>Флешка</t>
        </is>
      </c>
      <c r="B358" s="5" t="n">
        <v>23</v>
      </c>
      <c r="C358" s="5" t="n">
        <v>21</v>
      </c>
      <c r="D358" s="5" t="n">
        <v>140</v>
      </c>
      <c r="E358" s="13" t="n">
        <v>509.36</v>
      </c>
      <c r="F358" s="13" t="n">
        <v>200</v>
      </c>
      <c r="G358" s="13" t="n">
        <v>19090.92</v>
      </c>
      <c r="H358" t="inlineStr">
        <is>
          <t>Kingston (3), Transcend (2), Sandisk (1)</t>
        </is>
      </c>
    </row>
    <row r="359">
      <c r="A359" t="inlineStr">
        <is>
          <t>Моноблоки</t>
        </is>
      </c>
      <c r="B359" s="5" t="n">
        <v>23</v>
      </c>
      <c r="C359" s="5" t="n">
        <v>23</v>
      </c>
      <c r="D359" s="5" t="n">
        <v>410</v>
      </c>
      <c r="E359" s="13" t="n">
        <v>28200</v>
      </c>
      <c r="F359" s="13" t="n">
        <v>13692</v>
      </c>
      <c r="G359" s="13" t="n">
        <v>73000</v>
      </c>
      <c r="H359" t="inlineStr"/>
    </row>
    <row r="360">
      <c r="A360" t="inlineStr">
        <is>
          <t>Ноутбук для педагогічного</t>
        </is>
      </c>
      <c r="B360" s="5" t="n">
        <v>21</v>
      </c>
      <c r="C360" s="5" t="n">
        <v>20</v>
      </c>
      <c r="D360" s="5" t="n">
        <v>184</v>
      </c>
      <c r="E360" s="13" t="n">
        <v>27614.83</v>
      </c>
      <c r="F360" s="13" t="n">
        <v>20498.83</v>
      </c>
      <c r="G360" s="13" t="n">
        <v>874000</v>
      </c>
      <c r="H360" t="inlineStr">
        <is>
          <t>AMD (21), Microsoft (21), Intel (20)</t>
        </is>
      </c>
    </row>
    <row r="361">
      <c r="A361" t="inlineStr">
        <is>
          <t>Ноутбуки нуш</t>
        </is>
      </c>
      <c r="B361" s="5" t="n">
        <v>21</v>
      </c>
      <c r="C361" s="5" t="n">
        <v>20</v>
      </c>
      <c r="D361" s="5" t="n">
        <v>131</v>
      </c>
      <c r="E361" s="13" t="n">
        <v>28000</v>
      </c>
      <c r="F361" s="13" t="n">
        <v>21014</v>
      </c>
      <c r="G361" s="13" t="n">
        <v>205000</v>
      </c>
      <c r="H361" t="inlineStr"/>
    </row>
    <row r="362">
      <c r="A362" t="inlineStr">
        <is>
          <t>Джерела безперебійного живлення</t>
        </is>
      </c>
      <c r="B362" s="5" t="n">
        <v>20</v>
      </c>
      <c r="C362" s="5" t="n">
        <v>20</v>
      </c>
      <c r="D362" s="5" t="n">
        <v>353</v>
      </c>
      <c r="E362" s="13" t="n">
        <v>4500</v>
      </c>
      <c r="F362" s="13" t="n">
        <v>2378.33</v>
      </c>
      <c r="G362" s="13" t="n">
        <v>33652.91</v>
      </c>
      <c r="H362" t="inlineStr"/>
    </row>
    <row r="363">
      <c r="A363" t="inlineStr">
        <is>
          <t>Бфп лазерний монохромний</t>
        </is>
      </c>
      <c r="B363" s="5" t="n">
        <v>17</v>
      </c>
      <c r="C363" s="5" t="n">
        <v>17</v>
      </c>
      <c r="D363" s="5" t="n">
        <v>149</v>
      </c>
      <c r="E363" s="13" t="n">
        <v>15750</v>
      </c>
      <c r="F363" s="13" t="n">
        <v>12666.67</v>
      </c>
      <c r="G363" s="13" t="n">
        <v>30918</v>
      </c>
      <c r="H363" t="inlineStr"/>
    </row>
    <row r="364">
      <c r="A364" t="inlineStr">
        <is>
          <t>Моноблок</t>
        </is>
      </c>
      <c r="B364" s="5" t="n">
        <v>17</v>
      </c>
      <c r="C364" s="5" t="n">
        <v>17</v>
      </c>
      <c r="D364" s="5" t="n">
        <v>97</v>
      </c>
      <c r="E364" s="13" t="n">
        <v>31171.29</v>
      </c>
      <c r="F364" s="13" t="n">
        <v>23400</v>
      </c>
      <c r="G364" s="13" t="n">
        <v>82437.5</v>
      </c>
      <c r="H364" t="inlineStr">
        <is>
          <t>ASUS (4), Intel (3), Lenovo (3)</t>
        </is>
      </c>
    </row>
    <row r="365">
      <c r="A365" t="inlineStr">
        <is>
          <t>Комп'ютер</t>
        </is>
      </c>
      <c r="B365" s="5" t="n">
        <v>15</v>
      </c>
      <c r="C365" s="5" t="n">
        <v>14</v>
      </c>
      <c r="D365" s="5" t="n">
        <v>96</v>
      </c>
      <c r="E365" s="13" t="n">
        <v>24998</v>
      </c>
      <c r="F365" s="13" t="n">
        <v>10000</v>
      </c>
      <c r="G365" s="13" t="n">
        <v>45252</v>
      </c>
      <c r="H365" t="inlineStr">
        <is>
          <t>Vinga (7), Logitech (3), HP (3)</t>
        </is>
      </c>
    </row>
    <row r="366">
      <c r="A366" t="inlineStr">
        <is>
          <t>Оперативна пам'ять</t>
        </is>
      </c>
      <c r="B366" s="5" t="n">
        <v>15</v>
      </c>
      <c r="C366" s="5" t="n">
        <v>12</v>
      </c>
      <c r="D366" s="5" t="n">
        <v>44</v>
      </c>
      <c r="E366" s="13" t="n">
        <v>11943.5</v>
      </c>
      <c r="F366" s="13" t="n">
        <v>780</v>
      </c>
      <c r="G366" s="13" t="n">
        <v>160000</v>
      </c>
      <c r="H366" t="inlineStr">
        <is>
          <t>Acer (1), Kingston (1)</t>
        </is>
      </c>
    </row>
    <row r="367">
      <c r="A367" t="inlineStr">
        <is>
          <t>Оптичні диски</t>
        </is>
      </c>
      <c r="B367" s="5" t="n">
        <v>14</v>
      </c>
      <c r="C367" s="5" t="n">
        <v>11</v>
      </c>
      <c r="D367" s="5" t="n">
        <v>14006</v>
      </c>
      <c r="E367" s="13" t="n">
        <v>19.87</v>
      </c>
      <c r="F367" s="13" t="n">
        <v>9.42</v>
      </c>
      <c r="G367" s="13" t="n">
        <v>4500</v>
      </c>
      <c r="H367" t="inlineStr"/>
    </row>
    <row r="368">
      <c r="A368" t="inlineStr">
        <is>
          <t>Процесор</t>
        </is>
      </c>
      <c r="B368" s="5" t="n">
        <v>12</v>
      </c>
      <c r="C368" s="5" t="n">
        <v>12</v>
      </c>
      <c r="D368" s="5" t="n">
        <v>19</v>
      </c>
      <c r="E368" s="13" t="n">
        <v>19122.5</v>
      </c>
      <c r="F368" s="13" t="n">
        <v>250</v>
      </c>
      <c r="G368" s="13" t="n">
        <v>160000</v>
      </c>
      <c r="H368" t="inlineStr">
        <is>
          <t>Intel (9), AMD (3), ASUS (1)</t>
        </is>
      </c>
    </row>
    <row r="369">
      <c r="A369" t="inlineStr">
        <is>
          <t>Комп'ютерне обладнання</t>
        </is>
      </c>
      <c r="B369" s="5" t="n">
        <v>12</v>
      </c>
      <c r="C369" s="5" t="n">
        <v>12</v>
      </c>
      <c r="D369" s="5" t="n">
        <v>304</v>
      </c>
      <c r="E369" s="13" t="n">
        <v>4546</v>
      </c>
      <c r="F369" s="13" t="n">
        <v>225</v>
      </c>
      <c r="G369" s="13" t="n">
        <v>30000</v>
      </c>
      <c r="H369" t="inlineStr">
        <is>
          <t>Canon (1)</t>
        </is>
      </c>
    </row>
    <row r="370">
      <c r="A370" t="inlineStr">
        <is>
          <t>Материнська плата</t>
        </is>
      </c>
      <c r="B370" s="5" t="n">
        <v>12</v>
      </c>
      <c r="C370" s="5" t="n">
        <v>12</v>
      </c>
      <c r="D370" s="5" t="n">
        <v>18</v>
      </c>
      <c r="E370" s="13" t="n">
        <v>16964.5</v>
      </c>
      <c r="F370" s="13" t="n">
        <v>2888</v>
      </c>
      <c r="G370" s="13" t="n">
        <v>160000</v>
      </c>
      <c r="H370" t="inlineStr">
        <is>
          <t>ASRock (2), ASUS (2), Gigabyte (2)</t>
        </is>
      </c>
    </row>
    <row r="371">
      <c r="A371" t="inlineStr">
        <is>
          <t>Захищені носії ключової</t>
        </is>
      </c>
      <c r="B371" s="5" t="n">
        <v>12</v>
      </c>
      <c r="C371" s="5" t="n">
        <v>12</v>
      </c>
      <c r="D371" s="5" t="n">
        <v>42</v>
      </c>
      <c r="E371" s="13" t="n">
        <v>1640</v>
      </c>
      <c r="F371" s="13" t="n">
        <v>1300</v>
      </c>
      <c r="G371" s="13" t="n">
        <v>5000</v>
      </c>
      <c r="H371" t="inlineStr"/>
    </row>
    <row r="372">
      <c r="A372" t="inlineStr">
        <is>
          <t>Захищені носії особистих</t>
        </is>
      </c>
      <c r="B372" s="5" t="n">
        <v>11</v>
      </c>
      <c r="C372" s="5" t="n">
        <v>11</v>
      </c>
      <c r="D372" s="5" t="n">
        <v>12</v>
      </c>
      <c r="E372" s="13" t="n">
        <v>1225</v>
      </c>
      <c r="F372" s="13" t="n">
        <v>1225</v>
      </c>
      <c r="G372" s="13" t="n">
        <v>2000</v>
      </c>
      <c r="H372" t="inlineStr"/>
    </row>
    <row r="373">
      <c r="A373" t="inlineStr">
        <is>
          <t>Ноутбук для робочих</t>
        </is>
      </c>
      <c r="B373" s="5" t="n">
        <v>11</v>
      </c>
      <c r="C373" s="5" t="n">
        <v>10</v>
      </c>
      <c r="D373" s="5" t="n">
        <v>44</v>
      </c>
      <c r="E373" s="13" t="n">
        <v>28000</v>
      </c>
      <c r="F373" s="13" t="n">
        <v>21000</v>
      </c>
      <c r="G373" s="13" t="n">
        <v>82000</v>
      </c>
      <c r="H373" t="inlineStr">
        <is>
          <t>Intel (9), AMD (2)</t>
        </is>
      </c>
    </row>
    <row r="374">
      <c r="A374" t="inlineStr">
        <is>
          <t>Картридж</t>
        </is>
      </c>
      <c r="B374" s="5" t="n">
        <v>11</v>
      </c>
      <c r="C374" s="5" t="n">
        <v>10</v>
      </c>
      <c r="D374" s="5" t="n">
        <v>18</v>
      </c>
      <c r="E374" s="13" t="n">
        <v>4633.33</v>
      </c>
      <c r="F374" s="13" t="n">
        <v>948</v>
      </c>
      <c r="G374" s="13" t="n">
        <v>13684</v>
      </c>
      <c r="H374" t="inlineStr">
        <is>
          <t>Canon (7)</t>
        </is>
      </c>
    </row>
    <row r="375">
      <c r="A375" t="inlineStr">
        <is>
          <t>Комплект</t>
        </is>
      </c>
      <c r="B375" s="5" t="n">
        <v>11</v>
      </c>
      <c r="C375" s="5" t="n">
        <v>11</v>
      </c>
      <c r="D375" s="5" t="n">
        <v>21</v>
      </c>
      <c r="E375" s="13" t="n">
        <v>13520</v>
      </c>
      <c r="F375" s="13" t="n">
        <v>860</v>
      </c>
      <c r="G375" s="13" t="n">
        <v>25060</v>
      </c>
      <c r="H375" t="inlineStr">
        <is>
          <t>2E (2), A4Tech (1), Genius (1)</t>
        </is>
      </c>
    </row>
    <row r="376">
      <c r="A376" t="inlineStr">
        <is>
          <t>Бфп лазерний</t>
        </is>
      </c>
      <c r="B376" s="5" t="n">
        <v>11</v>
      </c>
      <c r="C376" s="5" t="n">
        <v>8</v>
      </c>
      <c r="D376" s="5" t="n">
        <v>15</v>
      </c>
      <c r="E376" s="13" t="n">
        <v>22000</v>
      </c>
      <c r="F376" s="13" t="n">
        <v>16190</v>
      </c>
      <c r="G376" s="13" t="n">
        <v>160000</v>
      </c>
      <c r="H376" t="inlineStr">
        <is>
          <t>Canon (7), HP (2), Brother (1)</t>
        </is>
      </c>
    </row>
    <row r="377">
      <c r="A377" t="inlineStr">
        <is>
          <t>Ноутбук для здобувача</t>
        </is>
      </c>
      <c r="B377" s="5" t="n">
        <v>10</v>
      </c>
      <c r="C377" s="5" t="n">
        <v>9</v>
      </c>
      <c r="D377" s="5" t="n">
        <v>35</v>
      </c>
      <c r="E377" s="13" t="n">
        <v>26999.36</v>
      </c>
      <c r="F377" s="13" t="n">
        <v>21500</v>
      </c>
      <c r="G377" s="13" t="n">
        <v>293995</v>
      </c>
      <c r="H377" t="inlineStr">
        <is>
          <t>Intel (10), AMD (10), Microsoft (10)</t>
        </is>
      </c>
    </row>
    <row r="378">
      <c r="A378" t="inlineStr">
        <is>
          <t>Модуль пам'яті для</t>
        </is>
      </c>
      <c r="B378" s="5" t="n">
        <v>10</v>
      </c>
      <c r="C378" s="5" t="n">
        <v>9</v>
      </c>
      <c r="D378" s="5" t="n">
        <v>12</v>
      </c>
      <c r="E378" s="13" t="n">
        <v>2574</v>
      </c>
      <c r="F378" s="13" t="n">
        <v>750</v>
      </c>
      <c r="G378" s="13" t="n">
        <v>29865</v>
      </c>
      <c r="H378" t="inlineStr">
        <is>
          <t>Kingston (1), HyperX (1)</t>
        </is>
      </c>
    </row>
    <row r="379">
      <c r="A379" t="inlineStr">
        <is>
          <t>Веб-камера</t>
        </is>
      </c>
      <c r="B379" s="5" t="n">
        <v>10</v>
      </c>
      <c r="C379" s="5" t="n">
        <v>10</v>
      </c>
      <c r="D379" s="5" t="n">
        <v>49</v>
      </c>
      <c r="E379" s="13" t="n">
        <v>1491.16</v>
      </c>
      <c r="F379" s="13" t="n">
        <v>1284</v>
      </c>
      <c r="G379" s="13" t="n">
        <v>8079.5</v>
      </c>
      <c r="H379" t="inlineStr">
        <is>
          <t>Logitech (3), A4Tech (1)</t>
        </is>
      </c>
    </row>
    <row r="380">
      <c r="A380" t="inlineStr">
        <is>
          <t>Комутатор</t>
        </is>
      </c>
      <c r="B380" s="5" t="n">
        <v>9</v>
      </c>
      <c r="C380" s="5" t="n">
        <v>9</v>
      </c>
      <c r="D380" s="5" t="n">
        <v>10</v>
      </c>
      <c r="E380" s="13" t="n">
        <v>3001</v>
      </c>
      <c r="F380" s="13" t="n">
        <v>1014.5</v>
      </c>
      <c r="G380" s="13" t="n">
        <v>13000</v>
      </c>
      <c r="H380" t="inlineStr">
        <is>
          <t>TP-Link (2)</t>
        </is>
      </c>
    </row>
    <row r="381">
      <c r="A381" t="inlineStr">
        <is>
          <t>Кабель мультимедійний</t>
        </is>
      </c>
      <c r="B381" s="5" t="n">
        <v>9</v>
      </c>
      <c r="C381" s="5" t="n">
        <v>6</v>
      </c>
      <c r="D381" s="5" t="n">
        <v>12</v>
      </c>
      <c r="E381" s="13" t="n">
        <v>4626</v>
      </c>
      <c r="F381" s="13" t="n">
        <v>2313</v>
      </c>
      <c r="G381" s="13" t="n">
        <v>324055</v>
      </c>
      <c r="H381" t="inlineStr">
        <is>
          <t>Cablexpert (3), Vinga (2)</t>
        </is>
      </c>
    </row>
    <row r="382">
      <c r="A382" t="inlineStr">
        <is>
          <t>Флеш-карта</t>
        </is>
      </c>
      <c r="B382" s="5" t="n">
        <v>9</v>
      </c>
      <c r="C382" s="5" t="n">
        <v>8</v>
      </c>
      <c r="D382" s="5" t="n">
        <v>22</v>
      </c>
      <c r="E382" s="13" t="n">
        <v>362.67</v>
      </c>
      <c r="F382" s="13" t="n">
        <v>225.5</v>
      </c>
      <c r="G382" s="13" t="n">
        <v>725.34</v>
      </c>
      <c r="H382" t="inlineStr">
        <is>
          <t>Transcend (3)</t>
        </is>
      </c>
    </row>
    <row r="383">
      <c r="A383" t="inlineStr">
        <is>
          <t>Персональний комп’ютер</t>
        </is>
      </c>
      <c r="B383" s="5" t="n">
        <v>9</v>
      </c>
      <c r="C383" s="5" t="n">
        <v>9</v>
      </c>
      <c r="D383" s="5" t="n">
        <v>38</v>
      </c>
      <c r="E383" s="13" t="n">
        <v>26000</v>
      </c>
      <c r="F383" s="13" t="n">
        <v>17500</v>
      </c>
      <c r="G383" s="13" t="n">
        <v>100000</v>
      </c>
      <c r="H383" t="inlineStr">
        <is>
          <t>Artline (1), Intel (1)</t>
        </is>
      </c>
    </row>
    <row r="384">
      <c r="A384" t="inlineStr">
        <is>
          <t>Дк</t>
        </is>
      </c>
      <c r="B384" s="5" t="n">
        <v>9</v>
      </c>
      <c r="C384" s="5" t="n">
        <v>9</v>
      </c>
      <c r="D384" s="5" t="n">
        <v>30</v>
      </c>
      <c r="E384" s="13" t="n">
        <v>10000</v>
      </c>
      <c r="F384" s="13" t="n">
        <v>374.5</v>
      </c>
      <c r="G384" s="13" t="n">
        <v>150000</v>
      </c>
      <c r="H384" t="inlineStr">
        <is>
          <t>HP (3), Maxxter (1), A4Tech (1)</t>
        </is>
      </c>
    </row>
    <row r="385">
      <c r="A385" t="inlineStr">
        <is>
          <t>Персональний комп'ютер</t>
        </is>
      </c>
      <c r="B385" s="5" t="n">
        <v>9</v>
      </c>
      <c r="C385" s="5" t="n">
        <v>9</v>
      </c>
      <c r="D385" s="5" t="n">
        <v>19090</v>
      </c>
      <c r="E385" s="13" t="n">
        <v>26299</v>
      </c>
      <c r="F385" s="13" t="n">
        <v>1</v>
      </c>
      <c r="G385" s="13" t="n">
        <v>49100</v>
      </c>
      <c r="H385" t="inlineStr">
        <is>
          <t>Artline (3), Prologix (1)</t>
        </is>
      </c>
    </row>
    <row r="386">
      <c r="A386" t="inlineStr">
        <is>
          <t>Оперативна пам'ять б</t>
        </is>
      </c>
      <c r="B386" s="5" t="n">
        <v>8</v>
      </c>
      <c r="C386" s="5" t="n">
        <v>2</v>
      </c>
      <c r="D386" s="5" t="n">
        <v>32</v>
      </c>
      <c r="E386" s="13" t="n">
        <v>4833.33</v>
      </c>
      <c r="F386" s="13" t="n">
        <v>3055.56</v>
      </c>
      <c r="G386" s="13" t="n">
        <v>10166.67</v>
      </c>
      <c r="H386" t="inlineStr">
        <is>
          <t>Samsung (4), Kingston (4)</t>
        </is>
      </c>
    </row>
    <row r="387">
      <c r="A387" t="inlineStr">
        <is>
          <t>Засіб кзі електронний</t>
        </is>
      </c>
      <c r="B387" s="5" t="n">
        <v>8</v>
      </c>
      <c r="C387" s="5" t="n">
        <v>8</v>
      </c>
      <c r="D387" s="5" t="n">
        <v>17</v>
      </c>
      <c r="E387" s="13" t="n">
        <v>1584</v>
      </c>
      <c r="F387" s="13" t="n">
        <v>1225</v>
      </c>
      <c r="G387" s="13" t="n">
        <v>3310</v>
      </c>
      <c r="H387" t="inlineStr"/>
    </row>
    <row r="388">
      <c r="A388" t="inlineStr">
        <is>
          <t>Персональний комп’ютер форм-фактора</t>
        </is>
      </c>
      <c r="B388" s="5" t="n">
        <v>8</v>
      </c>
      <c r="C388" s="5" t="n">
        <v>7</v>
      </c>
      <c r="D388" s="5" t="n">
        <v>89</v>
      </c>
      <c r="E388" s="13" t="n">
        <v>51304.17</v>
      </c>
      <c r="F388" s="13" t="n">
        <v>25384.62</v>
      </c>
      <c r="G388" s="13" t="n">
        <v>625000</v>
      </c>
      <c r="H388" t="inlineStr"/>
    </row>
    <row r="389">
      <c r="A389" t="inlineStr">
        <is>
          <t>Концентратор</t>
        </is>
      </c>
      <c r="B389" s="5" t="n">
        <v>8</v>
      </c>
      <c r="C389" s="5" t="n">
        <v>8</v>
      </c>
      <c r="D389" s="5" t="n">
        <v>15</v>
      </c>
      <c r="E389" s="13" t="n">
        <v>580</v>
      </c>
      <c r="F389" s="13" t="n">
        <v>275</v>
      </c>
      <c r="G389" s="13" t="n">
        <v>5146</v>
      </c>
      <c r="H389" t="inlineStr">
        <is>
          <t>Gembird (5), Cablexpert (1), Vinga (1)</t>
        </is>
      </c>
    </row>
    <row r="390">
      <c r="A390" t="inlineStr">
        <is>
          <t>Засіб кзі</t>
        </is>
      </c>
      <c r="B390" s="5" t="n">
        <v>8</v>
      </c>
      <c r="C390" s="5" t="n">
        <v>8</v>
      </c>
      <c r="D390" s="5" t="n">
        <v>22</v>
      </c>
      <c r="E390" s="13" t="n">
        <v>1292</v>
      </c>
      <c r="F390" s="13" t="n">
        <v>1170</v>
      </c>
      <c r="G390" s="13" t="n">
        <v>2029</v>
      </c>
      <c r="H390" t="inlineStr"/>
    </row>
    <row r="391">
      <c r="A391" t="inlineStr">
        <is>
          <t>Патч-корд</t>
        </is>
      </c>
      <c r="B391" s="5" t="n">
        <v>8</v>
      </c>
      <c r="C391" s="5" t="n">
        <v>3</v>
      </c>
      <c r="D391" s="5" t="n">
        <v>66</v>
      </c>
      <c r="E391" s="13" t="n">
        <v>2362.47</v>
      </c>
      <c r="F391" s="13" t="n">
        <v>202</v>
      </c>
      <c r="G391" s="13" t="n">
        <v>5027</v>
      </c>
      <c r="H391" t="inlineStr">
        <is>
          <t>Cablexpert (6)</t>
        </is>
      </c>
    </row>
    <row r="392">
      <c r="A392" t="inlineStr">
        <is>
          <t>Ноутбук нр</t>
        </is>
      </c>
      <c r="B392" s="5" t="n">
        <v>8</v>
      </c>
      <c r="C392" s="5" t="n">
        <v>8</v>
      </c>
      <c r="D392" s="5" t="n">
        <v>11</v>
      </c>
      <c r="E392" s="13" t="n">
        <v>21474</v>
      </c>
      <c r="F392" s="13" t="n">
        <v>16500</v>
      </c>
      <c r="G392" s="13" t="n">
        <v>33500</v>
      </c>
      <c r="H392" t="inlineStr">
        <is>
          <t>Intel (2), Microsoft (1)</t>
        </is>
      </c>
    </row>
    <row r="393">
      <c r="A393" t="inlineStr">
        <is>
          <t>Твердотільний диск</t>
        </is>
      </c>
      <c r="B393" s="5" t="n">
        <v>8</v>
      </c>
      <c r="C393" s="5" t="n">
        <v>7</v>
      </c>
      <c r="D393" s="5" t="n">
        <v>21</v>
      </c>
      <c r="E393" s="13" t="n">
        <v>3072.5</v>
      </c>
      <c r="F393" s="13" t="n">
        <v>1795</v>
      </c>
      <c r="G393" s="13" t="n">
        <v>4500</v>
      </c>
      <c r="H393" t="inlineStr">
        <is>
          <t>GOODRAM (2), Prologix (1), Kingston (1)</t>
        </is>
      </c>
    </row>
    <row r="394">
      <c r="A394" t="inlineStr">
        <is>
          <t>Машини для обробки</t>
        </is>
      </c>
      <c r="B394" s="5" t="n">
        <v>8</v>
      </c>
      <c r="C394" s="5" t="n">
        <v>8</v>
      </c>
      <c r="D394" s="5" t="n">
        <v>32</v>
      </c>
      <c r="E394" s="13" t="n">
        <v>28425.84</v>
      </c>
      <c r="F394" s="13" t="n">
        <v>5600</v>
      </c>
      <c r="G394" s="13" t="n">
        <v>39600</v>
      </c>
      <c r="H394" t="inlineStr">
        <is>
          <t>AMD (2), HP (1), ASUS (1)</t>
        </is>
      </c>
    </row>
    <row r="395">
      <c r="A395" t="inlineStr">
        <is>
          <t>Мережевий фільтр</t>
        </is>
      </c>
      <c r="B395" s="5" t="n">
        <v>8</v>
      </c>
      <c r="C395" s="5" t="n">
        <v>7</v>
      </c>
      <c r="D395" s="5" t="n">
        <v>37</v>
      </c>
      <c r="E395" s="13" t="n">
        <v>884.5</v>
      </c>
      <c r="F395" s="13" t="n">
        <v>456.67</v>
      </c>
      <c r="G395" s="13" t="n">
        <v>3217</v>
      </c>
      <c r="H395" t="inlineStr">
        <is>
          <t>Defender (2)</t>
        </is>
      </c>
    </row>
    <row r="396">
      <c r="A396" t="inlineStr">
        <is>
          <t>Миша дротова</t>
        </is>
      </c>
      <c r="B396" s="5" t="n">
        <v>7</v>
      </c>
      <c r="C396" s="5" t="n">
        <v>7</v>
      </c>
      <c r="D396" s="5" t="n">
        <v>51</v>
      </c>
      <c r="E396" s="13" t="n">
        <v>344.75</v>
      </c>
      <c r="F396" s="13" t="n">
        <v>237.42</v>
      </c>
      <c r="G396" s="13" t="n">
        <v>2439.8</v>
      </c>
      <c r="H396" t="inlineStr">
        <is>
          <t>A4Tech (2), Logitech (1)</t>
        </is>
      </c>
    </row>
    <row r="397">
      <c r="A397" t="inlineStr">
        <is>
          <t>Флеш-накопичувач</t>
        </is>
      </c>
      <c r="B397" s="5" t="n">
        <v>7</v>
      </c>
      <c r="C397" s="5" t="n">
        <v>6</v>
      </c>
      <c r="D397" s="5" t="n">
        <v>1224</v>
      </c>
      <c r="E397" s="13" t="n">
        <v>135</v>
      </c>
      <c r="F397" s="13" t="n">
        <v>63.41</v>
      </c>
      <c r="G397" s="13" t="n">
        <v>1533.88</v>
      </c>
      <c r="H397" t="inlineStr"/>
    </row>
    <row r="398">
      <c r="A398" t="inlineStr">
        <is>
          <t>Мережевий фільтр живлення</t>
        </is>
      </c>
      <c r="B398" s="5" t="n">
        <v>7</v>
      </c>
      <c r="C398" s="5" t="n">
        <v>4</v>
      </c>
      <c r="D398" s="5" t="n">
        <v>12</v>
      </c>
      <c r="E398" s="13" t="n">
        <v>2517.82</v>
      </c>
      <c r="F398" s="13" t="n">
        <v>1022.5</v>
      </c>
      <c r="G398" s="13" t="n">
        <v>9482.5</v>
      </c>
      <c r="H398" t="inlineStr"/>
    </row>
    <row r="399">
      <c r="A399" t="inlineStr">
        <is>
          <t>Принтери</t>
        </is>
      </c>
      <c r="B399" s="5" t="n">
        <v>7</v>
      </c>
      <c r="C399" s="5" t="n">
        <v>7</v>
      </c>
      <c r="D399" s="5" t="n">
        <v>17</v>
      </c>
      <c r="E399" s="13" t="n">
        <v>17000</v>
      </c>
      <c r="F399" s="13" t="n">
        <v>6900</v>
      </c>
      <c r="G399" s="13" t="n">
        <v>26666.67</v>
      </c>
      <c r="H399" t="inlineStr"/>
    </row>
    <row r="400">
      <c r="A400" t="inlineStr">
        <is>
          <t>Мережеві фільтри та</t>
        </is>
      </c>
      <c r="B400" s="5" t="n">
        <v>7</v>
      </c>
      <c r="C400" s="5" t="n">
        <v>5</v>
      </c>
      <c r="D400" s="5" t="n">
        <v>122</v>
      </c>
      <c r="E400" s="13" t="n">
        <v>400</v>
      </c>
      <c r="F400" s="13" t="n">
        <v>260</v>
      </c>
      <c r="G400" s="13" t="n">
        <v>5001.4</v>
      </c>
      <c r="H400" t="inlineStr"/>
    </row>
    <row r="401">
      <c r="A401" t="inlineStr">
        <is>
          <t>Карта пам'яті</t>
        </is>
      </c>
      <c r="B401" s="5" t="n">
        <v>7</v>
      </c>
      <c r="C401" s="5" t="n">
        <v>6</v>
      </c>
      <c r="D401" s="5" t="n">
        <v>615</v>
      </c>
      <c r="E401" s="13" t="n">
        <v>560.23</v>
      </c>
      <c r="F401" s="13" t="n">
        <v>299.25</v>
      </c>
      <c r="G401" s="13" t="n">
        <v>6835</v>
      </c>
      <c r="H401" t="inlineStr">
        <is>
          <t>Patriot (1), Verbatim (1)</t>
        </is>
      </c>
    </row>
    <row r="402">
      <c r="A402" t="inlineStr">
        <is>
          <t>Диск</t>
        </is>
      </c>
      <c r="B402" s="5" t="n">
        <v>6</v>
      </c>
      <c r="C402" s="5" t="n">
        <v>5</v>
      </c>
      <c r="D402" s="5" t="n">
        <v>1074</v>
      </c>
      <c r="E402" s="13" t="n">
        <v>261.85</v>
      </c>
      <c r="F402" s="13" t="n">
        <v>12</v>
      </c>
      <c r="G402" s="13" t="n">
        <v>674.95</v>
      </c>
      <c r="H402" t="inlineStr">
        <is>
          <t>HP (1)</t>
        </is>
      </c>
    </row>
    <row r="403">
      <c r="A403" t="inlineStr">
        <is>
          <t>Комп’ютер</t>
        </is>
      </c>
      <c r="B403" s="5" t="n">
        <v>6</v>
      </c>
      <c r="C403" s="5" t="n">
        <v>6</v>
      </c>
      <c r="D403" s="5" t="n">
        <v>55</v>
      </c>
      <c r="E403" s="13" t="n">
        <v>24000</v>
      </c>
      <c r="F403" s="13" t="n">
        <v>17990</v>
      </c>
      <c r="G403" s="13" t="n">
        <v>42000</v>
      </c>
      <c r="H403" t="inlineStr">
        <is>
          <t>Artline (5), HP (1)</t>
        </is>
      </c>
    </row>
    <row r="404">
      <c r="A404" t="inlineStr">
        <is>
          <t>Твердотільний накопичувач</t>
        </is>
      </c>
      <c r="B404" s="5" t="n">
        <v>6</v>
      </c>
      <c r="C404" s="5" t="n">
        <v>2</v>
      </c>
      <c r="D404" s="5" t="n">
        <v>22</v>
      </c>
      <c r="E404" s="13" t="n">
        <v>34550</v>
      </c>
      <c r="F404" s="13" t="n">
        <v>9871.43</v>
      </c>
      <c r="G404" s="13" t="n">
        <v>43500</v>
      </c>
      <c r="H404" t="inlineStr"/>
    </row>
    <row r="405">
      <c r="A405" t="inlineStr">
        <is>
          <t>Сумка для ноутбука</t>
        </is>
      </c>
      <c r="B405" s="5" t="n">
        <v>6</v>
      </c>
      <c r="C405" s="5" t="n">
        <v>6</v>
      </c>
      <c r="D405" s="5" t="n">
        <v>6</v>
      </c>
      <c r="E405" s="13" t="n">
        <v>1603.5</v>
      </c>
      <c r="F405" s="13" t="n">
        <v>700</v>
      </c>
      <c r="G405" s="13" t="n">
        <v>4201</v>
      </c>
      <c r="H405" t="inlineStr">
        <is>
          <t>Vinga (1)</t>
        </is>
      </c>
    </row>
    <row r="406">
      <c r="A406" t="inlineStr">
        <is>
          <t>Код за дк</t>
        </is>
      </c>
      <c r="B406" s="5" t="n">
        <v>6</v>
      </c>
      <c r="C406" s="5" t="n">
        <v>6</v>
      </c>
      <c r="D406" s="5" t="n">
        <v>31</v>
      </c>
      <c r="E406" s="13" t="n">
        <v>1453.21</v>
      </c>
      <c r="F406" s="13" t="n">
        <v>291.75</v>
      </c>
      <c r="G406" s="13" t="n">
        <v>18801</v>
      </c>
      <c r="H406" t="inlineStr">
        <is>
          <t>Defender (2), Canon (1)</t>
        </is>
      </c>
    </row>
    <row r="407">
      <c r="A407" t="inlineStr">
        <is>
          <t>Бфп струменевий кольоровий</t>
        </is>
      </c>
      <c r="B407" s="5" t="n">
        <v>6</v>
      </c>
      <c r="C407" s="5" t="n">
        <v>6</v>
      </c>
      <c r="D407" s="5" t="n">
        <v>11</v>
      </c>
      <c r="E407" s="13" t="n">
        <v>12730</v>
      </c>
      <c r="F407" s="13" t="n">
        <v>8245.83</v>
      </c>
      <c r="G407" s="13" t="n">
        <v>112000</v>
      </c>
      <c r="H407" t="inlineStr">
        <is>
          <t>Epson (1)</t>
        </is>
      </c>
    </row>
    <row r="408">
      <c r="A408" t="inlineStr">
        <is>
          <t>Килимок</t>
        </is>
      </c>
      <c r="B408" s="5" t="n">
        <v>6</v>
      </c>
      <c r="C408" s="5" t="n">
        <v>5</v>
      </c>
      <c r="D408" s="5" t="n">
        <v>9</v>
      </c>
      <c r="E408" s="13" t="n">
        <v>1570</v>
      </c>
      <c r="F408" s="13" t="n">
        <v>131.67</v>
      </c>
      <c r="G408" s="13" t="n">
        <v>21160</v>
      </c>
      <c r="H408" t="inlineStr">
        <is>
          <t>Gembird (2)</t>
        </is>
      </c>
    </row>
    <row r="409">
      <c r="A409" t="inlineStr">
        <is>
          <t>Колонки</t>
        </is>
      </c>
      <c r="B409" s="5" t="n">
        <v>6</v>
      </c>
      <c r="C409" s="5" t="n">
        <v>3</v>
      </c>
      <c r="D409" s="5" t="n">
        <v>11</v>
      </c>
      <c r="E409" s="13" t="n">
        <v>7425</v>
      </c>
      <c r="F409" s="13" t="n">
        <v>400</v>
      </c>
      <c r="G409" s="13" t="n">
        <v>10054</v>
      </c>
      <c r="H409" t="inlineStr">
        <is>
          <t>2E (1), REAL-EL (1), Maxxter (1)</t>
        </is>
      </c>
    </row>
    <row r="410">
      <c r="A410" t="inlineStr">
        <is>
          <t>Адаптер</t>
        </is>
      </c>
      <c r="B410" s="5" t="n">
        <v>6</v>
      </c>
      <c r="C410" s="5" t="n">
        <v>6</v>
      </c>
      <c r="D410" s="5" t="n">
        <v>13</v>
      </c>
      <c r="E410" s="13" t="n">
        <v>2868.7</v>
      </c>
      <c r="F410" s="13" t="n">
        <v>864</v>
      </c>
      <c r="G410" s="13" t="n">
        <v>30156</v>
      </c>
      <c r="H410" t="inlineStr">
        <is>
          <t>Cablexpert (2), Trust (1), TP-Link (1)</t>
        </is>
      </c>
    </row>
    <row r="411">
      <c r="A411" t="inlineStr">
        <is>
          <t>Зовнішній жорсткий диск</t>
        </is>
      </c>
      <c r="B411" s="5" t="n">
        <v>6</v>
      </c>
      <c r="C411" s="5" t="n">
        <v>6</v>
      </c>
      <c r="D411" s="5" t="n">
        <v>10</v>
      </c>
      <c r="E411" s="13" t="n">
        <v>4560</v>
      </c>
      <c r="F411" s="13" t="n">
        <v>2999</v>
      </c>
      <c r="G411" s="13" t="n">
        <v>7000</v>
      </c>
      <c r="H411" t="inlineStr">
        <is>
          <t>Transcend (1)</t>
        </is>
      </c>
    </row>
    <row r="412">
      <c r="A412" t="inlineStr">
        <is>
          <t>Конверти для дисків</t>
        </is>
      </c>
      <c r="B412" s="5" t="n">
        <v>6</v>
      </c>
      <c r="C412" s="5" t="n">
        <v>6</v>
      </c>
      <c r="D412" s="5" t="n">
        <v>368</v>
      </c>
      <c r="E412" s="13" t="n">
        <v>879.16</v>
      </c>
      <c r="F412" s="13" t="n">
        <v>9.42</v>
      </c>
      <c r="G412" s="13" t="n">
        <v>1750</v>
      </c>
      <c r="H412" t="inlineStr"/>
    </row>
    <row r="413">
      <c r="A413" t="inlineStr">
        <is>
          <t>Сканер штрих-коду</t>
        </is>
      </c>
      <c r="B413" s="5" t="n">
        <v>6</v>
      </c>
      <c r="C413" s="5" t="n">
        <v>6</v>
      </c>
      <c r="D413" s="5" t="n">
        <v>21</v>
      </c>
      <c r="E413" s="13" t="n">
        <v>2196</v>
      </c>
      <c r="F413" s="13" t="n">
        <v>1546.44</v>
      </c>
      <c r="G413" s="13" t="n">
        <v>4501</v>
      </c>
      <c r="H413" t="inlineStr"/>
    </row>
    <row r="414">
      <c r="A414" t="inlineStr">
        <is>
          <t>Миша бездротова</t>
        </is>
      </c>
      <c r="B414" s="5" t="n">
        <v>6</v>
      </c>
      <c r="C414" s="5" t="n">
        <v>6</v>
      </c>
      <c r="D414" s="5" t="n">
        <v>10</v>
      </c>
      <c r="E414" s="13" t="n">
        <v>1494.85</v>
      </c>
      <c r="F414" s="13" t="n">
        <v>399</v>
      </c>
      <c r="G414" s="13" t="n">
        <v>179980</v>
      </c>
      <c r="H414" t="inlineStr">
        <is>
          <t>Gembird (1), A4Tech (1), Logitech (1)</t>
        </is>
      </c>
    </row>
    <row r="415">
      <c r="A415" t="inlineStr">
        <is>
          <t>Вінчестер</t>
        </is>
      </c>
      <c r="B415" s="5" t="n">
        <v>6</v>
      </c>
      <c r="C415" s="5" t="n">
        <v>6</v>
      </c>
      <c r="D415" s="5" t="n">
        <v>9</v>
      </c>
      <c r="E415" s="13" t="n">
        <v>3458.5</v>
      </c>
      <c r="F415" s="13" t="n">
        <v>661</v>
      </c>
      <c r="G415" s="13" t="n">
        <v>160000</v>
      </c>
      <c r="H415" t="inlineStr">
        <is>
          <t>Kingston (1), GOODRAM (1)</t>
        </is>
      </c>
    </row>
    <row r="416">
      <c r="A416" t="inlineStr">
        <is>
          <t>Миші</t>
        </is>
      </c>
      <c r="B416" s="5" t="n">
        <v>6</v>
      </c>
      <c r="C416" s="5" t="n">
        <v>6</v>
      </c>
      <c r="D416" s="5" t="n">
        <v>365</v>
      </c>
      <c r="E416" s="13" t="n">
        <v>1987.3</v>
      </c>
      <c r="F416" s="13" t="n">
        <v>179</v>
      </c>
      <c r="G416" s="13" t="n">
        <v>29900</v>
      </c>
      <c r="H416" t="inlineStr"/>
    </row>
    <row r="417">
      <c r="A417" t="inlineStr">
        <is>
          <t>Перехідник</t>
        </is>
      </c>
      <c r="B417" s="5" t="n">
        <v>6</v>
      </c>
      <c r="C417" s="5" t="n">
        <v>6</v>
      </c>
      <c r="D417" s="5" t="n">
        <v>15</v>
      </c>
      <c r="E417" s="13" t="n">
        <v>6213.11</v>
      </c>
      <c r="F417" s="13" t="n">
        <v>230</v>
      </c>
      <c r="G417" s="13" t="n">
        <v>108018.33</v>
      </c>
      <c r="H417" t="inlineStr">
        <is>
          <t>Cablexpert (2)</t>
        </is>
      </c>
    </row>
    <row r="418">
      <c r="A418" t="inlineStr">
        <is>
          <t>Чорнило</t>
        </is>
      </c>
      <c r="B418" s="5" t="n">
        <v>6</v>
      </c>
      <c r="C418" s="5" t="n">
        <v>4</v>
      </c>
      <c r="D418" s="5" t="n">
        <v>16</v>
      </c>
      <c r="E418" s="13" t="n">
        <v>13025</v>
      </c>
      <c r="F418" s="13" t="n">
        <v>4175</v>
      </c>
      <c r="G418" s="13" t="n">
        <v>89990</v>
      </c>
      <c r="H418" t="inlineStr">
        <is>
          <t>Canon (3), HP (1)</t>
        </is>
      </c>
    </row>
    <row r="419">
      <c r="A419" t="inlineStr">
        <is>
          <t>Персональний комп'ютер в</t>
        </is>
      </c>
      <c r="B419" s="5" t="n">
        <v>6</v>
      </c>
      <c r="C419" s="5" t="n">
        <v>6</v>
      </c>
      <c r="D419" s="5" t="n">
        <v>6</v>
      </c>
      <c r="E419" s="13" t="n">
        <v>21449</v>
      </c>
      <c r="F419" s="13" t="n">
        <v>18100</v>
      </c>
      <c r="G419" s="13" t="n">
        <v>30000</v>
      </c>
      <c r="H419" t="inlineStr">
        <is>
          <t>Intel (4), Microsoft (2), NVIDIA (2)</t>
        </is>
      </c>
    </row>
    <row r="420">
      <c r="A420" t="inlineStr">
        <is>
          <t>3d принтери</t>
        </is>
      </c>
      <c r="B420" s="5" t="n">
        <v>5</v>
      </c>
      <c r="C420" s="5" t="n">
        <v>5</v>
      </c>
      <c r="D420" s="5" t="n">
        <v>6</v>
      </c>
      <c r="E420" s="13" t="n">
        <v>28500</v>
      </c>
      <c r="F420" s="13" t="n">
        <v>14166.67</v>
      </c>
      <c r="G420" s="13" t="n">
        <v>100000</v>
      </c>
      <c r="H420" t="inlineStr"/>
    </row>
    <row r="421">
      <c r="A421" t="inlineStr">
        <is>
          <t>Засіб криптографічного захисту</t>
        </is>
      </c>
      <c r="B421" s="5" t="n">
        <v>5</v>
      </c>
      <c r="C421" s="5" t="n">
        <v>5</v>
      </c>
      <c r="D421" s="5" t="n">
        <v>8</v>
      </c>
      <c r="E421" s="13" t="n">
        <v>1225</v>
      </c>
      <c r="F421" s="13" t="n">
        <v>1200</v>
      </c>
      <c r="G421" s="13" t="n">
        <v>1500</v>
      </c>
      <c r="H421" t="inlineStr"/>
    </row>
    <row r="422">
      <c r="A422" t="inlineStr">
        <is>
          <t>Робочі станції</t>
        </is>
      </c>
      <c r="B422" s="5" t="n">
        <v>5</v>
      </c>
      <c r="C422" s="5" t="n">
        <v>5</v>
      </c>
      <c r="D422" s="5" t="n">
        <v>74</v>
      </c>
      <c r="E422" s="13" t="n">
        <v>40555.56</v>
      </c>
      <c r="F422" s="13" t="n">
        <v>23000</v>
      </c>
      <c r="G422" s="13" t="n">
        <v>46929</v>
      </c>
      <c r="H422" t="inlineStr"/>
    </row>
    <row r="423">
      <c r="A423" t="inlineStr">
        <is>
          <t>Лазерний принтер</t>
        </is>
      </c>
      <c r="B423" s="5" t="n">
        <v>5</v>
      </c>
      <c r="C423" s="5" t="n">
        <v>5</v>
      </c>
      <c r="D423" s="5" t="n">
        <v>8</v>
      </c>
      <c r="E423" s="13" t="n">
        <v>10999</v>
      </c>
      <c r="F423" s="13" t="n">
        <v>6000</v>
      </c>
      <c r="G423" s="13" t="n">
        <v>50000</v>
      </c>
      <c r="H423" t="inlineStr">
        <is>
          <t>HP (1), Canon (1), Xerox (1)</t>
        </is>
      </c>
    </row>
    <row r="424">
      <c r="A424" t="inlineStr">
        <is>
          <t>Миша оптична</t>
        </is>
      </c>
      <c r="B424" s="5" t="n">
        <v>5</v>
      </c>
      <c r="C424" s="5" t="n">
        <v>3</v>
      </c>
      <c r="D424" s="5" t="n">
        <v>19</v>
      </c>
      <c r="E424" s="13" t="n">
        <v>1576.67</v>
      </c>
      <c r="F424" s="13" t="n">
        <v>357.5</v>
      </c>
      <c r="G424" s="13" t="n">
        <v>4730</v>
      </c>
      <c r="H424" t="inlineStr"/>
    </row>
    <row r="425">
      <c r="A425" t="inlineStr">
        <is>
          <t>Принтер бфп</t>
        </is>
      </c>
      <c r="B425" s="5" t="n">
        <v>5</v>
      </c>
      <c r="C425" s="5" t="n">
        <v>5</v>
      </c>
      <c r="D425" s="5" t="n">
        <v>5</v>
      </c>
      <c r="E425" s="13" t="n">
        <v>9300</v>
      </c>
      <c r="F425" s="13" t="n">
        <v>7677</v>
      </c>
      <c r="G425" s="13" t="n">
        <v>35000</v>
      </c>
      <c r="H425" t="inlineStr">
        <is>
          <t>Epson (3), HP (1), Canon (1)</t>
        </is>
      </c>
    </row>
    <row r="426">
      <c r="A426" t="inlineStr">
        <is>
          <t>Мишка комп'ютерна</t>
        </is>
      </c>
      <c r="B426" s="5" t="n">
        <v>5</v>
      </c>
      <c r="C426" s="5" t="n">
        <v>5</v>
      </c>
      <c r="D426" s="5" t="n">
        <v>15</v>
      </c>
      <c r="E426" s="13" t="n">
        <v>300</v>
      </c>
      <c r="F426" s="13" t="n">
        <v>129</v>
      </c>
      <c r="G426" s="13" t="n">
        <v>840</v>
      </c>
      <c r="H426" t="inlineStr">
        <is>
          <t>A4Tech (1)</t>
        </is>
      </c>
    </row>
    <row r="427">
      <c r="A427" t="inlineStr">
        <is>
          <t>Пк</t>
        </is>
      </c>
      <c r="B427" s="5" t="n">
        <v>5</v>
      </c>
      <c r="C427" s="5" t="n">
        <v>3</v>
      </c>
      <c r="D427" s="5" t="n">
        <v>7</v>
      </c>
      <c r="E427" s="13" t="n">
        <v>29450</v>
      </c>
      <c r="F427" s="13" t="n">
        <v>27733.33</v>
      </c>
      <c r="G427" s="13" t="n">
        <v>43950</v>
      </c>
      <c r="H427" t="inlineStr">
        <is>
          <t>Patriot (2)</t>
        </is>
      </c>
    </row>
    <row r="428">
      <c r="A428" t="inlineStr">
        <is>
          <t>Персональний комп’ютер для</t>
        </is>
      </c>
      <c r="B428" s="5" t="n">
        <v>5</v>
      </c>
      <c r="C428" s="5" t="n">
        <v>4</v>
      </c>
      <c r="D428" s="5" t="n">
        <v>73</v>
      </c>
      <c r="E428" s="13" t="n">
        <v>63336.92</v>
      </c>
      <c r="F428" s="13" t="n">
        <v>27000</v>
      </c>
      <c r="G428" s="13" t="n">
        <v>350000</v>
      </c>
      <c r="H428" t="inlineStr">
        <is>
          <t>Intel (5), Microsoft (5), AMD (4)</t>
        </is>
      </c>
    </row>
    <row r="429">
      <c r="A429" t="inlineStr">
        <is>
          <t>Принтер лазерний</t>
        </is>
      </c>
      <c r="B429" s="5" t="n">
        <v>5</v>
      </c>
      <c r="C429" s="5" t="n">
        <v>5</v>
      </c>
      <c r="D429" s="5" t="n">
        <v>5</v>
      </c>
      <c r="E429" s="13" t="n">
        <v>16760</v>
      </c>
      <c r="F429" s="13" t="n">
        <v>5000</v>
      </c>
      <c r="G429" s="13" t="n">
        <v>230000</v>
      </c>
      <c r="H429" t="inlineStr">
        <is>
          <t>Canon (2), HP (1)</t>
        </is>
      </c>
    </row>
    <row r="430">
      <c r="A430" t="inlineStr">
        <is>
          <t>Набір контейнерів з</t>
        </is>
      </c>
      <c r="B430" s="5" t="n">
        <v>5</v>
      </c>
      <c r="C430" s="5" t="n">
        <v>3</v>
      </c>
      <c r="D430" s="5" t="n">
        <v>8</v>
      </c>
      <c r="E430" s="13" t="n">
        <v>4175</v>
      </c>
      <c r="F430" s="13" t="n">
        <v>2500</v>
      </c>
      <c r="G430" s="13" t="n">
        <v>13025</v>
      </c>
      <c r="H430" t="inlineStr">
        <is>
          <t>Epson (3)</t>
        </is>
      </c>
    </row>
    <row r="431">
      <c r="A431" t="inlineStr">
        <is>
          <t>Батарейка</t>
        </is>
      </c>
      <c r="B431" s="5" t="n">
        <v>5</v>
      </c>
      <c r="C431" s="5" t="n">
        <v>5</v>
      </c>
      <c r="D431" s="5" t="n">
        <v>14</v>
      </c>
      <c r="E431" s="13" t="n">
        <v>2160</v>
      </c>
      <c r="F431" s="13" t="n">
        <v>242</v>
      </c>
      <c r="G431" s="13" t="n">
        <v>7084</v>
      </c>
      <c r="H431" t="inlineStr"/>
    </row>
    <row r="432">
      <c r="A432" t="inlineStr">
        <is>
          <t>Корпус</t>
        </is>
      </c>
      <c r="B432" s="5" t="n">
        <v>5</v>
      </c>
      <c r="C432" s="5" t="n">
        <v>5</v>
      </c>
      <c r="D432" s="5" t="n">
        <v>11</v>
      </c>
      <c r="E432" s="13" t="n">
        <v>20045</v>
      </c>
      <c r="F432" s="13" t="n">
        <v>11950</v>
      </c>
      <c r="G432" s="13" t="n">
        <v>29995</v>
      </c>
      <c r="H432" t="inlineStr">
        <is>
          <t>GAMEMAX (3), 2E (1), Vinga (1)</t>
        </is>
      </c>
    </row>
    <row r="433">
      <c r="A433" t="inlineStr">
        <is>
          <t>Комплект клавіатура</t>
        </is>
      </c>
      <c r="B433" s="5" t="n">
        <v>5</v>
      </c>
      <c r="C433" s="5" t="n">
        <v>5</v>
      </c>
      <c r="D433" s="5" t="n">
        <v>8</v>
      </c>
      <c r="E433" s="13" t="n">
        <v>5100</v>
      </c>
      <c r="F433" s="13" t="n">
        <v>1099</v>
      </c>
      <c r="G433" s="13" t="n">
        <v>29995</v>
      </c>
      <c r="H433" t="inlineStr">
        <is>
          <t>A4Tech (2), Logitech (1)</t>
        </is>
      </c>
    </row>
    <row r="434">
      <c r="A434" t="inlineStr">
        <is>
          <t>Карта пам’яті</t>
        </is>
      </c>
      <c r="B434" s="5" t="n">
        <v>5</v>
      </c>
      <c r="C434" s="5" t="n">
        <v>3</v>
      </c>
      <c r="D434" s="5" t="n">
        <v>145</v>
      </c>
      <c r="E434" s="13" t="n">
        <v>470</v>
      </c>
      <c r="F434" s="13" t="n">
        <v>299.25</v>
      </c>
      <c r="G434" s="13" t="n">
        <v>49636.4</v>
      </c>
      <c r="H434" t="inlineStr"/>
    </row>
    <row r="435">
      <c r="A435" t="inlineStr">
        <is>
          <t>Оптичний привід</t>
        </is>
      </c>
      <c r="B435" s="5" t="n">
        <v>5</v>
      </c>
      <c r="C435" s="5" t="n">
        <v>5</v>
      </c>
      <c r="D435" s="5" t="n">
        <v>13</v>
      </c>
      <c r="E435" s="13" t="n">
        <v>1493</v>
      </c>
      <c r="F435" s="13" t="n">
        <v>1110</v>
      </c>
      <c r="G435" s="13" t="n">
        <v>2080</v>
      </c>
      <c r="H435" t="inlineStr">
        <is>
          <t>ASUS (4)</t>
        </is>
      </c>
    </row>
    <row r="436">
      <c r="A436" t="inlineStr">
        <is>
          <t>Пристрій безперебійного живлення</t>
        </is>
      </c>
      <c r="B436" s="5" t="n">
        <v>5</v>
      </c>
      <c r="C436" s="5" t="n">
        <v>5</v>
      </c>
      <c r="D436" s="5" t="n">
        <v>17</v>
      </c>
      <c r="E436" s="13" t="n">
        <v>4566.66</v>
      </c>
      <c r="F436" s="13" t="n">
        <v>2200</v>
      </c>
      <c r="G436" s="13" t="n">
        <v>11250</v>
      </c>
      <c r="H436" t="inlineStr">
        <is>
          <t>Maxxter (1), Powercom (1)</t>
        </is>
      </c>
    </row>
    <row r="437">
      <c r="A437" t="inlineStr">
        <is>
          <t>Килимок для мишки</t>
        </is>
      </c>
      <c r="B437" s="5" t="n">
        <v>5</v>
      </c>
      <c r="C437" s="5" t="n">
        <v>5</v>
      </c>
      <c r="D437" s="5" t="n">
        <v>14</v>
      </c>
      <c r="E437" s="13" t="n">
        <v>69</v>
      </c>
      <c r="F437" s="13" t="n">
        <v>53.09</v>
      </c>
      <c r="G437" s="13" t="n">
        <v>427.5</v>
      </c>
      <c r="H437" t="inlineStr">
        <is>
          <t>Gembird (2)</t>
        </is>
      </c>
    </row>
    <row r="438">
      <c r="A438" t="inlineStr">
        <is>
          <t>Веб-камери</t>
        </is>
      </c>
      <c r="B438" s="5" t="n">
        <v>5</v>
      </c>
      <c r="C438" s="5" t="n">
        <v>5</v>
      </c>
      <c r="D438" s="5" t="n">
        <v>68</v>
      </c>
      <c r="E438" s="13" t="n">
        <v>1300</v>
      </c>
      <c r="F438" s="13" t="n">
        <v>500</v>
      </c>
      <c r="G438" s="13" t="n">
        <v>1400</v>
      </c>
      <c r="H438" t="inlineStr"/>
    </row>
    <row r="439">
      <c r="A439" t="inlineStr">
        <is>
          <t>Сканер</t>
        </is>
      </c>
      <c r="B439" s="5" t="n">
        <v>5</v>
      </c>
      <c r="C439" s="5" t="n">
        <v>5</v>
      </c>
      <c r="D439" s="5" t="n">
        <v>9</v>
      </c>
      <c r="E439" s="13" t="n">
        <v>29000</v>
      </c>
      <c r="F439" s="13" t="n">
        <v>3500.04</v>
      </c>
      <c r="G439" s="13" t="n">
        <v>30600</v>
      </c>
      <c r="H439" t="inlineStr">
        <is>
          <t>Canon (3)</t>
        </is>
      </c>
    </row>
    <row r="440">
      <c r="A440" t="inlineStr">
        <is>
          <t>Клавіатури</t>
        </is>
      </c>
      <c r="B440" s="5" t="n">
        <v>5</v>
      </c>
      <c r="C440" s="5" t="n">
        <v>5</v>
      </c>
      <c r="D440" s="5" t="n">
        <v>325</v>
      </c>
      <c r="E440" s="13" t="n">
        <v>1097.8</v>
      </c>
      <c r="F440" s="13" t="n">
        <v>200</v>
      </c>
      <c r="G440" s="13" t="n">
        <v>59800</v>
      </c>
      <c r="H440" t="inlineStr">
        <is>
          <t>Vinga (1)</t>
        </is>
      </c>
    </row>
    <row r="441">
      <c r="A441" t="inlineStr">
        <is>
          <t>Флеш-драйв</t>
        </is>
      </c>
      <c r="B441" s="5" t="n">
        <v>4</v>
      </c>
      <c r="C441" s="5" t="n">
        <v>2</v>
      </c>
      <c r="D441" s="5" t="n">
        <v>378</v>
      </c>
      <c r="E441" s="13" t="n">
        <v>992.66</v>
      </c>
      <c r="F441" s="13" t="n">
        <v>395</v>
      </c>
      <c r="G441" s="13" t="n">
        <v>3067.77</v>
      </c>
      <c r="H441" t="inlineStr"/>
    </row>
    <row r="442">
      <c r="A442" t="inlineStr">
        <is>
          <t>Комп'ютер в комплектації</t>
        </is>
      </c>
      <c r="B442" s="5" t="n">
        <v>4</v>
      </c>
      <c r="C442" s="5" t="n">
        <v>4</v>
      </c>
      <c r="D442" s="5" t="n">
        <v>52</v>
      </c>
      <c r="E442" s="13" t="n">
        <v>36266.67</v>
      </c>
      <c r="F442" s="13" t="n">
        <v>30258</v>
      </c>
      <c r="G442" s="13" t="n">
        <v>37533.33</v>
      </c>
      <c r="H442" t="inlineStr"/>
    </row>
    <row r="443">
      <c r="A443" t="inlineStr">
        <is>
          <t>Комп ютерне обладнання</t>
        </is>
      </c>
      <c r="B443" s="5" t="n">
        <v>4</v>
      </c>
      <c r="C443" s="5" t="n">
        <v>4</v>
      </c>
      <c r="D443" s="5" t="n">
        <v>16</v>
      </c>
      <c r="E443" s="13" t="n">
        <v>3333.34</v>
      </c>
      <c r="F443" s="13" t="n">
        <v>310</v>
      </c>
      <c r="G443" s="13" t="n">
        <v>19900</v>
      </c>
      <c r="H443" t="inlineStr">
        <is>
          <t>Logitech (1)</t>
        </is>
      </c>
    </row>
    <row r="444">
      <c r="A444" t="inlineStr">
        <is>
          <t>Комплект обладнання для</t>
        </is>
      </c>
      <c r="B444" s="5" t="n">
        <v>4</v>
      </c>
      <c r="C444" s="5" t="n">
        <v>3</v>
      </c>
      <c r="D444" s="5" t="n">
        <v>19</v>
      </c>
      <c r="E444" s="13" t="n">
        <v>218875</v>
      </c>
      <c r="F444" s="13" t="n">
        <v>48611.11</v>
      </c>
      <c r="G444" s="13" t="n">
        <v>321083.33</v>
      </c>
      <c r="H444" t="inlineStr"/>
    </row>
    <row r="445">
      <c r="A445" t="inlineStr">
        <is>
          <t>Флеш пам'ять</t>
        </is>
      </c>
      <c r="B445" s="5" t="n">
        <v>4</v>
      </c>
      <c r="C445" s="5" t="n">
        <v>3</v>
      </c>
      <c r="D445" s="5" t="n">
        <v>202</v>
      </c>
      <c r="E445" s="13" t="n">
        <v>489.5</v>
      </c>
      <c r="F445" s="13" t="n">
        <v>419</v>
      </c>
      <c r="G445" s="13" t="n">
        <v>4730</v>
      </c>
      <c r="H445" t="inlineStr">
        <is>
          <t>ADATA (1)</t>
        </is>
      </c>
    </row>
    <row r="446">
      <c r="A446" t="inlineStr">
        <is>
          <t>Відеокарти</t>
        </is>
      </c>
      <c r="B446" s="5" t="n">
        <v>4</v>
      </c>
      <c r="C446" s="5" t="n">
        <v>3</v>
      </c>
      <c r="D446" s="5" t="n">
        <v>4</v>
      </c>
      <c r="E446" s="13" t="n">
        <v>45799.24</v>
      </c>
      <c r="F446" s="13" t="n">
        <v>29800</v>
      </c>
      <c r="G446" s="13" t="n">
        <v>61798.49</v>
      </c>
      <c r="H446" t="inlineStr"/>
    </row>
    <row r="447">
      <c r="A447" t="inlineStr">
        <is>
          <t>Системний блок нео</t>
        </is>
      </c>
      <c r="B447" s="5" t="n">
        <v>4</v>
      </c>
      <c r="C447" s="5" t="n">
        <v>4</v>
      </c>
      <c r="D447" s="5" t="n">
        <v>7</v>
      </c>
      <c r="E447" s="13" t="n">
        <v>28878.1</v>
      </c>
      <c r="F447" s="13" t="n">
        <v>16360</v>
      </c>
      <c r="G447" s="13" t="n">
        <v>42000</v>
      </c>
      <c r="H447" t="inlineStr">
        <is>
          <t>AMD (2), NVIDIA (1)</t>
        </is>
      </c>
    </row>
    <row r="448">
      <c r="A448" t="inlineStr">
        <is>
          <t>Сканери</t>
        </is>
      </c>
      <c r="B448" s="5" t="n">
        <v>4</v>
      </c>
      <c r="C448" s="5" t="n">
        <v>4</v>
      </c>
      <c r="D448" s="5" t="n">
        <v>20</v>
      </c>
      <c r="E448" s="13" t="n">
        <v>35000</v>
      </c>
      <c r="F448" s="13" t="n">
        <v>19999</v>
      </c>
      <c r="G448" s="13" t="n">
        <v>35730</v>
      </c>
      <c r="H448" t="inlineStr"/>
    </row>
    <row r="449">
      <c r="A449" t="inlineStr">
        <is>
          <t>Акустична система</t>
        </is>
      </c>
      <c r="B449" s="5" t="n">
        <v>4</v>
      </c>
      <c r="C449" s="5" t="n">
        <v>4</v>
      </c>
      <c r="D449" s="5" t="n">
        <v>6</v>
      </c>
      <c r="E449" s="13" t="n">
        <v>7915</v>
      </c>
      <c r="F449" s="13" t="n">
        <v>1675</v>
      </c>
      <c r="G449" s="13" t="n">
        <v>13684</v>
      </c>
      <c r="H449" t="inlineStr">
        <is>
          <t>Xiaomi (1)</t>
        </is>
      </c>
    </row>
    <row r="450">
      <c r="A450" t="inlineStr">
        <is>
          <t>Джерело безперебійного живлення</t>
        </is>
      </c>
      <c r="B450" s="5" t="n">
        <v>4</v>
      </c>
      <c r="C450" s="5" t="n">
        <v>4</v>
      </c>
      <c r="D450" s="5" t="n">
        <v>7</v>
      </c>
      <c r="E450" s="13" t="n">
        <v>7005</v>
      </c>
      <c r="F450" s="13" t="n">
        <v>2099</v>
      </c>
      <c r="G450" s="13" t="n">
        <v>135000</v>
      </c>
      <c r="H450" t="inlineStr">
        <is>
          <t>Trust (1), Vinga (1)</t>
        </is>
      </c>
    </row>
    <row r="451">
      <c r="A451" t="inlineStr">
        <is>
          <t>Твердотілий накопичувач</t>
        </is>
      </c>
      <c r="B451" s="5" t="n">
        <v>4</v>
      </c>
      <c r="C451" s="5" t="n">
        <v>4</v>
      </c>
      <c r="D451" s="5" t="n">
        <v>6</v>
      </c>
      <c r="E451" s="13" t="n">
        <v>1835</v>
      </c>
      <c r="F451" s="13" t="n">
        <v>1115</v>
      </c>
      <c r="G451" s="13" t="n">
        <v>6380.56</v>
      </c>
      <c r="H451" t="inlineStr"/>
    </row>
    <row r="452">
      <c r="A452" t="inlineStr">
        <is>
          <t>Кабель живлення</t>
        </is>
      </c>
      <c r="B452" s="5" t="n">
        <v>4</v>
      </c>
      <c r="C452" s="5" t="n">
        <v>4</v>
      </c>
      <c r="D452" s="5" t="n">
        <v>8</v>
      </c>
      <c r="E452" s="13" t="n">
        <v>1254</v>
      </c>
      <c r="F452" s="13" t="n">
        <v>798</v>
      </c>
      <c r="G452" s="13" t="n">
        <v>13736</v>
      </c>
      <c r="H452" t="inlineStr"/>
    </row>
    <row r="453">
      <c r="A453" t="inlineStr">
        <is>
          <t>Термопаста</t>
        </is>
      </c>
      <c r="B453" s="5" t="n">
        <v>4</v>
      </c>
      <c r="C453" s="5" t="n">
        <v>4</v>
      </c>
      <c r="D453" s="5" t="n">
        <v>4</v>
      </c>
      <c r="E453" s="13" t="n">
        <v>3458.5</v>
      </c>
      <c r="F453" s="13" t="n">
        <v>1465</v>
      </c>
      <c r="G453" s="13" t="n">
        <v>7084</v>
      </c>
      <c r="H453" t="inlineStr"/>
    </row>
    <row r="454">
      <c r="A454" t="inlineStr">
        <is>
          <t>Кулер для процесора</t>
        </is>
      </c>
      <c r="B454" s="5" t="n">
        <v>4</v>
      </c>
      <c r="C454" s="5" t="n">
        <v>4</v>
      </c>
      <c r="D454" s="5" t="n">
        <v>9</v>
      </c>
      <c r="E454" s="13" t="n">
        <v>20972.5</v>
      </c>
      <c r="F454" s="13" t="n">
        <v>7200</v>
      </c>
      <c r="G454" s="13" t="n">
        <v>160000</v>
      </c>
      <c r="H454" t="inlineStr">
        <is>
          <t>Deepcool (1)</t>
        </is>
      </c>
    </row>
    <row r="455">
      <c r="A455" t="inlineStr">
        <is>
          <t>Комутатор мережевий</t>
        </is>
      </c>
      <c r="B455" s="5" t="n">
        <v>4</v>
      </c>
      <c r="C455" s="5" t="n">
        <v>3</v>
      </c>
      <c r="D455" s="5" t="n">
        <v>6</v>
      </c>
      <c r="E455" s="13" t="n">
        <v>11402.25</v>
      </c>
      <c r="F455" s="13" t="n">
        <v>5488.98</v>
      </c>
      <c r="G455" s="13" t="n">
        <v>18137</v>
      </c>
      <c r="H455" t="inlineStr">
        <is>
          <t>TP-Link (1)</t>
        </is>
      </c>
    </row>
    <row r="456">
      <c r="A456" t="inlineStr">
        <is>
          <t>Комп'ютер настільний</t>
        </is>
      </c>
      <c r="B456" s="5" t="n">
        <v>4</v>
      </c>
      <c r="C456" s="5" t="n">
        <v>4</v>
      </c>
      <c r="D456" s="5" t="n">
        <v>20</v>
      </c>
      <c r="E456" s="13" t="n">
        <v>17500</v>
      </c>
      <c r="F456" s="13" t="n">
        <v>14200</v>
      </c>
      <c r="G456" s="13" t="n">
        <v>18125</v>
      </c>
      <c r="H456" t="inlineStr">
        <is>
          <t>Intel (4)</t>
        </is>
      </c>
    </row>
    <row r="457">
      <c r="A457" t="inlineStr">
        <is>
          <t>Ноутбуки діагональ екрану</t>
        </is>
      </c>
      <c r="B457" s="5" t="n">
        <v>4</v>
      </c>
      <c r="C457" s="5" t="n">
        <v>3</v>
      </c>
      <c r="D457" s="5" t="n">
        <v>40</v>
      </c>
      <c r="E457" s="13" t="n">
        <v>34000</v>
      </c>
      <c r="F457" s="13" t="n">
        <v>34000</v>
      </c>
      <c r="G457" s="13" t="n">
        <v>43000</v>
      </c>
      <c r="H457" t="inlineStr"/>
    </row>
    <row r="458">
      <c r="A458" t="inlineStr">
        <is>
          <t>Мережеве активне</t>
        </is>
      </c>
      <c r="B458" s="5" t="n">
        <v>3</v>
      </c>
      <c r="C458" s="5" t="n">
        <v>3</v>
      </c>
      <c r="D458" s="5" t="n">
        <v>5</v>
      </c>
      <c r="E458" s="13" t="n">
        <v>2373</v>
      </c>
      <c r="F458" s="13" t="n">
        <v>845.5</v>
      </c>
      <c r="G458" s="13" t="n">
        <v>4099</v>
      </c>
      <c r="H458" t="inlineStr">
        <is>
          <t>TP-Link (3)</t>
        </is>
      </c>
    </row>
    <row r="459">
      <c r="A459" t="inlineStr">
        <is>
          <t>Бфп лазерний кольоровий</t>
        </is>
      </c>
      <c r="B459" s="5" t="n">
        <v>3</v>
      </c>
      <c r="C459" s="5" t="n">
        <v>3</v>
      </c>
      <c r="D459" s="5" t="n">
        <v>3</v>
      </c>
      <c r="E459" s="13" t="n">
        <v>78000</v>
      </c>
      <c r="F459" s="13" t="n">
        <v>78000</v>
      </c>
      <c r="G459" s="13" t="n">
        <v>87000</v>
      </c>
      <c r="H459" t="inlineStr"/>
    </row>
    <row r="460">
      <c r="A460" t="inlineStr">
        <is>
          <t>Кришка матриці ноутбука</t>
        </is>
      </c>
      <c r="B460" s="5" t="n">
        <v>3</v>
      </c>
      <c r="C460" s="5" t="n">
        <v>3</v>
      </c>
      <c r="D460" s="5" t="n">
        <v>3</v>
      </c>
      <c r="E460" s="13" t="n">
        <v>1600</v>
      </c>
      <c r="F460" s="13" t="n">
        <v>1400</v>
      </c>
      <c r="G460" s="13" t="n">
        <v>1900</v>
      </c>
      <c r="H460" t="inlineStr">
        <is>
          <t>ASUS (2)</t>
        </is>
      </c>
    </row>
    <row r="461">
      <c r="A461" t="inlineStr">
        <is>
          <t>Плотер</t>
        </is>
      </c>
      <c r="B461" s="5" t="n">
        <v>3</v>
      </c>
      <c r="C461" s="5" t="n">
        <v>3</v>
      </c>
      <c r="D461" s="5" t="n">
        <v>4</v>
      </c>
      <c r="E461" s="13" t="n">
        <v>45471.47</v>
      </c>
      <c r="F461" s="13" t="n">
        <v>41246.52</v>
      </c>
      <c r="G461" s="13" t="n">
        <v>48004</v>
      </c>
      <c r="H461" t="inlineStr">
        <is>
          <t>HP (2), Canon (1)</t>
        </is>
      </c>
    </row>
    <row r="462">
      <c r="A462" t="inlineStr">
        <is>
          <t>Персональний компютер</t>
        </is>
      </c>
      <c r="B462" s="5" t="n">
        <v>3</v>
      </c>
      <c r="C462" s="5" t="n">
        <v>3</v>
      </c>
      <c r="D462" s="5" t="n">
        <v>7</v>
      </c>
      <c r="E462" s="13" t="n">
        <v>35328.61</v>
      </c>
      <c r="F462" s="13" t="n">
        <v>19699</v>
      </c>
      <c r="G462" s="13" t="n">
        <v>42100</v>
      </c>
      <c r="H462" t="inlineStr">
        <is>
          <t>Artline (1)</t>
        </is>
      </c>
    </row>
    <row r="463">
      <c r="A463" t="inlineStr">
        <is>
          <t>Персональні комп'ютери</t>
        </is>
      </c>
      <c r="B463" s="5" t="n">
        <v>3</v>
      </c>
      <c r="C463" s="5" t="n">
        <v>3</v>
      </c>
      <c r="D463" s="5" t="n">
        <v>7</v>
      </c>
      <c r="E463" s="13" t="n">
        <v>24956.08</v>
      </c>
      <c r="F463" s="13" t="n">
        <v>17699</v>
      </c>
      <c r="G463" s="13" t="n">
        <v>41250</v>
      </c>
      <c r="H463" t="inlineStr"/>
    </row>
    <row r="464">
      <c r="A464" t="inlineStr">
        <is>
          <t>Мережевий комп’ютер-сховище</t>
        </is>
      </c>
      <c r="B464" s="5" t="n">
        <v>3</v>
      </c>
      <c r="C464" s="5" t="n">
        <v>3</v>
      </c>
      <c r="D464" s="5" t="n">
        <v>3</v>
      </c>
      <c r="E464" s="13" t="n">
        <v>447440.15</v>
      </c>
      <c r="F464" s="13" t="n">
        <v>447440.15</v>
      </c>
      <c r="G464" s="13" t="n">
        <v>462833.33</v>
      </c>
      <c r="H464" t="inlineStr"/>
    </row>
    <row r="465">
      <c r="A465" t="inlineStr">
        <is>
          <t>Ноутбук з екраном</t>
        </is>
      </c>
      <c r="B465" s="5" t="n">
        <v>3</v>
      </c>
      <c r="C465" s="5" t="n">
        <v>3</v>
      </c>
      <c r="D465" s="5" t="n">
        <v>12</v>
      </c>
      <c r="E465" s="13" t="n">
        <v>111860.04</v>
      </c>
      <c r="F465" s="13" t="n">
        <v>111860.04</v>
      </c>
      <c r="G465" s="13" t="n">
        <v>115708.33</v>
      </c>
      <c r="H465" t="inlineStr"/>
    </row>
    <row r="466">
      <c r="A466" t="inlineStr">
        <is>
          <t>Графічний планшет з</t>
        </is>
      </c>
      <c r="B466" s="5" t="n">
        <v>3</v>
      </c>
      <c r="C466" s="5" t="n">
        <v>3</v>
      </c>
      <c r="D466" s="5" t="n">
        <v>9</v>
      </c>
      <c r="E466" s="13" t="n">
        <v>149146.72</v>
      </c>
      <c r="F466" s="13" t="n">
        <v>149146.72</v>
      </c>
      <c r="G466" s="13" t="n">
        <v>154277.78</v>
      </c>
      <c r="H466" t="inlineStr"/>
    </row>
    <row r="467">
      <c r="A467" t="inlineStr">
        <is>
          <t>Захищений носій особистих</t>
        </is>
      </c>
      <c r="B467" s="5" t="n">
        <v>3</v>
      </c>
      <c r="C467" s="5" t="n">
        <v>3</v>
      </c>
      <c r="D467" s="5" t="n">
        <v>4</v>
      </c>
      <c r="E467" s="13" t="n">
        <v>1225</v>
      </c>
      <c r="F467" s="13" t="n">
        <v>1035</v>
      </c>
      <c r="G467" s="13" t="n">
        <v>1225</v>
      </c>
      <c r="H467" t="inlineStr"/>
    </row>
    <row r="468">
      <c r="A468" t="inlineStr">
        <is>
          <t>Блоки живлення</t>
        </is>
      </c>
      <c r="B468" s="5" t="n">
        <v>3</v>
      </c>
      <c r="C468" s="5" t="n">
        <v>3</v>
      </c>
      <c r="D468" s="5" t="n">
        <v>12</v>
      </c>
      <c r="E468" s="13" t="n">
        <v>61798.49</v>
      </c>
      <c r="F468" s="13" t="n">
        <v>6150</v>
      </c>
      <c r="G468" s="13" t="n">
        <v>61798.49</v>
      </c>
      <c r="H468" t="inlineStr"/>
    </row>
    <row r="469">
      <c r="A469" t="inlineStr">
        <is>
          <t>Зовнішній</t>
        </is>
      </c>
      <c r="B469" s="5" t="n">
        <v>3</v>
      </c>
      <c r="C469" s="5" t="n">
        <v>3</v>
      </c>
      <c r="D469" s="5" t="n">
        <v>8</v>
      </c>
      <c r="E469" s="13" t="n">
        <v>4500</v>
      </c>
      <c r="F469" s="13" t="n">
        <v>1940</v>
      </c>
      <c r="G469" s="13" t="n">
        <v>9554</v>
      </c>
      <c r="H469" t="inlineStr">
        <is>
          <t>Seagate (1)</t>
        </is>
      </c>
    </row>
    <row r="470">
      <c r="A470" t="inlineStr">
        <is>
          <t>Карта памяті</t>
        </is>
      </c>
      <c r="B470" s="5" t="n">
        <v>3</v>
      </c>
      <c r="C470" s="5" t="n">
        <v>3</v>
      </c>
      <c r="D470" s="5" t="n">
        <v>3</v>
      </c>
      <c r="E470" s="13" t="n">
        <v>600</v>
      </c>
      <c r="F470" s="13" t="n">
        <v>399</v>
      </c>
      <c r="G470" s="13" t="n">
        <v>1380</v>
      </c>
      <c r="H470" t="inlineStr">
        <is>
          <t>Kingston (1)</t>
        </is>
      </c>
    </row>
    <row r="471">
      <c r="A471" t="inlineStr">
        <is>
          <t>Системні блоки</t>
        </is>
      </c>
      <c r="B471" s="5" t="n">
        <v>3</v>
      </c>
      <c r="C471" s="5" t="n">
        <v>3</v>
      </c>
      <c r="D471" s="5" t="n">
        <v>9</v>
      </c>
      <c r="E471" s="13" t="n">
        <v>33000</v>
      </c>
      <c r="F471" s="13" t="n">
        <v>2200</v>
      </c>
      <c r="G471" s="13" t="n">
        <v>45000</v>
      </c>
      <c r="H471" t="inlineStr">
        <is>
          <t>Intel (1), GOODRAM (1), ASUS (1)</t>
        </is>
      </c>
    </row>
    <row r="472">
      <c r="A472" t="inlineStr">
        <is>
          <t>Охолоджувач для процесора</t>
        </is>
      </c>
      <c r="B472" s="5" t="n">
        <v>3</v>
      </c>
      <c r="C472" s="5" t="n">
        <v>3</v>
      </c>
      <c r="D472" s="5" t="n">
        <v>3</v>
      </c>
      <c r="E472" s="13" t="n">
        <v>4757</v>
      </c>
      <c r="F472" s="13" t="n">
        <v>1465</v>
      </c>
      <c r="G472" s="13" t="n">
        <v>7084</v>
      </c>
      <c r="H472" t="inlineStr">
        <is>
          <t>Vinga (3)</t>
        </is>
      </c>
    </row>
    <row r="473">
      <c r="A473" t="inlineStr">
        <is>
          <t>Ноутбуки дк</t>
        </is>
      </c>
      <c r="B473" s="5" t="n">
        <v>3</v>
      </c>
      <c r="C473" s="5" t="n">
        <v>3</v>
      </c>
      <c r="D473" s="5" t="n">
        <v>75</v>
      </c>
      <c r="E473" s="13" t="n">
        <v>41000</v>
      </c>
      <c r="F473" s="13" t="n">
        <v>41000</v>
      </c>
      <c r="G473" s="13" t="n">
        <v>46000</v>
      </c>
      <c r="H473" t="inlineStr"/>
    </row>
    <row r="474">
      <c r="A474" t="inlineStr">
        <is>
          <t>Гарнітури для офісу</t>
        </is>
      </c>
      <c r="B474" s="5" t="n">
        <v>3</v>
      </c>
      <c r="C474" s="5" t="n">
        <v>3</v>
      </c>
      <c r="D474" s="5" t="n">
        <v>55</v>
      </c>
      <c r="E474" s="13" t="n">
        <v>1400</v>
      </c>
      <c r="F474" s="13" t="n">
        <v>1300</v>
      </c>
      <c r="G474" s="13" t="n">
        <v>1500</v>
      </c>
      <c r="H474" t="inlineStr"/>
    </row>
    <row r="475">
      <c r="A475" t="inlineStr">
        <is>
          <t>Багатофункціональні монохромні лазерні</t>
        </is>
      </c>
      <c r="B475" s="5" t="n">
        <v>3</v>
      </c>
      <c r="C475" s="5" t="n">
        <v>3</v>
      </c>
      <c r="D475" s="5" t="n">
        <v>140</v>
      </c>
      <c r="E475" s="13" t="n">
        <v>30000</v>
      </c>
      <c r="F475" s="13" t="n">
        <v>27250</v>
      </c>
      <c r="G475" s="13" t="n">
        <v>31000</v>
      </c>
      <c r="H475" t="inlineStr"/>
    </row>
    <row r="476">
      <c r="A476" t="inlineStr">
        <is>
          <t>Оперативна пам'ять для</t>
        </is>
      </c>
      <c r="B476" s="5" t="n">
        <v>3</v>
      </c>
      <c r="C476" s="5" t="n">
        <v>3</v>
      </c>
      <c r="D476" s="5" t="n">
        <v>5</v>
      </c>
      <c r="E476" s="13" t="n">
        <v>18200</v>
      </c>
      <c r="F476" s="13" t="n">
        <v>10053</v>
      </c>
      <c r="G476" s="13" t="n">
        <v>19870</v>
      </c>
      <c r="H476" t="inlineStr">
        <is>
          <t>Prologix (1)</t>
        </is>
      </c>
    </row>
    <row r="477">
      <c r="A477" t="inlineStr">
        <is>
          <t>Бфп ч б</t>
        </is>
      </c>
      <c r="B477" s="5" t="n">
        <v>3</v>
      </c>
      <c r="C477" s="5" t="n">
        <v>3</v>
      </c>
      <c r="D477" s="5" t="n">
        <v>3</v>
      </c>
      <c r="E477" s="13" t="n">
        <v>19950</v>
      </c>
      <c r="F477" s="13" t="n">
        <v>17800</v>
      </c>
      <c r="G477" s="13" t="n">
        <v>20000</v>
      </c>
      <c r="H477" t="inlineStr">
        <is>
          <t>Canon (3)</t>
        </is>
      </c>
    </row>
    <row r="478">
      <c r="A478" t="inlineStr">
        <is>
          <t>Придбання товару</t>
        </is>
      </c>
      <c r="B478" s="5" t="n">
        <v>3</v>
      </c>
      <c r="C478" s="5" t="n">
        <v>3</v>
      </c>
      <c r="D478" s="5" t="n">
        <v>8</v>
      </c>
      <c r="E478" s="13" t="n">
        <v>1560</v>
      </c>
      <c r="F478" s="13" t="n">
        <v>185</v>
      </c>
      <c r="G478" s="13" t="n">
        <v>1700</v>
      </c>
      <c r="H478" t="inlineStr"/>
    </row>
    <row r="479">
      <c r="A479" t="inlineStr">
        <is>
          <t>Комп'ютер системний блок</t>
        </is>
      </c>
      <c r="B479" s="5" t="n">
        <v>3</v>
      </c>
      <c r="C479" s="5" t="n">
        <v>3</v>
      </c>
      <c r="D479" s="5" t="n">
        <v>11</v>
      </c>
      <c r="E479" s="13" t="n">
        <v>24100</v>
      </c>
      <c r="F479" s="13" t="n">
        <v>16000</v>
      </c>
      <c r="G479" s="13" t="n">
        <v>32700</v>
      </c>
      <c r="H479" t="inlineStr">
        <is>
          <t>Vinga (1), Microsoft (1)</t>
        </is>
      </c>
    </row>
    <row r="480">
      <c r="A480" t="inlineStr">
        <is>
          <t>Комп'ютерна миша</t>
        </is>
      </c>
      <c r="B480" s="5" t="n">
        <v>3</v>
      </c>
      <c r="C480" s="5" t="n">
        <v>3</v>
      </c>
      <c r="D480" s="5" t="n">
        <v>42</v>
      </c>
      <c r="E480" s="13" t="n">
        <v>15380</v>
      </c>
      <c r="F480" s="13" t="n">
        <v>657.5</v>
      </c>
      <c r="G480" s="13" t="n">
        <v>15380</v>
      </c>
      <c r="H480" t="inlineStr">
        <is>
          <t>Logitech (1)</t>
        </is>
      </c>
    </row>
    <row r="481">
      <c r="A481" t="inlineStr">
        <is>
          <t>Багатофункціональний пристрій струменевий</t>
        </is>
      </c>
      <c r="B481" s="5" t="n">
        <v>3</v>
      </c>
      <c r="C481" s="5" t="n">
        <v>3</v>
      </c>
      <c r="D481" s="5" t="n">
        <v>3</v>
      </c>
      <c r="E481" s="13" t="n">
        <v>36435</v>
      </c>
      <c r="F481" s="13" t="n">
        <v>9257</v>
      </c>
      <c r="G481" s="13" t="n">
        <v>37000</v>
      </c>
      <c r="H481" t="inlineStr">
        <is>
          <t>Epson (1)</t>
        </is>
      </c>
    </row>
    <row r="482">
      <c r="A482" t="inlineStr">
        <is>
          <t>Персональні комп’ютери в</t>
        </is>
      </c>
      <c r="B482" s="5" t="n">
        <v>3</v>
      </c>
      <c r="C482" s="5" t="n">
        <v>3</v>
      </c>
      <c r="D482" s="5" t="n">
        <v>6</v>
      </c>
      <c r="E482" s="13" t="n">
        <v>43530</v>
      </c>
      <c r="F482" s="13" t="n">
        <v>29000</v>
      </c>
      <c r="G482" s="13" t="n">
        <v>43530</v>
      </c>
      <c r="H482" t="inlineStr"/>
    </row>
    <row r="483">
      <c r="A483" t="inlineStr">
        <is>
          <t>Флеш-пам'ять</t>
        </is>
      </c>
      <c r="B483" s="5" t="n">
        <v>3</v>
      </c>
      <c r="C483" s="5" t="n">
        <v>2</v>
      </c>
      <c r="D483" s="5" t="n">
        <v>22</v>
      </c>
      <c r="E483" s="13" t="n">
        <v>29865</v>
      </c>
      <c r="F483" s="13" t="n">
        <v>289</v>
      </c>
      <c r="G483" s="13" t="n">
        <v>29865</v>
      </c>
      <c r="H483" t="inlineStr"/>
    </row>
    <row r="484">
      <c r="A484" t="inlineStr">
        <is>
          <t>3d принтер</t>
        </is>
      </c>
      <c r="B484" s="5" t="n">
        <v>3</v>
      </c>
      <c r="C484" s="5" t="n">
        <v>3</v>
      </c>
      <c r="D484" s="5" t="n">
        <v>4</v>
      </c>
      <c r="E484" s="13" t="n">
        <v>145000</v>
      </c>
      <c r="F484" s="13" t="n">
        <v>100000</v>
      </c>
      <c r="G484" s="13" t="n">
        <v>153250</v>
      </c>
      <c r="H484" t="inlineStr"/>
    </row>
    <row r="485">
      <c r="A485" t="inlineStr">
        <is>
          <t>Бфп струменевий</t>
        </is>
      </c>
      <c r="B485" s="5" t="n">
        <v>3</v>
      </c>
      <c r="C485" s="5" t="n">
        <v>3</v>
      </c>
      <c r="D485" s="5" t="n">
        <v>14</v>
      </c>
      <c r="E485" s="13" t="n">
        <v>6600</v>
      </c>
      <c r="F485" s="13" t="n">
        <v>4000</v>
      </c>
      <c r="G485" s="13" t="n">
        <v>22000</v>
      </c>
      <c r="H485" t="inlineStr">
        <is>
          <t>Canon (3)</t>
        </is>
      </c>
    </row>
    <row r="486">
      <c r="A486" t="inlineStr">
        <is>
          <t>Зовнішній накопичувач</t>
        </is>
      </c>
      <c r="B486" s="5" t="n">
        <v>3</v>
      </c>
      <c r="C486" s="5" t="n">
        <v>3</v>
      </c>
      <c r="D486" s="5" t="n">
        <v>3</v>
      </c>
      <c r="E486" s="13" t="n">
        <v>2699</v>
      </c>
      <c r="F486" s="13" t="n">
        <v>2234</v>
      </c>
      <c r="G486" s="13" t="n">
        <v>4820</v>
      </c>
      <c r="H486" t="inlineStr">
        <is>
          <t>ADATA (1)</t>
        </is>
      </c>
    </row>
    <row r="487">
      <c r="A487" t="inlineStr">
        <is>
          <t>Персональні комп’ютери</t>
        </is>
      </c>
      <c r="B487" s="5" t="n">
        <v>3</v>
      </c>
      <c r="C487" s="5" t="n">
        <v>3</v>
      </c>
      <c r="D487" s="5" t="n">
        <v>146</v>
      </c>
      <c r="E487" s="13" t="n">
        <v>23000</v>
      </c>
      <c r="F487" s="13" t="n">
        <v>23000</v>
      </c>
      <c r="G487" s="13" t="n">
        <v>27000</v>
      </c>
      <c r="H487" t="inlineStr"/>
    </row>
    <row r="488">
      <c r="A488" t="inlineStr">
        <is>
          <t>Графічні планшети</t>
        </is>
      </c>
      <c r="B488" s="5" t="n">
        <v>3</v>
      </c>
      <c r="C488" s="5" t="n">
        <v>3</v>
      </c>
      <c r="D488" s="5" t="n">
        <v>61</v>
      </c>
      <c r="E488" s="13" t="n">
        <v>20500</v>
      </c>
      <c r="F488" s="13" t="n">
        <v>2000</v>
      </c>
      <c r="G488" s="13" t="n">
        <v>21000</v>
      </c>
      <c r="H488" t="inlineStr"/>
    </row>
    <row r="489">
      <c r="A489" t="inlineStr">
        <is>
          <t>Мережева карта</t>
        </is>
      </c>
      <c r="B489" s="5" t="n">
        <v>3</v>
      </c>
      <c r="C489" s="5" t="n">
        <v>3</v>
      </c>
      <c r="D489" s="5" t="n">
        <v>7</v>
      </c>
      <c r="E489" s="13" t="n">
        <v>500</v>
      </c>
      <c r="F489" s="13" t="n">
        <v>294</v>
      </c>
      <c r="G489" s="13" t="n">
        <v>18762</v>
      </c>
      <c r="H489" t="inlineStr">
        <is>
          <t>TP-Link (1)</t>
        </is>
      </c>
    </row>
    <row r="490">
      <c r="A490" t="inlineStr">
        <is>
          <t>Комп'ютери настільні нуш</t>
        </is>
      </c>
      <c r="B490" s="5" t="n">
        <v>3</v>
      </c>
      <c r="C490" s="5" t="n">
        <v>3</v>
      </c>
      <c r="D490" s="5" t="n">
        <v>7</v>
      </c>
      <c r="E490" s="13" t="n">
        <v>33333.33</v>
      </c>
      <c r="F490" s="13" t="n">
        <v>21000</v>
      </c>
      <c r="G490" s="13" t="n">
        <v>35000</v>
      </c>
      <c r="H490" t="inlineStr"/>
    </row>
    <row r="491">
      <c r="A491" t="inlineStr">
        <is>
          <t>Принтер струменевий кольоровий</t>
        </is>
      </c>
      <c r="B491" s="5" t="n">
        <v>3</v>
      </c>
      <c r="C491" s="5" t="n">
        <v>3</v>
      </c>
      <c r="D491" s="5" t="n">
        <v>4</v>
      </c>
      <c r="E491" s="13" t="n">
        <v>15500</v>
      </c>
      <c r="F491" s="13" t="n">
        <v>10000</v>
      </c>
      <c r="G491" s="13" t="n">
        <v>15500</v>
      </c>
      <c r="H491" t="inlineStr"/>
    </row>
    <row r="492">
      <c r="A492" t="inlineStr">
        <is>
          <t>Зовнішня кишеня контейнер</t>
        </is>
      </c>
      <c r="B492" s="5" t="n">
        <v>2</v>
      </c>
      <c r="C492" s="5" t="n">
        <v>2</v>
      </c>
      <c r="D492" s="5" t="n">
        <v>2</v>
      </c>
      <c r="E492" s="13" t="n">
        <v>1670</v>
      </c>
      <c r="F492" s="13" t="n">
        <v>1670</v>
      </c>
      <c r="G492" s="13" t="n">
        <v>1670</v>
      </c>
      <c r="H492" t="inlineStr"/>
    </row>
    <row r="493">
      <c r="A493" t="inlineStr">
        <is>
          <t>Контролер</t>
        </is>
      </c>
      <c r="B493" s="5" t="n">
        <v>2</v>
      </c>
      <c r="C493" s="5" t="n">
        <v>2</v>
      </c>
      <c r="D493" s="5" t="n">
        <v>2</v>
      </c>
      <c r="E493" s="13" t="n">
        <v>84800</v>
      </c>
      <c r="F493" s="13" t="n">
        <v>9600</v>
      </c>
      <c r="G493" s="13" t="n">
        <v>160000</v>
      </c>
      <c r="H493" t="inlineStr">
        <is>
          <t>Gembird (1), ASUS (1)</t>
        </is>
      </c>
    </row>
    <row r="494">
      <c r="A494" t="inlineStr">
        <is>
          <t>Наклейка на клавіатуру</t>
        </is>
      </c>
      <c r="B494" s="5" t="n">
        <v>2</v>
      </c>
      <c r="C494" s="5" t="n">
        <v>1</v>
      </c>
      <c r="D494" s="5" t="n">
        <v>30</v>
      </c>
      <c r="E494" s="13" t="n">
        <v>100</v>
      </c>
      <c r="F494" s="13" t="n">
        <v>100</v>
      </c>
      <c r="G494" s="13" t="n">
        <v>100</v>
      </c>
      <c r="H494" t="inlineStr"/>
    </row>
    <row r="495">
      <c r="A495" t="inlineStr">
        <is>
          <t>Моноблок код дк</t>
        </is>
      </c>
      <c r="B495" s="5" t="n">
        <v>2</v>
      </c>
      <c r="C495" s="5" t="n">
        <v>2</v>
      </c>
      <c r="D495" s="5" t="n">
        <v>34</v>
      </c>
      <c r="E495" s="13" t="n">
        <v>31975</v>
      </c>
      <c r="F495" s="13" t="n">
        <v>31975</v>
      </c>
      <c r="G495" s="13" t="n">
        <v>31975</v>
      </c>
      <c r="H495" t="inlineStr"/>
    </row>
    <row r="496">
      <c r="A496" t="inlineStr">
        <is>
          <t>Блок живлення ноутбука</t>
        </is>
      </c>
      <c r="B496" s="5" t="n">
        <v>2</v>
      </c>
      <c r="C496" s="5" t="n">
        <v>2</v>
      </c>
      <c r="D496" s="5" t="n">
        <v>2</v>
      </c>
      <c r="E496" s="13" t="n">
        <v>2010</v>
      </c>
      <c r="F496" s="13" t="n">
        <v>1900</v>
      </c>
      <c r="G496" s="13" t="n">
        <v>2120</v>
      </c>
      <c r="H496" t="inlineStr"/>
    </row>
    <row r="497">
      <c r="A497" t="inlineStr">
        <is>
          <t>Клавіатура дротова повнорозмірна</t>
        </is>
      </c>
      <c r="B497" s="5" t="n">
        <v>2</v>
      </c>
      <c r="C497" s="5" t="n">
        <v>2</v>
      </c>
      <c r="D497" s="5" t="n">
        <v>7</v>
      </c>
      <c r="E497" s="13" t="n">
        <v>1383.74</v>
      </c>
      <c r="F497" s="13" t="n">
        <v>1378.98</v>
      </c>
      <c r="G497" s="13" t="n">
        <v>1388.5</v>
      </c>
      <c r="H497" t="inlineStr"/>
    </row>
    <row r="498">
      <c r="A498" t="inlineStr">
        <is>
          <t>Монітор аос</t>
        </is>
      </c>
      <c r="B498" s="5" t="n">
        <v>2</v>
      </c>
      <c r="C498" s="5" t="n">
        <v>2</v>
      </c>
      <c r="D498" s="5" t="n">
        <v>2</v>
      </c>
      <c r="E498" s="13" t="n">
        <v>7418</v>
      </c>
      <c r="F498" s="13" t="n">
        <v>4276</v>
      </c>
      <c r="G498" s="13" t="n">
        <v>10560</v>
      </c>
      <c r="H498" t="inlineStr"/>
    </row>
    <row r="499">
      <c r="A499" t="inlineStr">
        <is>
          <t>Оперативна пам'ять та</t>
        </is>
      </c>
      <c r="B499" s="5" t="n">
        <v>2</v>
      </c>
      <c r="C499" s="5" t="n">
        <v>2</v>
      </c>
      <c r="D499" s="5" t="n">
        <v>6</v>
      </c>
      <c r="E499" s="13" t="n">
        <v>1875</v>
      </c>
      <c r="F499" s="13" t="n">
        <v>1875</v>
      </c>
      <c r="G499" s="13" t="n">
        <v>1875</v>
      </c>
      <c r="H499" t="inlineStr"/>
    </row>
    <row r="500">
      <c r="A500" t="inlineStr">
        <is>
          <t>Жорсткий диск для</t>
        </is>
      </c>
      <c r="B500" s="5" t="n">
        <v>2</v>
      </c>
      <c r="C500" s="5" t="n">
        <v>2</v>
      </c>
      <c r="D500" s="5" t="n">
        <v>6</v>
      </c>
      <c r="E500" s="13" t="n">
        <v>2755</v>
      </c>
      <c r="F500" s="13" t="n">
        <v>2755</v>
      </c>
      <c r="G500" s="13" t="n">
        <v>2755</v>
      </c>
      <c r="H500" t="inlineStr">
        <is>
          <t>Seagate (1)</t>
        </is>
      </c>
    </row>
    <row r="501">
      <c r="A501" t="inlineStr">
        <is>
          <t>Персональний комп’ютер в</t>
        </is>
      </c>
      <c r="B501" s="5" t="n">
        <v>2</v>
      </c>
      <c r="C501" s="5" t="n">
        <v>2</v>
      </c>
      <c r="D501" s="5" t="n">
        <v>5</v>
      </c>
      <c r="E501" s="13" t="n">
        <v>34621.67</v>
      </c>
      <c r="F501" s="13" t="n">
        <v>25143.33</v>
      </c>
      <c r="G501" s="13" t="n">
        <v>44100</v>
      </c>
      <c r="H501" t="inlineStr">
        <is>
          <t>Artline (1), AMD (1), Intel (1)</t>
        </is>
      </c>
    </row>
    <row r="502">
      <c r="A502" t="inlineStr">
        <is>
          <t>Кронштейн</t>
        </is>
      </c>
      <c r="B502" s="5" t="n">
        <v>2</v>
      </c>
      <c r="C502" s="5" t="n">
        <v>2</v>
      </c>
      <c r="D502" s="5" t="n">
        <v>2</v>
      </c>
      <c r="E502" s="13" t="n">
        <v>2271.5</v>
      </c>
      <c r="F502" s="13" t="n">
        <v>1899</v>
      </c>
      <c r="G502" s="13" t="n">
        <v>2644</v>
      </c>
      <c r="H502" t="inlineStr"/>
    </row>
    <row r="503">
      <c r="A503" t="inlineStr">
        <is>
          <t>Кишеня зовнішня</t>
        </is>
      </c>
      <c r="B503" s="5" t="n">
        <v>2</v>
      </c>
      <c r="C503" s="5" t="n">
        <v>2</v>
      </c>
      <c r="D503" s="5" t="n">
        <v>5</v>
      </c>
      <c r="E503" s="13" t="n">
        <v>2659.5</v>
      </c>
      <c r="F503" s="13" t="n">
        <v>2644</v>
      </c>
      <c r="G503" s="13" t="n">
        <v>2675</v>
      </c>
      <c r="H503" t="inlineStr">
        <is>
          <t>Verbatim (1)</t>
        </is>
      </c>
    </row>
    <row r="504">
      <c r="A504" t="inlineStr">
        <is>
          <t>Комп'ютерна техніка</t>
        </is>
      </c>
      <c r="B504" s="5" t="n">
        <v>2</v>
      </c>
      <c r="C504" s="5" t="n">
        <v>2</v>
      </c>
      <c r="D504" s="5" t="n">
        <v>9</v>
      </c>
      <c r="E504" s="13" t="n">
        <v>20560.7</v>
      </c>
      <c r="F504" s="13" t="n">
        <v>19883.4</v>
      </c>
      <c r="G504" s="13" t="n">
        <v>21238</v>
      </c>
      <c r="H504" t="inlineStr"/>
    </row>
    <row r="505">
      <c r="A505" t="inlineStr">
        <is>
          <t>Системний блок пк</t>
        </is>
      </c>
      <c r="B505" s="5" t="n">
        <v>2</v>
      </c>
      <c r="C505" s="5" t="n">
        <v>2</v>
      </c>
      <c r="D505" s="5" t="n">
        <v>2</v>
      </c>
      <c r="E505" s="13" t="n">
        <v>10165</v>
      </c>
      <c r="F505" s="13" t="n">
        <v>8500</v>
      </c>
      <c r="G505" s="13" t="n">
        <v>11830</v>
      </c>
      <c r="H505" t="inlineStr"/>
    </row>
    <row r="506">
      <c r="A506" t="inlineStr">
        <is>
          <t>Комп'ютерне обладнання клавіатура</t>
        </is>
      </c>
      <c r="B506" s="5" t="n">
        <v>2</v>
      </c>
      <c r="C506" s="5" t="n">
        <v>2</v>
      </c>
      <c r="D506" s="5" t="n">
        <v>4</v>
      </c>
      <c r="E506" s="13" t="n">
        <v>855</v>
      </c>
      <c r="F506" s="13" t="n">
        <v>822.5</v>
      </c>
      <c r="G506" s="13" t="n">
        <v>887.5</v>
      </c>
      <c r="H506" t="inlineStr"/>
    </row>
    <row r="507">
      <c r="A507" t="inlineStr">
        <is>
          <t>30230000-0 комп’ютерне обладнання (комп"</t>
        </is>
      </c>
      <c r="B507" s="5" t="n">
        <v>2</v>
      </c>
      <c r="C507" s="5" t="n">
        <v>2</v>
      </c>
      <c r="D507" s="5" t="n">
        <v>4</v>
      </c>
      <c r="E507" s="13" t="n">
        <v>39536.49</v>
      </c>
      <c r="F507" s="13" t="n">
        <v>29340</v>
      </c>
      <c r="G507" s="13" t="n">
        <v>49732.98</v>
      </c>
      <c r="H507" t="inlineStr">
        <is>
          <t>Intel (1)</t>
        </is>
      </c>
    </row>
    <row r="508">
      <c r="A508" t="inlineStr">
        <is>
          <t>Материнські плати</t>
        </is>
      </c>
      <c r="B508" s="5" t="n">
        <v>2</v>
      </c>
      <c r="C508" s="5" t="n">
        <v>2</v>
      </c>
      <c r="D508" s="5" t="n">
        <v>2</v>
      </c>
      <c r="E508" s="13" t="n">
        <v>61798.49</v>
      </c>
      <c r="F508" s="13" t="n">
        <v>61798.49</v>
      </c>
      <c r="G508" s="13" t="n">
        <v>61798.49</v>
      </c>
      <c r="H508" t="inlineStr"/>
    </row>
    <row r="509">
      <c r="A509" t="inlineStr">
        <is>
          <t>Пам'ять для пк</t>
        </is>
      </c>
      <c r="B509" s="5" t="n">
        <v>2</v>
      </c>
      <c r="C509" s="5" t="n">
        <v>2</v>
      </c>
      <c r="D509" s="5" t="n">
        <v>2</v>
      </c>
      <c r="E509" s="13" t="n">
        <v>61798.49</v>
      </c>
      <c r="F509" s="13" t="n">
        <v>61798.49</v>
      </c>
      <c r="G509" s="13" t="n">
        <v>61798.49</v>
      </c>
      <c r="H509" t="inlineStr"/>
    </row>
    <row r="510">
      <c r="A510" t="inlineStr">
        <is>
          <t>Кабель монітора</t>
        </is>
      </c>
      <c r="B510" s="5" t="n">
        <v>2</v>
      </c>
      <c r="C510" s="5" t="n">
        <v>2</v>
      </c>
      <c r="D510" s="5" t="n">
        <v>11</v>
      </c>
      <c r="E510" s="13" t="n">
        <v>1082</v>
      </c>
      <c r="F510" s="13" t="n">
        <v>864</v>
      </c>
      <c r="G510" s="13" t="n">
        <v>1300</v>
      </c>
      <c r="H510" t="inlineStr"/>
    </row>
    <row r="511">
      <c r="A511" t="inlineStr">
        <is>
          <t>Флеш накопичувач дк</t>
        </is>
      </c>
      <c r="B511" s="5" t="n">
        <v>2</v>
      </c>
      <c r="C511" s="5" t="n">
        <v>2</v>
      </c>
      <c r="D511" s="5" t="n">
        <v>2</v>
      </c>
      <c r="E511" s="13" t="n">
        <v>263.05</v>
      </c>
      <c r="F511" s="13" t="n">
        <v>256.15</v>
      </c>
      <c r="G511" s="13" t="n">
        <v>269.95</v>
      </c>
      <c r="H511" t="inlineStr"/>
    </row>
    <row r="512">
      <c r="A512" t="inlineStr">
        <is>
          <t>Флеш накопичувач</t>
        </is>
      </c>
      <c r="B512" s="5" t="n">
        <v>2</v>
      </c>
      <c r="C512" s="5" t="n">
        <v>2</v>
      </c>
      <c r="D512" s="5" t="n">
        <v>3</v>
      </c>
      <c r="E512" s="13" t="n">
        <v>486.95</v>
      </c>
      <c r="F512" s="13" t="n">
        <v>274</v>
      </c>
      <c r="G512" s="13" t="n">
        <v>699.9</v>
      </c>
      <c r="H512" t="inlineStr"/>
    </row>
    <row r="513">
      <c r="A513" t="inlineStr">
        <is>
          <t>Оперативна пам’ять</t>
        </is>
      </c>
      <c r="B513" s="5" t="n">
        <v>2</v>
      </c>
      <c r="C513" s="5" t="n">
        <v>2</v>
      </c>
      <c r="D513" s="5" t="n">
        <v>3</v>
      </c>
      <c r="E513" s="13" t="n">
        <v>7304.75</v>
      </c>
      <c r="F513" s="13" t="n">
        <v>6530</v>
      </c>
      <c r="G513" s="13" t="n">
        <v>8079.5</v>
      </c>
      <c r="H513" t="inlineStr">
        <is>
          <t>GOODRAM (1)</t>
        </is>
      </c>
    </row>
    <row r="514">
      <c r="A514" t="inlineStr">
        <is>
          <t>Принтер епсон</t>
        </is>
      </c>
      <c r="B514" s="5" t="n">
        <v>2</v>
      </c>
      <c r="C514" s="5" t="n">
        <v>2</v>
      </c>
      <c r="D514" s="5" t="n">
        <v>2</v>
      </c>
      <c r="E514" s="13" t="n">
        <v>10595.5</v>
      </c>
      <c r="F514" s="13" t="n">
        <v>9865</v>
      </c>
      <c r="G514" s="13" t="n">
        <v>11326</v>
      </c>
      <c r="H514" t="inlineStr">
        <is>
          <t>Epson (2)</t>
        </is>
      </c>
    </row>
    <row r="515">
      <c r="A515" t="inlineStr">
        <is>
          <t>Пристрій для зберігання</t>
        </is>
      </c>
      <c r="B515" s="5" t="n">
        <v>2</v>
      </c>
      <c r="C515" s="5" t="n">
        <v>2</v>
      </c>
      <c r="D515" s="5" t="n">
        <v>2</v>
      </c>
      <c r="E515" s="13" t="n">
        <v>1360</v>
      </c>
      <c r="F515" s="13" t="n">
        <v>1360</v>
      </c>
      <c r="G515" s="13" t="n">
        <v>1360</v>
      </c>
      <c r="H515" t="inlineStr"/>
    </row>
    <row r="516">
      <c r="A516" t="inlineStr">
        <is>
          <t>Роутер</t>
        </is>
      </c>
      <c r="B516" s="5" t="n">
        <v>2</v>
      </c>
      <c r="C516" s="5" t="n">
        <v>2</v>
      </c>
      <c r="D516" s="5" t="n">
        <v>2</v>
      </c>
      <c r="E516" s="13" t="n">
        <v>1615</v>
      </c>
      <c r="F516" s="13" t="n">
        <v>950</v>
      </c>
      <c r="G516" s="13" t="n">
        <v>2280</v>
      </c>
      <c r="H516" t="inlineStr"/>
    </row>
    <row r="517">
      <c r="A517" t="inlineStr">
        <is>
          <t>Накопичувач внутрішній</t>
        </is>
      </c>
      <c r="B517" s="5" t="n">
        <v>2</v>
      </c>
      <c r="C517" s="5" t="n">
        <v>2</v>
      </c>
      <c r="D517" s="5" t="n">
        <v>3</v>
      </c>
      <c r="E517" s="13" t="n">
        <v>1557</v>
      </c>
      <c r="F517" s="13" t="n">
        <v>1399</v>
      </c>
      <c r="G517" s="13" t="n">
        <v>1715</v>
      </c>
      <c r="H517" t="inlineStr"/>
    </row>
    <row r="518">
      <c r="A518" t="inlineStr">
        <is>
          <t>Мережевий комутатор</t>
        </is>
      </c>
      <c r="B518" s="5" t="n">
        <v>2</v>
      </c>
      <c r="C518" s="5" t="n">
        <v>1</v>
      </c>
      <c r="D518" s="5" t="n">
        <v>2</v>
      </c>
      <c r="E518" s="13" t="n">
        <v>7042</v>
      </c>
      <c r="F518" s="13" t="n">
        <v>7042</v>
      </c>
      <c r="G518" s="13" t="n">
        <v>7042</v>
      </c>
      <c r="H518" t="inlineStr">
        <is>
          <t>TP-Link (2)</t>
        </is>
      </c>
    </row>
    <row r="519">
      <c r="A519" t="inlineStr">
        <is>
          <t>Вентилятор в корпус</t>
        </is>
      </c>
      <c r="B519" s="5" t="n">
        <v>2</v>
      </c>
      <c r="C519" s="5" t="n">
        <v>2</v>
      </c>
      <c r="D519" s="5" t="n">
        <v>2</v>
      </c>
      <c r="E519" s="13" t="n">
        <v>5920.5</v>
      </c>
      <c r="F519" s="13" t="n">
        <v>4757</v>
      </c>
      <c r="G519" s="13" t="n">
        <v>7084</v>
      </c>
      <c r="H519" t="inlineStr">
        <is>
          <t>Gembird (1)</t>
        </is>
      </c>
    </row>
    <row r="520">
      <c r="A520" t="inlineStr">
        <is>
          <t>Системний блок кабель</t>
        </is>
      </c>
      <c r="B520" s="5" t="n">
        <v>2</v>
      </c>
      <c r="C520" s="5" t="n">
        <v>2</v>
      </c>
      <c r="D520" s="5" t="n">
        <v>4</v>
      </c>
      <c r="E520" s="13" t="n">
        <v>3870</v>
      </c>
      <c r="F520" s="13" t="n">
        <v>3715</v>
      </c>
      <c r="G520" s="13" t="n">
        <v>4025</v>
      </c>
      <c r="H520" t="inlineStr"/>
    </row>
    <row r="521">
      <c r="A521" t="inlineStr">
        <is>
          <t>Комп’ютерна миша</t>
        </is>
      </c>
      <c r="B521" s="5" t="n">
        <v>2</v>
      </c>
      <c r="C521" s="5" t="n">
        <v>2</v>
      </c>
      <c r="D521" s="5" t="n">
        <v>2</v>
      </c>
      <c r="E521" s="13" t="n">
        <v>90080</v>
      </c>
      <c r="F521" s="13" t="n">
        <v>180</v>
      </c>
      <c r="G521" s="13" t="n">
        <v>179980</v>
      </c>
      <c r="H521" t="inlineStr"/>
    </row>
    <row r="522">
      <c r="A522" t="inlineStr">
        <is>
          <t>Принтер багатофункціональний пристрій</t>
        </is>
      </c>
      <c r="B522" s="5" t="n">
        <v>2</v>
      </c>
      <c r="C522" s="5" t="n">
        <v>2</v>
      </c>
      <c r="D522" s="5" t="n">
        <v>10</v>
      </c>
      <c r="E522" s="13" t="n">
        <v>13683.93</v>
      </c>
      <c r="F522" s="13" t="n">
        <v>5367.87</v>
      </c>
      <c r="G522" s="13" t="n">
        <v>22000</v>
      </c>
      <c r="H522" t="inlineStr">
        <is>
          <t>Logitech (1)</t>
        </is>
      </c>
    </row>
    <row r="523">
      <c r="A523" t="inlineStr">
        <is>
          <t>Бфп кольорового друку</t>
        </is>
      </c>
      <c r="B523" s="5" t="n">
        <v>2</v>
      </c>
      <c r="C523" s="5" t="n">
        <v>2</v>
      </c>
      <c r="D523" s="5" t="n">
        <v>2</v>
      </c>
      <c r="E523" s="13" t="n">
        <v>13550</v>
      </c>
      <c r="F523" s="13" t="n">
        <v>9600</v>
      </c>
      <c r="G523" s="13" t="n">
        <v>17500</v>
      </c>
      <c r="H523" t="inlineStr">
        <is>
          <t>Canon (2)</t>
        </is>
      </c>
    </row>
    <row r="524">
      <c r="A524" t="inlineStr">
        <is>
          <t>Ігровий ноутбук</t>
        </is>
      </c>
      <c r="B524" s="5" t="n">
        <v>2</v>
      </c>
      <c r="C524" s="5" t="n">
        <v>2</v>
      </c>
      <c r="D524" s="5" t="n">
        <v>2</v>
      </c>
      <c r="E524" s="13" t="n">
        <v>235500</v>
      </c>
      <c r="F524" s="13" t="n">
        <v>220000</v>
      </c>
      <c r="G524" s="13" t="n">
        <v>251000</v>
      </c>
      <c r="H524" t="inlineStr">
        <is>
          <t>Acer (2)</t>
        </is>
      </c>
    </row>
    <row r="525">
      <c r="A525" t="inlineStr">
        <is>
          <t>Ssd диск</t>
        </is>
      </c>
      <c r="B525" s="5" t="n">
        <v>2</v>
      </c>
      <c r="C525" s="5" t="n">
        <v>2</v>
      </c>
      <c r="D525" s="5" t="n">
        <v>3</v>
      </c>
      <c r="E525" s="13" t="n">
        <v>1985</v>
      </c>
      <c r="F525" s="13" t="n">
        <v>1460</v>
      </c>
      <c r="G525" s="13" t="n">
        <v>2510</v>
      </c>
      <c r="H525" t="inlineStr"/>
    </row>
    <row r="526">
      <c r="A526" t="inlineStr">
        <is>
          <t>Комп'ютерні мишки</t>
        </is>
      </c>
      <c r="B526" s="5" t="n">
        <v>2</v>
      </c>
      <c r="C526" s="5" t="n">
        <v>2</v>
      </c>
      <c r="D526" s="5" t="n">
        <v>4</v>
      </c>
      <c r="E526" s="13" t="n">
        <v>287.5</v>
      </c>
      <c r="F526" s="13" t="n">
        <v>250</v>
      </c>
      <c r="G526" s="13" t="n">
        <v>325</v>
      </c>
      <c r="H526" t="inlineStr"/>
    </row>
    <row r="527">
      <c r="A527" t="inlineStr">
        <is>
          <t>Клавіатура дротова</t>
        </is>
      </c>
      <c r="B527" s="5" t="n">
        <v>2</v>
      </c>
      <c r="C527" s="5" t="n">
        <v>2</v>
      </c>
      <c r="D527" s="5" t="n">
        <v>31</v>
      </c>
      <c r="E527" s="13" t="n">
        <v>605.27</v>
      </c>
      <c r="F527" s="13" t="n">
        <v>333.87</v>
      </c>
      <c r="G527" s="13" t="n">
        <v>876.67</v>
      </c>
      <c r="H527" t="inlineStr">
        <is>
          <t>Gembird (1), Logitech (1)</t>
        </is>
      </c>
    </row>
    <row r="528">
      <c r="A528" t="inlineStr">
        <is>
          <t>Usb-концентратори і кардрідери</t>
        </is>
      </c>
      <c r="B528" s="5" t="n">
        <v>2</v>
      </c>
      <c r="C528" s="5" t="n">
        <v>2</v>
      </c>
      <c r="D528" s="5" t="n">
        <v>4</v>
      </c>
      <c r="E528" s="13" t="n">
        <v>1925</v>
      </c>
      <c r="F528" s="13" t="n">
        <v>1750</v>
      </c>
      <c r="G528" s="13" t="n">
        <v>2100</v>
      </c>
      <c r="H528" t="inlineStr"/>
    </row>
    <row r="529">
      <c r="A529" t="inlineStr">
        <is>
          <t>Батарея</t>
        </is>
      </c>
      <c r="B529" s="5" t="n">
        <v>2</v>
      </c>
      <c r="C529" s="5" t="n">
        <v>2</v>
      </c>
      <c r="D529" s="5" t="n">
        <v>3</v>
      </c>
      <c r="E529" s="13" t="n">
        <v>12226</v>
      </c>
      <c r="F529" s="13" t="n">
        <v>6315</v>
      </c>
      <c r="G529" s="13" t="n">
        <v>18137</v>
      </c>
      <c r="H529" t="inlineStr"/>
    </row>
    <row r="530">
      <c r="A530" t="inlineStr">
        <is>
          <t>Маніпулятор миша</t>
        </is>
      </c>
      <c r="B530" s="5" t="n">
        <v>2</v>
      </c>
      <c r="C530" s="5" t="n">
        <v>2</v>
      </c>
      <c r="D530" s="5" t="n">
        <v>7</v>
      </c>
      <c r="E530" s="13" t="n">
        <v>320.85</v>
      </c>
      <c r="F530" s="13" t="n">
        <v>155.02</v>
      </c>
      <c r="G530" s="13" t="n">
        <v>486.67</v>
      </c>
      <c r="H530" t="inlineStr">
        <is>
          <t>Genius (2)</t>
        </is>
      </c>
    </row>
    <row r="531">
      <c r="A531" t="inlineStr">
        <is>
          <t>Ключ електронний</t>
        </is>
      </c>
      <c r="B531" s="5" t="n">
        <v>2</v>
      </c>
      <c r="C531" s="5" t="n">
        <v>2</v>
      </c>
      <c r="D531" s="5" t="n">
        <v>300</v>
      </c>
      <c r="E531" s="13" t="n">
        <v>1250</v>
      </c>
      <c r="F531" s="13" t="n">
        <v>1000</v>
      </c>
      <c r="G531" s="13" t="n">
        <v>1500</v>
      </c>
      <c r="H531" t="inlineStr"/>
    </row>
    <row r="532">
      <c r="A532" t="inlineStr">
        <is>
          <t>Принтер струменевий</t>
        </is>
      </c>
      <c r="B532" s="5" t="n">
        <v>2</v>
      </c>
      <c r="C532" s="5" t="n">
        <v>2</v>
      </c>
      <c r="D532" s="5" t="n">
        <v>2</v>
      </c>
      <c r="E532" s="13" t="n">
        <v>25000</v>
      </c>
      <c r="F532" s="13" t="n">
        <v>25000</v>
      </c>
      <c r="G532" s="13" t="n">
        <v>25000</v>
      </c>
      <c r="H532" t="inlineStr">
        <is>
          <t>Epson (2)</t>
        </is>
      </c>
    </row>
    <row r="533">
      <c r="A533" t="inlineStr">
        <is>
          <t>Папір плотерний</t>
        </is>
      </c>
      <c r="B533" s="5" t="n">
        <v>2</v>
      </c>
      <c r="C533" s="5" t="n">
        <v>2</v>
      </c>
      <c r="D533" s="5" t="n">
        <v>35</v>
      </c>
      <c r="E533" s="13" t="n">
        <v>12598.6</v>
      </c>
      <c r="F533" s="13" t="n">
        <v>7199.2</v>
      </c>
      <c r="G533" s="13" t="n">
        <v>17998</v>
      </c>
      <c r="H533" t="inlineStr"/>
    </row>
    <row r="534">
      <c r="A534" t="inlineStr">
        <is>
          <t>Багатофункціональний кольоровий лазерний</t>
        </is>
      </c>
      <c r="B534" s="5" t="n">
        <v>2</v>
      </c>
      <c r="C534" s="5" t="n">
        <v>2</v>
      </c>
      <c r="D534" s="5" t="n">
        <v>2</v>
      </c>
      <c r="E534" s="13" t="n">
        <v>190000</v>
      </c>
      <c r="F534" s="13" t="n">
        <v>175000</v>
      </c>
      <c r="G534" s="13" t="n">
        <v>205000</v>
      </c>
      <c r="H534" t="inlineStr"/>
    </row>
    <row r="535">
      <c r="A535" t="inlineStr">
        <is>
          <t>Килимок для комп’ютерної</t>
        </is>
      </c>
      <c r="B535" s="5" t="n">
        <v>2</v>
      </c>
      <c r="C535" s="5" t="n">
        <v>2</v>
      </c>
      <c r="D535" s="5" t="n">
        <v>2</v>
      </c>
      <c r="E535" s="13" t="n">
        <v>513.75</v>
      </c>
      <c r="F535" s="13" t="n">
        <v>127.5</v>
      </c>
      <c r="G535" s="13" t="n">
        <v>900</v>
      </c>
      <c r="H535" t="inlineStr"/>
    </row>
    <row r="536">
      <c r="A536" t="inlineStr">
        <is>
          <t>Ноутбуки нр</t>
        </is>
      </c>
      <c r="B536" s="5" t="n">
        <v>2</v>
      </c>
      <c r="C536" s="5" t="n">
        <v>2</v>
      </c>
      <c r="D536" s="5" t="n">
        <v>8</v>
      </c>
      <c r="E536" s="13" t="n">
        <v>18499</v>
      </c>
      <c r="F536" s="13" t="n">
        <v>17000</v>
      </c>
      <c r="G536" s="13" t="n">
        <v>19998</v>
      </c>
      <c r="H536" t="inlineStr">
        <is>
          <t>HP (1)</t>
        </is>
      </c>
    </row>
    <row r="537">
      <c r="A537" t="inlineStr">
        <is>
          <t>Мишка до комп'ютера</t>
        </is>
      </c>
      <c r="B537" s="5" t="n">
        <v>2</v>
      </c>
      <c r="C537" s="5" t="n">
        <v>2</v>
      </c>
      <c r="D537" s="5" t="n">
        <v>3</v>
      </c>
      <c r="E537" s="13" t="n">
        <v>440</v>
      </c>
      <c r="F537" s="13" t="n">
        <v>320</v>
      </c>
      <c r="G537" s="13" t="n">
        <v>560</v>
      </c>
      <c r="H537" t="inlineStr"/>
    </row>
    <row r="538">
      <c r="A538" t="inlineStr">
        <is>
          <t>Багатофункціональний принтер</t>
        </is>
      </c>
      <c r="B538" s="5" t="n">
        <v>2</v>
      </c>
      <c r="C538" s="5" t="n">
        <v>2</v>
      </c>
      <c r="D538" s="5" t="n">
        <v>3</v>
      </c>
      <c r="E538" s="13" t="n">
        <v>14250.49</v>
      </c>
      <c r="F538" s="13" t="n">
        <v>9890</v>
      </c>
      <c r="G538" s="13" t="n">
        <v>18610.98</v>
      </c>
      <c r="H538" t="inlineStr">
        <is>
          <t>Canon (2)</t>
        </is>
      </c>
    </row>
    <row r="539">
      <c r="A539" t="inlineStr">
        <is>
          <t>Накопичувач на жорстких</t>
        </is>
      </c>
      <c r="B539" s="5" t="n">
        <v>2</v>
      </c>
      <c r="C539" s="5" t="n">
        <v>2</v>
      </c>
      <c r="D539" s="5" t="n">
        <v>6</v>
      </c>
      <c r="E539" s="13" t="n">
        <v>52500</v>
      </c>
      <c r="F539" s="13" t="n">
        <v>45000</v>
      </c>
      <c r="G539" s="13" t="n">
        <v>60000</v>
      </c>
      <c r="H539" t="inlineStr"/>
    </row>
    <row r="540">
      <c r="A540" t="inlineStr">
        <is>
          <t>Блок безперебійного живлення</t>
        </is>
      </c>
      <c r="B540" s="5" t="n">
        <v>2</v>
      </c>
      <c r="C540" s="5" t="n">
        <v>2</v>
      </c>
      <c r="D540" s="5" t="n">
        <v>2</v>
      </c>
      <c r="E540" s="13" t="n">
        <v>3011.5</v>
      </c>
      <c r="F540" s="13" t="n">
        <v>2424</v>
      </c>
      <c r="G540" s="13" t="n">
        <v>3599</v>
      </c>
      <c r="H540" t="inlineStr"/>
    </row>
    <row r="541">
      <c r="A541" t="inlineStr">
        <is>
          <t>Системний блок персонального</t>
        </is>
      </c>
      <c r="B541" s="5" t="n">
        <v>2</v>
      </c>
      <c r="C541" s="5" t="n">
        <v>1</v>
      </c>
      <c r="D541" s="5" t="n">
        <v>4</v>
      </c>
      <c r="E541" s="13" t="n">
        <v>48666.67</v>
      </c>
      <c r="F541" s="13" t="n">
        <v>24333.33</v>
      </c>
      <c r="G541" s="13" t="n">
        <v>73000</v>
      </c>
      <c r="H541" t="inlineStr"/>
    </row>
    <row r="542">
      <c r="A542" t="inlineStr">
        <is>
          <t>Мишка безпровідна</t>
        </is>
      </c>
      <c r="B542" s="5" t="n">
        <v>2</v>
      </c>
      <c r="C542" s="5" t="n">
        <v>2</v>
      </c>
      <c r="D542" s="5" t="n">
        <v>3</v>
      </c>
      <c r="E542" s="13" t="n">
        <v>12380.25</v>
      </c>
      <c r="F542" s="13" t="n">
        <v>873.5</v>
      </c>
      <c r="G542" s="13" t="n">
        <v>23887</v>
      </c>
      <c r="H542" t="inlineStr">
        <is>
          <t>Logitech (1)</t>
        </is>
      </c>
    </row>
    <row r="543">
      <c r="A543" t="inlineStr">
        <is>
          <t>Оптичний диск</t>
        </is>
      </c>
      <c r="B543" s="5" t="n">
        <v>2</v>
      </c>
      <c r="C543" s="5" t="n">
        <v>2</v>
      </c>
      <c r="D543" s="5" t="n">
        <v>2000</v>
      </c>
      <c r="E543" s="13" t="n">
        <v>118.88</v>
      </c>
      <c r="F543" s="13" t="n">
        <v>89.3</v>
      </c>
      <c r="G543" s="13" t="n">
        <v>148.46</v>
      </c>
      <c r="H543" t="inlineStr"/>
    </row>
    <row r="544">
      <c r="A544" t="inlineStr">
        <is>
          <t>Багатофункціональний пристрій з</t>
        </is>
      </c>
      <c r="B544" s="5" t="n">
        <v>2</v>
      </c>
      <c r="C544" s="5" t="n">
        <v>1</v>
      </c>
      <c r="D544" s="5" t="n">
        <v>9</v>
      </c>
      <c r="E544" s="13" t="n">
        <v>129375</v>
      </c>
      <c r="F544" s="13" t="n">
        <v>28750</v>
      </c>
      <c r="G544" s="13" t="n">
        <v>230000</v>
      </c>
      <c r="H544" t="inlineStr"/>
    </row>
    <row r="545">
      <c r="A545" t="inlineStr">
        <is>
          <t>Комп'ютери</t>
        </is>
      </c>
      <c r="B545" s="5" t="n">
        <v>2</v>
      </c>
      <c r="C545" s="5" t="n">
        <v>2</v>
      </c>
      <c r="D545" s="5" t="n">
        <v>7</v>
      </c>
      <c r="E545" s="13" t="n">
        <v>15540</v>
      </c>
      <c r="F545" s="13" t="n">
        <v>11100</v>
      </c>
      <c r="G545" s="13" t="n">
        <v>19980</v>
      </c>
      <c r="H545" t="inlineStr">
        <is>
          <t>AMD (1)</t>
        </is>
      </c>
    </row>
    <row r="546">
      <c r="A546" t="inlineStr">
        <is>
          <t>Електронний ключ</t>
        </is>
      </c>
      <c r="B546" s="5" t="n">
        <v>2</v>
      </c>
      <c r="C546" s="5" t="n">
        <v>2</v>
      </c>
      <c r="D546" s="5" t="n">
        <v>2</v>
      </c>
      <c r="E546" s="13" t="n">
        <v>1440</v>
      </c>
      <c r="F546" s="13" t="n">
        <v>1225</v>
      </c>
      <c r="G546" s="13" t="n">
        <v>1655</v>
      </c>
      <c r="H546" t="inlineStr"/>
    </row>
    <row r="547">
      <c r="A547" t="inlineStr">
        <is>
          <t>3d принтер bambu lab p1s</t>
        </is>
      </c>
      <c r="B547" s="5" t="n">
        <v>2</v>
      </c>
      <c r="C547" s="5" t="n">
        <v>2</v>
      </c>
      <c r="D547" s="5" t="n">
        <v>6</v>
      </c>
      <c r="E547" s="13" t="n">
        <v>26000</v>
      </c>
      <c r="F547" s="13" t="n">
        <v>26000</v>
      </c>
      <c r="G547" s="13" t="n">
        <v>26000</v>
      </c>
      <c r="H547" t="inlineStr"/>
    </row>
    <row r="548">
      <c r="A548" t="inlineStr">
        <is>
          <t>Електронний</t>
        </is>
      </c>
      <c r="B548" s="5" t="n">
        <v>2</v>
      </c>
      <c r="C548" s="5" t="n">
        <v>2</v>
      </c>
      <c r="D548" s="5" t="n">
        <v>4</v>
      </c>
      <c r="E548" s="13" t="n">
        <v>1349.48</v>
      </c>
      <c r="F548" s="13" t="n">
        <v>1300</v>
      </c>
      <c r="G548" s="13" t="n">
        <v>1398.96</v>
      </c>
      <c r="H548" t="inlineStr"/>
    </row>
    <row r="549">
      <c r="A549" t="inlineStr">
        <is>
          <t>Мишки</t>
        </is>
      </c>
      <c r="B549" s="5" t="n">
        <v>2</v>
      </c>
      <c r="C549" s="5" t="n">
        <v>2</v>
      </c>
      <c r="D549" s="5" t="n">
        <v>20</v>
      </c>
      <c r="E549" s="13" t="n">
        <v>630.9</v>
      </c>
      <c r="F549" s="13" t="n">
        <v>164</v>
      </c>
      <c r="G549" s="13" t="n">
        <v>1097.8</v>
      </c>
      <c r="H549" t="inlineStr"/>
    </row>
    <row r="550">
      <c r="A550" t="inlineStr">
        <is>
          <t>Конектор</t>
        </is>
      </c>
      <c r="B550" s="5" t="n">
        <v>2</v>
      </c>
      <c r="C550" s="5" t="n">
        <v>2</v>
      </c>
      <c r="D550" s="5" t="n">
        <v>195</v>
      </c>
      <c r="E550" s="13" t="n">
        <v>131.47</v>
      </c>
      <c r="F550" s="13" t="n">
        <v>130</v>
      </c>
      <c r="G550" s="13" t="n">
        <v>132.95</v>
      </c>
      <c r="H550" t="inlineStr"/>
    </row>
    <row r="551">
      <c r="A551" t="inlineStr">
        <is>
          <t>Зарядний пристрій для</t>
        </is>
      </c>
      <c r="B551" s="5" t="n">
        <v>2</v>
      </c>
      <c r="C551" s="5" t="n">
        <v>2</v>
      </c>
      <c r="D551" s="5" t="n">
        <v>4</v>
      </c>
      <c r="E551" s="13" t="n">
        <v>3025.5</v>
      </c>
      <c r="F551" s="13" t="n">
        <v>2313</v>
      </c>
      <c r="G551" s="13" t="n">
        <v>3738</v>
      </c>
      <c r="H551" t="inlineStr"/>
    </row>
    <row r="552">
      <c r="A552" t="inlineStr">
        <is>
          <t>Комп’ютерна мишка</t>
        </is>
      </c>
      <c r="B552" s="5" t="n">
        <v>2</v>
      </c>
      <c r="C552" s="5" t="n">
        <v>2</v>
      </c>
      <c r="D552" s="5" t="n">
        <v>2</v>
      </c>
      <c r="E552" s="13" t="n">
        <v>340</v>
      </c>
      <c r="F552" s="13" t="n">
        <v>320</v>
      </c>
      <c r="G552" s="13" t="n">
        <v>360</v>
      </c>
      <c r="H552" t="inlineStr"/>
    </row>
    <row r="553">
      <c r="A553" t="inlineStr">
        <is>
          <t>Блок живлення для</t>
        </is>
      </c>
      <c r="B553" s="5" t="n">
        <v>2</v>
      </c>
      <c r="C553" s="5" t="n">
        <v>2</v>
      </c>
      <c r="D553" s="5" t="n">
        <v>2</v>
      </c>
      <c r="E553" s="13" t="n">
        <v>164177.5</v>
      </c>
      <c r="F553" s="13" t="n">
        <v>4300</v>
      </c>
      <c r="G553" s="13" t="n">
        <v>324055</v>
      </c>
      <c r="H553" t="inlineStr">
        <is>
          <t>PowerPlant (1), Lenovo (1)</t>
        </is>
      </c>
    </row>
    <row r="554">
      <c r="A554" t="inlineStr">
        <is>
          <t>Набір</t>
        </is>
      </c>
      <c r="B554" s="5" t="n">
        <v>2</v>
      </c>
      <c r="C554" s="5" t="n">
        <v>1</v>
      </c>
      <c r="D554" s="5" t="n">
        <v>10</v>
      </c>
      <c r="E554" s="13" t="n">
        <v>2400</v>
      </c>
      <c r="F554" s="13" t="n">
        <v>2400</v>
      </c>
      <c r="G554" s="13" t="n">
        <v>2400</v>
      </c>
      <c r="H554" t="inlineStr">
        <is>
          <t>Genius (1), Logitech (1)</t>
        </is>
      </c>
    </row>
    <row r="555">
      <c r="A555" t="inlineStr">
        <is>
          <t>Драм картридж</t>
        </is>
      </c>
      <c r="B555" s="5" t="n">
        <v>2</v>
      </c>
      <c r="C555" s="5" t="n">
        <v>2</v>
      </c>
      <c r="D555" s="5" t="n">
        <v>2</v>
      </c>
      <c r="E555" s="13" t="n">
        <v>11430.5</v>
      </c>
      <c r="F555" s="13" t="n">
        <v>4099</v>
      </c>
      <c r="G555" s="13" t="n">
        <v>18762</v>
      </c>
      <c r="H555" t="inlineStr">
        <is>
          <t>HP (1)</t>
        </is>
      </c>
    </row>
    <row r="556">
      <c r="A556" t="inlineStr">
        <is>
          <t>30230000-0 комп’ютерне обладнання: комп’</t>
        </is>
      </c>
      <c r="B556" s="5" t="n">
        <v>2</v>
      </c>
      <c r="C556" s="5" t="n">
        <v>2</v>
      </c>
      <c r="D556" s="5" t="n">
        <v>2</v>
      </c>
      <c r="E556" s="13" t="n">
        <v>23100</v>
      </c>
      <c r="F556" s="13" t="n">
        <v>23100</v>
      </c>
      <c r="G556" s="13" t="n">
        <v>23100</v>
      </c>
      <c r="H556" t="inlineStr"/>
    </row>
    <row r="557">
      <c r="A557" t="inlineStr">
        <is>
          <t>30230000-0 комп’ютерне обладнання: ноутб</t>
        </is>
      </c>
      <c r="B557" s="5" t="n">
        <v>2</v>
      </c>
      <c r="C557" s="5" t="n">
        <v>2</v>
      </c>
      <c r="D557" s="5" t="n">
        <v>8</v>
      </c>
      <c r="E557" s="13" t="n">
        <v>12917.85</v>
      </c>
      <c r="F557" s="13" t="n">
        <v>2885.71</v>
      </c>
      <c r="G557" s="13" t="n">
        <v>22950</v>
      </c>
      <c r="H557" t="inlineStr">
        <is>
          <t>Lenovo (1), Intel (1), TP-Link (1)</t>
        </is>
      </c>
    </row>
    <row r="558">
      <c r="A558" t="inlineStr">
        <is>
          <t>Комплектуючі до комп'ютерної</t>
        </is>
      </c>
      <c r="B558" s="5" t="n">
        <v>2</v>
      </c>
      <c r="C558" s="5" t="n">
        <v>2</v>
      </c>
      <c r="D558" s="5" t="n">
        <v>2</v>
      </c>
      <c r="E558" s="13" t="n">
        <v>9071.5</v>
      </c>
      <c r="F558" s="13" t="n">
        <v>1100</v>
      </c>
      <c r="G558" s="13" t="n">
        <v>17043</v>
      </c>
      <c r="H558" t="inlineStr"/>
    </row>
    <row r="559">
      <c r="A559" t="inlineStr">
        <is>
          <t>Комп'ютер робоче місце</t>
        </is>
      </c>
      <c r="B559" s="5" t="n">
        <v>2</v>
      </c>
      <c r="C559" s="5" t="n">
        <v>1</v>
      </c>
      <c r="D559" s="5" t="n">
        <v>2</v>
      </c>
      <c r="E559" s="13" t="n">
        <v>90000</v>
      </c>
      <c r="F559" s="13" t="n">
        <v>90000</v>
      </c>
      <c r="G559" s="13" t="n">
        <v>90000</v>
      </c>
      <c r="H559" t="inlineStr"/>
    </row>
    <row r="560">
      <c r="A560" t="inlineStr">
        <is>
          <t>Комп'ютерне обладнання принтер</t>
        </is>
      </c>
      <c r="B560" s="5" t="n">
        <v>2</v>
      </c>
      <c r="C560" s="5" t="n">
        <v>2</v>
      </c>
      <c r="D560" s="5" t="n">
        <v>2</v>
      </c>
      <c r="E560" s="13" t="n">
        <v>9950</v>
      </c>
      <c r="F560" s="13" t="n">
        <v>9950</v>
      </c>
      <c r="G560" s="13" t="n">
        <v>9950</v>
      </c>
      <c r="H560" t="inlineStr">
        <is>
          <t>Epson (2)</t>
        </is>
      </c>
    </row>
    <row r="561">
      <c r="A561" t="inlineStr">
        <is>
          <t>Мишка оптична</t>
        </is>
      </c>
      <c r="B561" s="5" t="n">
        <v>2</v>
      </c>
      <c r="C561" s="5" t="n">
        <v>2</v>
      </c>
      <c r="D561" s="5" t="n">
        <v>10</v>
      </c>
      <c r="E561" s="13" t="n">
        <v>2219</v>
      </c>
      <c r="F561" s="13" t="n">
        <v>380</v>
      </c>
      <c r="G561" s="13" t="n">
        <v>4058</v>
      </c>
      <c r="H561" t="inlineStr"/>
    </row>
    <row r="562">
      <c r="A562" t="inlineStr">
        <is>
          <t>Дбж лінійно-інтерактивний</t>
        </is>
      </c>
      <c r="B562" s="5" t="n">
        <v>2</v>
      </c>
      <c r="C562" s="5" t="n">
        <v>2</v>
      </c>
      <c r="D562" s="5" t="n">
        <v>56</v>
      </c>
      <c r="E562" s="13" t="n">
        <v>8531.25</v>
      </c>
      <c r="F562" s="13" t="n">
        <v>7312.5</v>
      </c>
      <c r="G562" s="13" t="n">
        <v>9750</v>
      </c>
      <c r="H562" t="inlineStr"/>
    </row>
    <row r="563">
      <c r="A563" t="inlineStr">
        <is>
          <t>Пам'ять</t>
        </is>
      </c>
      <c r="B563" s="5" t="n">
        <v>2</v>
      </c>
      <c r="C563" s="5" t="n">
        <v>2</v>
      </c>
      <c r="D563" s="5" t="n">
        <v>4</v>
      </c>
      <c r="E563" s="13" t="n">
        <v>38000</v>
      </c>
      <c r="F563" s="13" t="n">
        <v>35000</v>
      </c>
      <c r="G563" s="13" t="n">
        <v>41000</v>
      </c>
      <c r="H563" t="inlineStr"/>
    </row>
    <row r="564">
      <c r="A564" t="inlineStr">
        <is>
          <t>Сканер планшетний</t>
        </is>
      </c>
      <c r="B564" s="5" t="n">
        <v>2</v>
      </c>
      <c r="C564" s="5" t="n">
        <v>2</v>
      </c>
      <c r="D564" s="5" t="n">
        <v>36</v>
      </c>
      <c r="E564" s="13" t="n">
        <v>4700</v>
      </c>
      <c r="F564" s="13" t="n">
        <v>4000</v>
      </c>
      <c r="G564" s="13" t="n">
        <v>5400</v>
      </c>
      <c r="H564" t="inlineStr"/>
    </row>
    <row r="565">
      <c r="A565" t="inlineStr">
        <is>
          <t>Комп’ютерні мишки</t>
        </is>
      </c>
      <c r="B565" s="5" t="n">
        <v>2</v>
      </c>
      <c r="C565" s="5" t="n">
        <v>2</v>
      </c>
      <c r="D565" s="5" t="n">
        <v>23</v>
      </c>
      <c r="E565" s="13" t="n">
        <v>249</v>
      </c>
      <c r="F565" s="13" t="n">
        <v>230</v>
      </c>
      <c r="G565" s="13" t="n">
        <v>268</v>
      </c>
      <c r="H565" t="inlineStr"/>
    </row>
    <row r="566">
      <c r="A566" t="inlineStr">
        <is>
          <t>30230000-0 комп’ютерне обладнання: принт</t>
        </is>
      </c>
      <c r="B566" s="5" t="n">
        <v>2</v>
      </c>
      <c r="C566" s="5" t="n">
        <v>2</v>
      </c>
      <c r="D566" s="5" t="n">
        <v>4</v>
      </c>
      <c r="E566" s="13" t="n">
        <v>11062.5</v>
      </c>
      <c r="F566" s="13" t="n">
        <v>10500</v>
      </c>
      <c r="G566" s="13" t="n">
        <v>11625</v>
      </c>
      <c r="H566" t="inlineStr">
        <is>
          <t>Canon (2)</t>
        </is>
      </c>
    </row>
    <row r="567">
      <c r="A567" t="inlineStr">
        <is>
          <t>Персональний комп’ютер закупівля</t>
        </is>
      </c>
      <c r="B567" s="5" t="n">
        <v>2</v>
      </c>
      <c r="C567" s="5" t="n">
        <v>2</v>
      </c>
      <c r="D567" s="5" t="n">
        <v>2</v>
      </c>
      <c r="E567" s="13" t="n">
        <v>89000</v>
      </c>
      <c r="F567" s="13" t="n">
        <v>89000</v>
      </c>
      <c r="G567" s="13" t="n">
        <v>89000</v>
      </c>
      <c r="H567" t="inlineStr"/>
    </row>
    <row r="568">
      <c r="A568" t="inlineStr">
        <is>
          <t>Бездротовий маршрутизатор роутер</t>
        </is>
      </c>
      <c r="B568" s="5" t="n">
        <v>2</v>
      </c>
      <c r="C568" s="5" t="n">
        <v>2</v>
      </c>
      <c r="D568" s="5" t="n">
        <v>2</v>
      </c>
      <c r="E568" s="13" t="n">
        <v>160000</v>
      </c>
      <c r="F568" s="13" t="n">
        <v>160000</v>
      </c>
      <c r="G568" s="13" t="n">
        <v>160000</v>
      </c>
      <c r="H568" t="inlineStr">
        <is>
          <t>MikroTik (2)</t>
        </is>
      </c>
    </row>
    <row r="569">
      <c r="A569" t="inlineStr">
        <is>
          <t>Телевізор</t>
        </is>
      </c>
      <c r="B569" s="5" t="n">
        <v>2</v>
      </c>
      <c r="C569" s="5" t="n">
        <v>2</v>
      </c>
      <c r="D569" s="5" t="n">
        <v>2</v>
      </c>
      <c r="E569" s="13" t="n">
        <v>160000</v>
      </c>
      <c r="F569" s="13" t="n">
        <v>160000</v>
      </c>
      <c r="G569" s="13" t="n">
        <v>160000</v>
      </c>
      <c r="H569" t="inlineStr">
        <is>
          <t>ERGO (2)</t>
        </is>
      </c>
    </row>
    <row r="570">
      <c r="A570" t="inlineStr">
        <is>
          <t>Катрідж нр</t>
        </is>
      </c>
      <c r="B570" s="5" t="n">
        <v>2</v>
      </c>
      <c r="C570" s="5" t="n">
        <v>2</v>
      </c>
      <c r="D570" s="5" t="n">
        <v>2</v>
      </c>
      <c r="E570" s="13" t="n">
        <v>925</v>
      </c>
      <c r="F570" s="13" t="n">
        <v>500</v>
      </c>
      <c r="G570" s="13" t="n">
        <v>1350</v>
      </c>
      <c r="H570" t="inlineStr"/>
    </row>
    <row r="571">
      <c r="A571" t="inlineStr">
        <is>
          <t>Флеш-пам ять накопичувач</t>
        </is>
      </c>
      <c r="B571" s="5" t="n">
        <v>2</v>
      </c>
      <c r="C571" s="5" t="n">
        <v>1</v>
      </c>
      <c r="D571" s="5" t="n">
        <v>2</v>
      </c>
      <c r="E571" s="13" t="n">
        <v>1333</v>
      </c>
      <c r="F571" s="13" t="n">
        <v>1333</v>
      </c>
      <c r="G571" s="13" t="n">
        <v>1333</v>
      </c>
      <c r="H571" t="inlineStr"/>
    </row>
    <row r="572">
      <c r="A572" t="inlineStr">
        <is>
          <t>Відеокарта на</t>
        </is>
      </c>
      <c r="B572" s="5" t="n">
        <v>2</v>
      </c>
      <c r="C572" s="5" t="n">
        <v>1</v>
      </c>
      <c r="D572" s="5" t="n">
        <v>7</v>
      </c>
      <c r="E572" s="13" t="n">
        <v>289545.66</v>
      </c>
      <c r="F572" s="13" t="n">
        <v>82727.33</v>
      </c>
      <c r="G572" s="13" t="n">
        <v>496364</v>
      </c>
      <c r="H572" t="inlineStr"/>
    </row>
    <row r="573">
      <c r="A573" t="inlineStr">
        <is>
          <t>Маршрутизатор</t>
        </is>
      </c>
      <c r="B573" s="5" t="n">
        <v>2</v>
      </c>
      <c r="C573" s="5" t="n">
        <v>2</v>
      </c>
      <c r="D573" s="5" t="n">
        <v>2</v>
      </c>
      <c r="E573" s="13" t="n">
        <v>10181</v>
      </c>
      <c r="F573" s="13" t="n">
        <v>1600</v>
      </c>
      <c r="G573" s="13" t="n">
        <v>18762</v>
      </c>
      <c r="H573" t="inlineStr">
        <is>
          <t>TP-Link (1)</t>
        </is>
      </c>
    </row>
    <row r="574">
      <c r="A574" t="inlineStr">
        <is>
          <t>Комп’ютерне обладнання принтер</t>
        </is>
      </c>
      <c r="B574" s="5" t="n">
        <v>2</v>
      </c>
      <c r="C574" s="5" t="n">
        <v>2</v>
      </c>
      <c r="D574" s="5" t="n">
        <v>5</v>
      </c>
      <c r="E574" s="13" t="n">
        <v>9222.620000000001</v>
      </c>
      <c r="F574" s="13" t="n">
        <v>8915.25</v>
      </c>
      <c r="G574" s="13" t="n">
        <v>9530</v>
      </c>
      <c r="H574" t="inlineStr"/>
    </row>
    <row r="575">
      <c r="A575" t="inlineStr">
        <is>
          <t>Комплект комп’ютерного обладнання</t>
        </is>
      </c>
      <c r="B575" s="5" t="n">
        <v>2</v>
      </c>
      <c r="C575" s="5" t="n">
        <v>2</v>
      </c>
      <c r="D575" s="5" t="n">
        <v>2</v>
      </c>
      <c r="E575" s="13" t="n">
        <v>60400</v>
      </c>
      <c r="F575" s="13" t="n">
        <v>60400</v>
      </c>
      <c r="G575" s="13" t="n">
        <v>60400</v>
      </c>
      <c r="H575" t="inlineStr">
        <is>
          <t>Acer (1), PowerPlant (1), Cablexpert (1)</t>
        </is>
      </c>
    </row>
    <row r="576">
      <c r="A576" t="inlineStr">
        <is>
          <t>Системний блок та</t>
        </is>
      </c>
      <c r="B576" s="5" t="n">
        <v>2</v>
      </c>
      <c r="C576" s="5" t="n">
        <v>2</v>
      </c>
      <c r="D576" s="5" t="n">
        <v>2</v>
      </c>
      <c r="E576" s="13" t="n">
        <v>16080</v>
      </c>
      <c r="F576" s="13" t="n">
        <v>11000</v>
      </c>
      <c r="G576" s="13" t="n">
        <v>21160</v>
      </c>
      <c r="H576" t="inlineStr"/>
    </row>
    <row r="577">
      <c r="A577" t="inlineStr">
        <is>
          <t>3d-принтер, код дк 021:2015: 30230000-0-</t>
        </is>
      </c>
      <c r="B577" s="5" t="n">
        <v>2</v>
      </c>
      <c r="C577" s="5" t="n">
        <v>2</v>
      </c>
      <c r="D577" s="5" t="n">
        <v>4</v>
      </c>
      <c r="E577" s="13" t="n">
        <v>100000</v>
      </c>
      <c r="F577" s="13" t="n">
        <v>80000</v>
      </c>
      <c r="G577" s="13" t="n">
        <v>120000</v>
      </c>
      <c r="H577" t="inlineStr"/>
    </row>
    <row r="578">
      <c r="A578" t="inlineStr">
        <is>
          <t>Системний блок у</t>
        </is>
      </c>
      <c r="B578" s="5" t="n">
        <v>2</v>
      </c>
      <c r="C578" s="5" t="n">
        <v>1</v>
      </c>
      <c r="D578" s="5" t="n">
        <v>15</v>
      </c>
      <c r="E578" s="13" t="n">
        <v>29128.5</v>
      </c>
      <c r="F578" s="13" t="n">
        <v>29091</v>
      </c>
      <c r="G578" s="13" t="n">
        <v>29166</v>
      </c>
      <c r="H578" t="inlineStr">
        <is>
          <t>Intel (2), Kingston (2), MSI (2)</t>
        </is>
      </c>
    </row>
    <row r="579">
      <c r="A579" t="inlineStr">
        <is>
          <t>Системний блок до</t>
        </is>
      </c>
      <c r="B579" s="5" t="n">
        <v>2</v>
      </c>
      <c r="C579" s="5" t="n">
        <v>1</v>
      </c>
      <c r="D579" s="5" t="n">
        <v>11</v>
      </c>
      <c r="E579" s="13" t="n">
        <v>73104.17</v>
      </c>
      <c r="F579" s="13" t="n">
        <v>39875</v>
      </c>
      <c r="G579" s="13" t="n">
        <v>106333.33</v>
      </c>
      <c r="H579" t="inlineStr"/>
    </row>
    <row r="580">
      <c r="A580" t="inlineStr">
        <is>
          <t>Маніпулятор типу миша</t>
        </is>
      </c>
      <c r="B580" s="5" t="n">
        <v>2</v>
      </c>
      <c r="C580" s="5" t="n">
        <v>2</v>
      </c>
      <c r="D580" s="5" t="n">
        <v>6</v>
      </c>
      <c r="E580" s="13" t="n">
        <v>4141.38</v>
      </c>
      <c r="F580" s="13" t="n">
        <v>918.75</v>
      </c>
      <c r="G580" s="13" t="n">
        <v>7364</v>
      </c>
      <c r="H580" t="inlineStr"/>
    </row>
    <row r="581">
      <c r="A581" t="inlineStr">
        <is>
          <t>Захищений носій ключової</t>
        </is>
      </c>
      <c r="B581" s="5" t="n">
        <v>2</v>
      </c>
      <c r="C581" s="5" t="n">
        <v>2</v>
      </c>
      <c r="D581" s="5" t="n">
        <v>238</v>
      </c>
      <c r="E581" s="13" t="n">
        <v>1367.5</v>
      </c>
      <c r="F581" s="13" t="n">
        <v>1035</v>
      </c>
      <c r="G581" s="13" t="n">
        <v>1700</v>
      </c>
      <c r="H581" t="inlineStr"/>
    </row>
    <row r="582">
      <c r="A582" t="inlineStr">
        <is>
          <t>Портативний персональний комп'ютер</t>
        </is>
      </c>
      <c r="B582" s="5" t="n">
        <v>2</v>
      </c>
      <c r="C582" s="5" t="n">
        <v>2</v>
      </c>
      <c r="D582" s="5" t="n">
        <v>6</v>
      </c>
      <c r="E582" s="13" t="n">
        <v>32750</v>
      </c>
      <c r="F582" s="13" t="n">
        <v>32750</v>
      </c>
      <c r="G582" s="13" t="n">
        <v>32750</v>
      </c>
      <c r="H582" t="inlineStr">
        <is>
          <t>Dell (2)</t>
        </is>
      </c>
    </row>
    <row r="583">
      <c r="A583" t="inlineStr">
        <is>
          <t>Комп’ютерне обладнання матриця</t>
        </is>
      </c>
      <c r="B583" s="5" t="n">
        <v>2</v>
      </c>
      <c r="C583" s="5" t="n">
        <v>1</v>
      </c>
      <c r="D583" s="5" t="n">
        <v>15</v>
      </c>
      <c r="E583" s="13" t="n">
        <v>195</v>
      </c>
      <c r="F583" s="13" t="n">
        <v>130</v>
      </c>
      <c r="G583" s="13" t="n">
        <v>260</v>
      </c>
      <c r="H583" t="inlineStr"/>
    </row>
    <row r="584">
      <c r="A584" t="inlineStr">
        <is>
          <t>Диски</t>
        </is>
      </c>
      <c r="B584" s="5" t="n">
        <v>2</v>
      </c>
      <c r="C584" s="5" t="n">
        <v>1</v>
      </c>
      <c r="D584" s="5" t="n">
        <v>2</v>
      </c>
      <c r="E584" s="13" t="n">
        <v>2955.06</v>
      </c>
      <c r="F584" s="13" t="n">
        <v>2955.06</v>
      </c>
      <c r="G584" s="13" t="n">
        <v>2955.06</v>
      </c>
      <c r="H584" t="inlineStr"/>
    </row>
    <row r="585">
      <c r="A585" t="inlineStr">
        <is>
          <t>Maxxter hu2a-4p-01+1.00 баллов хаб usb 2</t>
        </is>
      </c>
      <c r="B585" s="5" t="n">
        <v>1</v>
      </c>
      <c r="C585" s="5" t="n">
        <v>1</v>
      </c>
      <c r="D585" s="5" t="n">
        <v>1</v>
      </c>
      <c r="E585" s="13" t="n">
        <v>1691</v>
      </c>
      <c r="F585" s="13" t="n">
        <v>1691</v>
      </c>
      <c r="G585" s="13" t="n">
        <v>1691</v>
      </c>
      <c r="H585" t="inlineStr">
        <is>
          <t>Maxxter (1)</t>
        </is>
      </c>
    </row>
    <row r="586">
      <c r="A586" t="inlineStr">
        <is>
          <t>Наклейки на клавіатуру</t>
        </is>
      </c>
      <c r="B586" s="5" t="n">
        <v>1</v>
      </c>
      <c r="C586" s="5" t="n">
        <v>1</v>
      </c>
      <c r="D586" s="5" t="n">
        <v>2</v>
      </c>
      <c r="E586" s="13" t="n">
        <v>845.5</v>
      </c>
      <c r="F586" s="13" t="n">
        <v>845.5</v>
      </c>
      <c r="G586" s="13" t="n">
        <v>845.5</v>
      </c>
      <c r="H586" t="inlineStr"/>
    </row>
    <row r="587">
      <c r="A587" t="inlineStr">
        <is>
          <t>Принтер етикеток</t>
        </is>
      </c>
      <c r="B587" s="5" t="n">
        <v>1</v>
      </c>
      <c r="C587" s="5" t="n">
        <v>1</v>
      </c>
      <c r="D587" s="5" t="n">
        <v>1</v>
      </c>
      <c r="E587" s="13" t="n">
        <v>9600</v>
      </c>
      <c r="F587" s="13" t="n">
        <v>9600</v>
      </c>
      <c r="G587" s="13" t="n">
        <v>9600</v>
      </c>
      <c r="H587" t="inlineStr"/>
    </row>
    <row r="588">
      <c r="A588" t="inlineStr">
        <is>
          <t>Сканер штрихкодів</t>
        </is>
      </c>
      <c r="B588" s="5" t="n">
        <v>1</v>
      </c>
      <c r="C588" s="5" t="n">
        <v>1</v>
      </c>
      <c r="D588" s="5" t="n">
        <v>1</v>
      </c>
      <c r="E588" s="13" t="n">
        <v>9600</v>
      </c>
      <c r="F588" s="13" t="n">
        <v>9600</v>
      </c>
      <c r="G588" s="13" t="n">
        <v>9600</v>
      </c>
      <c r="H588" t="inlineStr"/>
    </row>
    <row r="589">
      <c r="A589" t="inlineStr">
        <is>
          <t>Веб-камера код дк</t>
        </is>
      </c>
      <c r="B589" s="5" t="n">
        <v>1</v>
      </c>
      <c r="C589" s="5" t="n">
        <v>1</v>
      </c>
      <c r="D589" s="5" t="n">
        <v>14</v>
      </c>
      <c r="E589" s="13" t="n">
        <v>1299</v>
      </c>
      <c r="F589" s="13" t="n">
        <v>1299</v>
      </c>
      <c r="G589" s="13" t="n">
        <v>1299</v>
      </c>
      <c r="H589" t="inlineStr"/>
    </row>
    <row r="590">
      <c r="A590" t="inlineStr">
        <is>
          <t>Апаратно-програмний комплекс на</t>
        </is>
      </c>
      <c r="B590" s="5" t="n">
        <v>1</v>
      </c>
      <c r="C590" s="5" t="n">
        <v>1</v>
      </c>
      <c r="D590" s="5" t="n">
        <v>1</v>
      </c>
      <c r="E590" s="13" t="n">
        <v>495383</v>
      </c>
      <c r="F590" s="13" t="n">
        <v>495383</v>
      </c>
      <c r="G590" s="13" t="n">
        <v>495383</v>
      </c>
      <c r="H590" t="inlineStr"/>
    </row>
    <row r="591">
      <c r="A591" t="inlineStr">
        <is>
          <t xml:space="preserve">«xiaomi 65» qled 4k tv a pro 65 2026 та </t>
        </is>
      </c>
      <c r="B591" s="5" t="n">
        <v>1</v>
      </c>
      <c r="C591" s="5" t="n">
        <v>1</v>
      </c>
      <c r="D591" s="5" t="n">
        <v>2</v>
      </c>
      <c r="E591" s="13" t="n">
        <v>97719.10000000001</v>
      </c>
      <c r="F591" s="13" t="n">
        <v>97719.10000000001</v>
      </c>
      <c r="G591" s="13" t="n">
        <v>97719.10000000001</v>
      </c>
      <c r="H591" t="inlineStr">
        <is>
          <t>Xiaomi (1)</t>
        </is>
      </c>
    </row>
    <row r="592">
      <c r="A592" t="inlineStr">
        <is>
          <t>Флеш - карта</t>
        </is>
      </c>
      <c r="B592" s="5" t="n">
        <v>1</v>
      </c>
      <c r="C592" s="5" t="n">
        <v>1</v>
      </c>
      <c r="D592" s="5" t="n">
        <v>1</v>
      </c>
      <c r="E592" s="13" t="n">
        <v>483.24</v>
      </c>
      <c r="F592" s="13" t="n">
        <v>483.24</v>
      </c>
      <c r="G592" s="13" t="n">
        <v>483.24</v>
      </c>
      <c r="H592" t="inlineStr"/>
    </row>
    <row r="593">
      <c r="A593" t="inlineStr">
        <is>
          <t>Персональний комп’ютер форм</t>
        </is>
      </c>
      <c r="B593" s="5" t="n">
        <v>1</v>
      </c>
      <c r="C593" s="5" t="n">
        <v>1</v>
      </c>
      <c r="D593" s="5" t="n">
        <v>17</v>
      </c>
      <c r="E593" s="13" t="n">
        <v>36338.24</v>
      </c>
      <c r="F593" s="13" t="n">
        <v>36338.24</v>
      </c>
      <c r="G593" s="13" t="n">
        <v>36338.24</v>
      </c>
      <c r="H593" t="inlineStr"/>
    </row>
    <row r="594">
      <c r="A594" t="inlineStr">
        <is>
          <t>Придбання жорстких дисків</t>
        </is>
      </c>
      <c r="B594" s="5" t="n">
        <v>1</v>
      </c>
      <c r="C594" s="5" t="n">
        <v>1</v>
      </c>
      <c r="D594" s="5" t="n">
        <v>6</v>
      </c>
      <c r="E594" s="13" t="n">
        <v>1923.33</v>
      </c>
      <c r="F594" s="13" t="n">
        <v>1923.33</v>
      </c>
      <c r="G594" s="13" t="n">
        <v>1923.33</v>
      </c>
      <c r="H594" t="inlineStr"/>
    </row>
    <row r="595">
      <c r="A595" t="inlineStr">
        <is>
          <t>Комп'ютерне обладнання комлект</t>
        </is>
      </c>
      <c r="B595" s="5" t="n">
        <v>1</v>
      </c>
      <c r="C595" s="5" t="n">
        <v>1</v>
      </c>
      <c r="D595" s="5" t="n">
        <v>3</v>
      </c>
      <c r="E595" s="13" t="n">
        <v>1299</v>
      </c>
      <c r="F595" s="13" t="n">
        <v>1299</v>
      </c>
      <c r="G595" s="13" t="n">
        <v>1299</v>
      </c>
      <c r="H595" t="inlineStr"/>
    </row>
    <row r="596">
      <c r="A596" t="inlineStr">
        <is>
          <t>Жорсткий диск зовнішний</t>
        </is>
      </c>
      <c r="B596" s="5" t="n">
        <v>1</v>
      </c>
      <c r="C596" s="5" t="n">
        <v>1</v>
      </c>
      <c r="D596" s="5" t="n">
        <v>1</v>
      </c>
      <c r="E596" s="13" t="n">
        <v>6599</v>
      </c>
      <c r="F596" s="13" t="n">
        <v>6599</v>
      </c>
      <c r="G596" s="13" t="n">
        <v>6599</v>
      </c>
      <c r="H596" t="inlineStr">
        <is>
          <t>Transcend (1)</t>
        </is>
      </c>
    </row>
    <row r="597">
      <c r="A597" t="inlineStr">
        <is>
          <t>Моніторmsi pro mp241</t>
        </is>
      </c>
      <c r="B597" s="5" t="n">
        <v>1</v>
      </c>
      <c r="C597" s="5" t="n">
        <v>1</v>
      </c>
      <c r="D597" s="5" t="n">
        <v>3</v>
      </c>
      <c r="E597" s="13" t="n">
        <v>5197</v>
      </c>
      <c r="F597" s="13" t="n">
        <v>5197</v>
      </c>
      <c r="G597" s="13" t="n">
        <v>5197</v>
      </c>
      <c r="H597" t="inlineStr"/>
    </row>
    <row r="598">
      <c r="A598" t="inlineStr">
        <is>
          <t>Usb type-c концентратор (hub) сolorway 6</t>
        </is>
      </c>
      <c r="B598" s="5" t="n">
        <v>1</v>
      </c>
      <c r="C598" s="5" t="n">
        <v>1</v>
      </c>
      <c r="D598" s="5" t="n">
        <v>1</v>
      </c>
      <c r="E598" s="13" t="n">
        <v>2098</v>
      </c>
      <c r="F598" s="13" t="n">
        <v>2098</v>
      </c>
      <c r="G598" s="13" t="n">
        <v>2098</v>
      </c>
      <c r="H598" t="inlineStr"/>
    </row>
    <row r="599">
      <c r="A599" t="inlineStr">
        <is>
          <t>Комплект бездротовий</t>
        </is>
      </c>
      <c r="B599" s="5" t="n">
        <v>1</v>
      </c>
      <c r="C599" s="5" t="n">
        <v>1</v>
      </c>
      <c r="D599" s="5" t="n">
        <v>1</v>
      </c>
      <c r="E599" s="13" t="n">
        <v>2098</v>
      </c>
      <c r="F599" s="13" t="n">
        <v>2098</v>
      </c>
      <c r="G599" s="13" t="n">
        <v>2098</v>
      </c>
      <c r="H599" t="inlineStr">
        <is>
          <t>A4Tech (1)</t>
        </is>
      </c>
    </row>
    <row r="600">
      <c r="A600" t="inlineStr">
        <is>
          <t>Кабель дпя</t>
        </is>
      </c>
      <c r="B600" s="5" t="n">
        <v>1</v>
      </c>
      <c r="C600" s="5" t="n">
        <v>1</v>
      </c>
      <c r="D600" s="5" t="n">
        <v>1</v>
      </c>
      <c r="E600" s="13" t="n">
        <v>4530</v>
      </c>
      <c r="F600" s="13" t="n">
        <v>4530</v>
      </c>
      <c r="G600" s="13" t="n">
        <v>4530</v>
      </c>
      <c r="H600" t="inlineStr"/>
    </row>
    <row r="601">
      <c r="A601" t="inlineStr">
        <is>
          <t>Koмruieicr клавіатура+мхіііа maxxter kms</t>
        </is>
      </c>
      <c r="B601" s="5" t="n">
        <v>1</v>
      </c>
      <c r="C601" s="5" t="n">
        <v>1</v>
      </c>
      <c r="D601" s="5" t="n">
        <v>1</v>
      </c>
      <c r="E601" s="13" t="n">
        <v>4530</v>
      </c>
      <c r="F601" s="13" t="n">
        <v>4530</v>
      </c>
      <c r="G601" s="13" t="n">
        <v>4530</v>
      </c>
      <c r="H601" t="inlineStr">
        <is>
          <t>Maxxter (1)</t>
        </is>
      </c>
    </row>
    <row r="602">
      <c r="A602" t="inlineStr">
        <is>
          <t>Haкопичувач ssd m.2 2280 sata 240gb tran</t>
        </is>
      </c>
      <c r="B602" s="5" t="n">
        <v>1</v>
      </c>
      <c r="C602" s="5" t="n">
        <v>1</v>
      </c>
      <c r="D602" s="5" t="n">
        <v>1</v>
      </c>
      <c r="E602" s="13" t="n">
        <v>4530</v>
      </c>
      <c r="F602" s="13" t="n">
        <v>4530</v>
      </c>
      <c r="G602" s="13" t="n">
        <v>4530</v>
      </c>
      <c r="H602" t="inlineStr">
        <is>
          <t>Transcend (1)</t>
        </is>
      </c>
    </row>
    <row r="603">
      <c r="A603" t="inlineStr">
        <is>
          <t>Комп’ютерне обладнання накопичувач</t>
        </is>
      </c>
      <c r="B603" s="5" t="n">
        <v>1</v>
      </c>
      <c r="C603" s="5" t="n">
        <v>1</v>
      </c>
      <c r="D603" s="5" t="n">
        <v>12</v>
      </c>
      <c r="E603" s="13" t="n">
        <v>795.83</v>
      </c>
      <c r="F603" s="13" t="n">
        <v>795.83</v>
      </c>
      <c r="G603" s="13" t="n">
        <v>795.83</v>
      </c>
      <c r="H603" t="inlineStr"/>
    </row>
    <row r="604">
      <c r="A604" t="inlineStr">
        <is>
          <t>Комплект бездротовий клавіатура</t>
        </is>
      </c>
      <c r="B604" s="5" t="n">
        <v>1</v>
      </c>
      <c r="C604" s="5" t="n">
        <v>1</v>
      </c>
      <c r="D604" s="5" t="n">
        <v>3</v>
      </c>
      <c r="E604" s="13" t="n">
        <v>1199</v>
      </c>
      <c r="F604" s="13" t="n">
        <v>1199</v>
      </c>
      <c r="G604" s="13" t="n">
        <v>1199</v>
      </c>
      <c r="H604" t="inlineStr"/>
    </row>
    <row r="605">
      <c r="A605" t="inlineStr">
        <is>
          <t>Флеш</t>
        </is>
      </c>
      <c r="B605" s="5" t="n">
        <v>1</v>
      </c>
      <c r="C605" s="5" t="n">
        <v>1</v>
      </c>
      <c r="D605" s="5" t="n">
        <v>1</v>
      </c>
      <c r="E605" s="13" t="n">
        <v>470</v>
      </c>
      <c r="F605" s="13" t="n">
        <v>470</v>
      </c>
      <c r="G605" s="13" t="n">
        <v>470</v>
      </c>
      <c r="H605" t="inlineStr"/>
    </row>
    <row r="606">
      <c r="A606" t="inlineStr">
        <is>
          <t>Філамент для</t>
        </is>
      </c>
      <c r="B606" s="5" t="n">
        <v>1</v>
      </c>
      <c r="C606" s="5" t="n">
        <v>1</v>
      </c>
      <c r="D606" s="5" t="n">
        <v>5</v>
      </c>
      <c r="E606" s="13" t="n">
        <v>744</v>
      </c>
      <c r="F606" s="13" t="n">
        <v>744</v>
      </c>
      <c r="G606" s="13" t="n">
        <v>744</v>
      </c>
      <c r="H606" t="inlineStr"/>
    </row>
    <row r="607">
      <c r="A607" t="inlineStr">
        <is>
          <t>Usb флеш накопичувач 2.0</t>
        </is>
      </c>
      <c r="B607" s="5" t="n">
        <v>1</v>
      </c>
      <c r="C607" s="5" t="n">
        <v>1</v>
      </c>
      <c r="D607" s="5" t="n">
        <v>3</v>
      </c>
      <c r="E607" s="13" t="n">
        <v>349</v>
      </c>
      <c r="F607" s="13" t="n">
        <v>349</v>
      </c>
      <c r="G607" s="13" t="n">
        <v>349</v>
      </c>
      <c r="H607" t="inlineStr"/>
    </row>
    <row r="608">
      <c r="A608" t="inlineStr">
        <is>
          <t>Ssd диск prologix s360 256gb 2.5"</t>
        </is>
      </c>
      <c r="B608" s="5" t="n">
        <v>1</v>
      </c>
      <c r="C608" s="5" t="n">
        <v>1</v>
      </c>
      <c r="D608" s="5" t="n">
        <v>2</v>
      </c>
      <c r="E608" s="13" t="n">
        <v>2543</v>
      </c>
      <c r="F608" s="13" t="n">
        <v>2543</v>
      </c>
      <c r="G608" s="13" t="n">
        <v>2543</v>
      </c>
      <c r="H608" t="inlineStr">
        <is>
          <t>Prologix (1)</t>
        </is>
      </c>
    </row>
    <row r="609">
      <c r="A609" t="inlineStr">
        <is>
          <t>Usb хаб gembird usb 2.0 х 4</t>
        </is>
      </c>
      <c r="B609" s="5" t="n">
        <v>1</v>
      </c>
      <c r="C609" s="5" t="n">
        <v>1</v>
      </c>
      <c r="D609" s="5" t="n">
        <v>2</v>
      </c>
      <c r="E609" s="13" t="n">
        <v>179.94</v>
      </c>
      <c r="F609" s="13" t="n">
        <v>179.94</v>
      </c>
      <c r="G609" s="13" t="n">
        <v>179.94</v>
      </c>
      <c r="H609" t="inlineStr">
        <is>
          <t>Gembird (1)</t>
        </is>
      </c>
    </row>
    <row r="610">
      <c r="A610" t="inlineStr">
        <is>
          <t>Портативний дисплей брайля</t>
        </is>
      </c>
      <c r="B610" s="5" t="n">
        <v>1</v>
      </c>
      <c r="C610" s="5" t="n">
        <v>1</v>
      </c>
      <c r="D610" s="5" t="n">
        <v>1</v>
      </c>
      <c r="E610" s="13" t="n">
        <v>160000</v>
      </c>
      <c r="F610" s="13" t="n">
        <v>160000</v>
      </c>
      <c r="G610" s="13" t="n">
        <v>160000</v>
      </c>
      <c r="H610" t="inlineStr"/>
    </row>
    <row r="611">
      <c r="A611" t="inlineStr">
        <is>
          <t>30230000-0 комп’ютерне обладнання згідно</t>
        </is>
      </c>
      <c r="B611" s="5" t="n">
        <v>1</v>
      </c>
      <c r="C611" s="5" t="n">
        <v>1</v>
      </c>
      <c r="D611" s="5" t="n">
        <v>2</v>
      </c>
      <c r="E611" s="13" t="n">
        <v>11675</v>
      </c>
      <c r="F611" s="13" t="n">
        <v>11675</v>
      </c>
      <c r="G611" s="13" t="n">
        <v>11675</v>
      </c>
      <c r="H611" t="inlineStr"/>
    </row>
    <row r="612">
      <c r="A612" t="inlineStr">
        <is>
          <t>Портативний компютер</t>
        </is>
      </c>
      <c r="B612" s="5" t="n">
        <v>1</v>
      </c>
      <c r="C612" s="5" t="n">
        <v>1</v>
      </c>
      <c r="D612" s="5" t="n">
        <v>1</v>
      </c>
      <c r="E612" s="13" t="n">
        <v>66850</v>
      </c>
      <c r="F612" s="13" t="n">
        <v>66850</v>
      </c>
      <c r="G612" s="13" t="n">
        <v>66850</v>
      </c>
      <c r="H612" t="inlineStr"/>
    </row>
    <row r="613">
      <c r="A613" t="inlineStr">
        <is>
          <t>Багатофункціональний принтер лазерний</t>
        </is>
      </c>
      <c r="B613" s="5" t="n">
        <v>1</v>
      </c>
      <c r="C613" s="5" t="n">
        <v>1</v>
      </c>
      <c r="D613" s="5" t="n">
        <v>1</v>
      </c>
      <c r="E613" s="13" t="n">
        <v>17900</v>
      </c>
      <c r="F613" s="13" t="n">
        <v>17900</v>
      </c>
      <c r="G613" s="13" t="n">
        <v>17900</v>
      </c>
      <c r="H613" t="inlineStr"/>
    </row>
    <row r="614">
      <c r="A614" t="inlineStr">
        <is>
          <t>Комплект бездротової клавіатури</t>
        </is>
      </c>
      <c r="B614" s="5" t="n">
        <v>1</v>
      </c>
      <c r="C614" s="5" t="n">
        <v>1</v>
      </c>
      <c r="D614" s="5" t="n">
        <v>1</v>
      </c>
      <c r="E614" s="13" t="n">
        <v>1199</v>
      </c>
      <c r="F614" s="13" t="n">
        <v>1199</v>
      </c>
      <c r="G614" s="13" t="n">
        <v>1199</v>
      </c>
      <c r="H614" t="inlineStr"/>
    </row>
    <row r="615">
      <c r="A615" t="inlineStr">
        <is>
          <t>Відеоплата</t>
        </is>
      </c>
      <c r="B615" s="5" t="n">
        <v>1</v>
      </c>
      <c r="C615" s="5" t="n">
        <v>1</v>
      </c>
      <c r="D615" s="5" t="n">
        <v>2</v>
      </c>
      <c r="E615" s="13" t="n">
        <v>10864.02</v>
      </c>
      <c r="F615" s="13" t="n">
        <v>10864.02</v>
      </c>
      <c r="G615" s="13" t="n">
        <v>10864.02</v>
      </c>
      <c r="H615" t="inlineStr"/>
    </row>
    <row r="616">
      <c r="A616" t="inlineStr">
        <is>
          <t>Ноутбук робоча станція</t>
        </is>
      </c>
      <c r="B616" s="5" t="n">
        <v>1</v>
      </c>
      <c r="C616" s="5" t="n">
        <v>1</v>
      </c>
      <c r="D616" s="5" t="n">
        <v>3</v>
      </c>
      <c r="E616" s="13" t="n">
        <v>15299.67</v>
      </c>
      <c r="F616" s="13" t="n">
        <v>15299.67</v>
      </c>
      <c r="G616" s="13" t="n">
        <v>15299.67</v>
      </c>
      <c r="H616" t="inlineStr">
        <is>
          <t>HP (1), Intel (1), NVIDIA (1)</t>
        </is>
      </c>
    </row>
    <row r="617">
      <c r="A617" t="inlineStr">
        <is>
          <t>Мережеве обладнання</t>
        </is>
      </c>
      <c r="B617" s="5" t="n">
        <v>1</v>
      </c>
      <c r="C617" s="5" t="n">
        <v>1</v>
      </c>
      <c r="D617" s="5" t="n">
        <v>4</v>
      </c>
      <c r="E617" s="13" t="n">
        <v>837.5</v>
      </c>
      <c r="F617" s="13" t="n">
        <v>837.5</v>
      </c>
      <c r="G617" s="13" t="n">
        <v>837.5</v>
      </c>
      <c r="H617" t="inlineStr"/>
    </row>
    <row r="618">
      <c r="A618" t="inlineStr">
        <is>
          <t>Usb hub baseus</t>
        </is>
      </c>
      <c r="B618" s="5" t="n">
        <v>1</v>
      </c>
      <c r="C618" s="5" t="n">
        <v>1</v>
      </c>
      <c r="D618" s="5" t="n">
        <v>1</v>
      </c>
      <c r="E618" s="13" t="n">
        <v>4730</v>
      </c>
      <c r="F618" s="13" t="n">
        <v>4730</v>
      </c>
      <c r="G618" s="13" t="n">
        <v>4730</v>
      </c>
      <c r="H618" t="inlineStr"/>
    </row>
    <row r="619">
      <c r="A619" t="inlineStr">
        <is>
          <t>Ssd диск apacer 120gb 2,5</t>
        </is>
      </c>
      <c r="B619" s="5" t="n">
        <v>1</v>
      </c>
      <c r="C619" s="5" t="n">
        <v>1</v>
      </c>
      <c r="D619" s="5" t="n">
        <v>1</v>
      </c>
      <c r="E619" s="13" t="n">
        <v>4730</v>
      </c>
      <c r="F619" s="13" t="n">
        <v>4730</v>
      </c>
      <c r="G619" s="13" t="n">
        <v>4730</v>
      </c>
      <c r="H619" t="inlineStr"/>
    </row>
    <row r="620">
      <c r="A620" t="inlineStr">
        <is>
          <t>Кольоровий лазерний багатофункціональний</t>
        </is>
      </c>
      <c r="B620" s="5" t="n">
        <v>1</v>
      </c>
      <c r="C620" s="5" t="n">
        <v>1</v>
      </c>
      <c r="D620" s="5" t="n">
        <v>1</v>
      </c>
      <c r="E620" s="13" t="n">
        <v>19772.5</v>
      </c>
      <c r="F620" s="13" t="n">
        <v>19772.5</v>
      </c>
      <c r="G620" s="13" t="n">
        <v>19772.5</v>
      </c>
      <c r="H620" t="inlineStr"/>
    </row>
    <row r="621">
      <c r="A621" t="inlineStr">
        <is>
          <t>Бездротовий комплект</t>
        </is>
      </c>
      <c r="B621" s="5" t="n">
        <v>1</v>
      </c>
      <c r="C621" s="5" t="n">
        <v>1</v>
      </c>
      <c r="D621" s="5" t="n">
        <v>1</v>
      </c>
      <c r="E621" s="13" t="n">
        <v>10054</v>
      </c>
      <c r="F621" s="13" t="n">
        <v>10054</v>
      </c>
      <c r="G621" s="13" t="n">
        <v>10054</v>
      </c>
      <c r="H621" t="inlineStr">
        <is>
          <t>A4Tech (1)</t>
        </is>
      </c>
    </row>
    <row r="622">
      <c r="A622" t="inlineStr">
        <is>
          <t>Кабель живлення евровилка</t>
        </is>
      </c>
      <c r="B622" s="5" t="n">
        <v>1</v>
      </c>
      <c r="C622" s="5" t="n">
        <v>1</v>
      </c>
      <c r="D622" s="5" t="n">
        <v>1</v>
      </c>
      <c r="E622" s="13" t="n">
        <v>10054</v>
      </c>
      <c r="F622" s="13" t="n">
        <v>10054</v>
      </c>
      <c r="G622" s="13" t="n">
        <v>10054</v>
      </c>
      <c r="H622" t="inlineStr"/>
    </row>
    <row r="623">
      <c r="A623" t="inlineStr">
        <is>
          <t>Мікрофон</t>
        </is>
      </c>
      <c r="B623" s="5" t="n">
        <v>1</v>
      </c>
      <c r="C623" s="5" t="n">
        <v>1</v>
      </c>
      <c r="D623" s="5" t="n">
        <v>1</v>
      </c>
      <c r="E623" s="13" t="n">
        <v>10054</v>
      </c>
      <c r="F623" s="13" t="n">
        <v>10054</v>
      </c>
      <c r="G623" s="13" t="n">
        <v>10054</v>
      </c>
      <c r="H623" t="inlineStr">
        <is>
          <t>Trust (1)</t>
        </is>
      </c>
    </row>
    <row r="624">
      <c r="A624" t="inlineStr">
        <is>
          <t>Ssd 256gb amd r3 sata3 2.5" 3d tlc, 530/</t>
        </is>
      </c>
      <c r="B624" s="5" t="n">
        <v>1</v>
      </c>
      <c r="C624" s="5" t="n">
        <v>1</v>
      </c>
      <c r="D624" s="5" t="n">
        <v>1</v>
      </c>
      <c r="E624" s="13" t="n">
        <v>10054</v>
      </c>
      <c r="F624" s="13" t="n">
        <v>10054</v>
      </c>
      <c r="G624" s="13" t="n">
        <v>10054</v>
      </c>
      <c r="H624" t="inlineStr">
        <is>
          <t>AMD (1)</t>
        </is>
      </c>
    </row>
    <row r="625">
      <c r="A625" t="inlineStr">
        <is>
          <t>Вебкамера</t>
        </is>
      </c>
      <c r="B625" s="5" t="n">
        <v>1</v>
      </c>
      <c r="C625" s="5" t="n">
        <v>1</v>
      </c>
      <c r="D625" s="5" t="n">
        <v>1</v>
      </c>
      <c r="E625" s="13" t="n"/>
      <c r="F625" s="13" t="n"/>
      <c r="G625" s="13" t="n"/>
      <c r="H625" t="inlineStr">
        <is>
          <t>Trust (1)</t>
        </is>
      </c>
    </row>
    <row r="626">
      <c r="A626" t="inlineStr">
        <is>
          <t>Canon pixma g3410 з wifi (2315c009)</t>
        </is>
      </c>
      <c r="B626" s="5" t="n">
        <v>1</v>
      </c>
      <c r="C626" s="5" t="n">
        <v>1</v>
      </c>
      <c r="D626" s="5" t="n">
        <v>1</v>
      </c>
      <c r="E626" s="13" t="n">
        <v>8400</v>
      </c>
      <c r="F626" s="13" t="n">
        <v>8400</v>
      </c>
      <c r="G626" s="13" t="n">
        <v>8400</v>
      </c>
      <c r="H626" t="inlineStr">
        <is>
          <t>Canon (1)</t>
        </is>
      </c>
    </row>
    <row r="627">
      <c r="A627" t="inlineStr">
        <is>
          <t>Пульт управління до</t>
        </is>
      </c>
      <c r="B627" s="5" t="n">
        <v>1</v>
      </c>
      <c r="C627" s="5" t="n">
        <v>1</v>
      </c>
      <c r="D627" s="5" t="n">
        <v>1</v>
      </c>
      <c r="E627" s="13" t="n">
        <v>46500</v>
      </c>
      <c r="F627" s="13" t="n">
        <v>46500</v>
      </c>
      <c r="G627" s="13" t="n">
        <v>46500</v>
      </c>
      <c r="H627" t="inlineStr"/>
    </row>
    <row r="628">
      <c r="A628" t="inlineStr">
        <is>
          <t>Блок живлення до</t>
        </is>
      </c>
      <c r="B628" s="5" t="n">
        <v>1</v>
      </c>
      <c r="C628" s="5" t="n">
        <v>1</v>
      </c>
      <c r="D628" s="5" t="n">
        <v>1</v>
      </c>
      <c r="E628" s="13" t="n">
        <v>500</v>
      </c>
      <c r="F628" s="13" t="n">
        <v>500</v>
      </c>
      <c r="G628" s="13" t="n">
        <v>500</v>
      </c>
      <c r="H628" t="inlineStr"/>
    </row>
    <row r="629">
      <c r="A629" t="inlineStr">
        <is>
          <t xml:space="preserve">30230000-0 комп’ютерне обладнання (миша </t>
        </is>
      </c>
      <c r="B629" s="5" t="n">
        <v>1</v>
      </c>
      <c r="C629" s="5" t="n">
        <v>1</v>
      </c>
      <c r="D629" s="5" t="n">
        <v>15</v>
      </c>
      <c r="E629" s="13" t="n">
        <v>229.92</v>
      </c>
      <c r="F629" s="13" t="n">
        <v>229.92</v>
      </c>
      <c r="G629" s="13" t="n">
        <v>229.92</v>
      </c>
      <c r="H629" t="inlineStr"/>
    </row>
    <row r="630">
      <c r="A630" t="inlineStr">
        <is>
          <t>Комп'ютер у складі</t>
        </is>
      </c>
      <c r="B630" s="5" t="n">
        <v>1</v>
      </c>
      <c r="C630" s="5" t="n">
        <v>1</v>
      </c>
      <c r="D630" s="5" t="n">
        <v>1</v>
      </c>
      <c r="E630" s="13" t="n">
        <v>38000</v>
      </c>
      <c r="F630" s="13" t="n">
        <v>38000</v>
      </c>
      <c r="G630" s="13" t="n">
        <v>38000</v>
      </c>
      <c r="H630" t="inlineStr"/>
    </row>
    <row r="631">
      <c r="A631" t="inlineStr">
        <is>
          <t>Багатофункціональні пристрої принтер</t>
        </is>
      </c>
      <c r="B631" s="5" t="n">
        <v>1</v>
      </c>
      <c r="C631" s="5" t="n">
        <v>1</v>
      </c>
      <c r="D631" s="5" t="n">
        <v>5</v>
      </c>
      <c r="E631" s="13" t="n">
        <v>15756</v>
      </c>
      <c r="F631" s="13" t="n">
        <v>15756</v>
      </c>
      <c r="G631" s="13" t="n">
        <v>15756</v>
      </c>
      <c r="H631" t="inlineStr"/>
    </row>
    <row r="632">
      <c r="A632" t="inlineStr">
        <is>
          <t>Ком'пютер</t>
        </is>
      </c>
      <c r="B632" s="5" t="n">
        <v>1</v>
      </c>
      <c r="C632" s="5" t="n">
        <v>1</v>
      </c>
      <c r="D632" s="5" t="n">
        <v>2</v>
      </c>
      <c r="E632" s="13" t="n">
        <v>29535</v>
      </c>
      <c r="F632" s="13" t="n">
        <v>29535</v>
      </c>
      <c r="G632" s="13" t="n">
        <v>29535</v>
      </c>
      <c r="H632" t="inlineStr">
        <is>
          <t>Vinga (1)</t>
        </is>
      </c>
    </row>
    <row r="633">
      <c r="A633" t="inlineStr">
        <is>
          <t>30210000-4 машини для обробки даних (апа</t>
        </is>
      </c>
      <c r="B633" s="5" t="n">
        <v>1</v>
      </c>
      <c r="C633" s="5" t="n">
        <v>1</v>
      </c>
      <c r="D633" s="5" t="n">
        <v>3</v>
      </c>
      <c r="E633" s="13" t="n">
        <v>41666.67</v>
      </c>
      <c r="F633" s="13" t="n">
        <v>41666.67</v>
      </c>
      <c r="G633" s="13" t="n">
        <v>41666.67</v>
      </c>
      <c r="H633" t="inlineStr"/>
    </row>
    <row r="634">
      <c r="A634" t="inlineStr">
        <is>
          <t>Ssd накопичувач 240 gb sata 3</t>
        </is>
      </c>
      <c r="B634" s="5" t="n">
        <v>1</v>
      </c>
      <c r="C634" s="5" t="n">
        <v>1</v>
      </c>
      <c r="D634" s="5" t="n">
        <v>1</v>
      </c>
      <c r="E634" s="13" t="n">
        <v>2450</v>
      </c>
      <c r="F634" s="13" t="n">
        <v>2450</v>
      </c>
      <c r="G634" s="13" t="n">
        <v>2450</v>
      </c>
      <c r="H634" t="inlineStr"/>
    </row>
    <row r="635">
      <c r="A635" t="inlineStr">
        <is>
          <t>Кклавіатура провідна класична</t>
        </is>
      </c>
      <c r="B635" s="5" t="n">
        <v>1</v>
      </c>
      <c r="C635" s="5" t="n">
        <v>1</v>
      </c>
      <c r="D635" s="5" t="n">
        <v>1</v>
      </c>
      <c r="E635" s="13" t="n">
        <v>499</v>
      </c>
      <c r="F635" s="13" t="n">
        <v>499</v>
      </c>
      <c r="G635" s="13" t="n">
        <v>499</v>
      </c>
      <c r="H635" t="inlineStr"/>
    </row>
    <row r="636">
      <c r="A636" t="inlineStr">
        <is>
          <t>Мишка дротова код</t>
        </is>
      </c>
      <c r="B636" s="5" t="n">
        <v>1</v>
      </c>
      <c r="C636" s="5" t="n">
        <v>1</v>
      </c>
      <c r="D636" s="5" t="n">
        <v>3</v>
      </c>
      <c r="E636" s="13" t="n">
        <v>270</v>
      </c>
      <c r="F636" s="13" t="n">
        <v>270</v>
      </c>
      <c r="G636" s="13" t="n">
        <v>270</v>
      </c>
      <c r="H636" t="inlineStr"/>
    </row>
    <row r="637">
      <c r="A637" t="inlineStr">
        <is>
          <t>30230000-0 комп’ютерне обладнання (моніт</t>
        </is>
      </c>
      <c r="B637" s="5" t="n">
        <v>1</v>
      </c>
      <c r="C637" s="5" t="n">
        <v>1</v>
      </c>
      <c r="D637" s="5" t="n">
        <v>3</v>
      </c>
      <c r="E637" s="13" t="n">
        <v>7198.98</v>
      </c>
      <c r="F637" s="13" t="n">
        <v>7198.98</v>
      </c>
      <c r="G637" s="13" t="n">
        <v>7198.98</v>
      </c>
      <c r="H637" t="inlineStr"/>
    </row>
    <row r="638">
      <c r="A638" t="inlineStr">
        <is>
          <t>Клавіатура+миша a4tech kk-3330 black us</t>
        </is>
      </c>
      <c r="B638" s="5" t="n">
        <v>1</v>
      </c>
      <c r="C638" s="5" t="n">
        <v>1</v>
      </c>
      <c r="D638" s="5" t="n">
        <v>3</v>
      </c>
      <c r="E638" s="13" t="n">
        <v>5377.32</v>
      </c>
      <c r="F638" s="13" t="n">
        <v>5377.32</v>
      </c>
      <c r="G638" s="13" t="n">
        <v>5377.32</v>
      </c>
      <c r="H638" t="inlineStr">
        <is>
          <t>A4Tech (1)</t>
        </is>
      </c>
    </row>
    <row r="639">
      <c r="A639" t="inlineStr">
        <is>
          <t>Комп.камера logitech brio 105 fhd graphi</t>
        </is>
      </c>
      <c r="B639" s="5" t="n">
        <v>1</v>
      </c>
      <c r="C639" s="5" t="n">
        <v>1</v>
      </c>
      <c r="D639" s="5" t="n">
        <v>1</v>
      </c>
      <c r="E639" s="13" t="n">
        <v>1849</v>
      </c>
      <c r="F639" s="13" t="n">
        <v>1849</v>
      </c>
      <c r="G639" s="13" t="n">
        <v>1849</v>
      </c>
      <c r="H639" t="inlineStr">
        <is>
          <t>Logitech (1)</t>
        </is>
      </c>
    </row>
    <row r="640">
      <c r="A640" t="inlineStr">
        <is>
          <t>30230000-0 комп’ютерне обладнання (багат</t>
        </is>
      </c>
      <c r="B640" s="5" t="n">
        <v>1</v>
      </c>
      <c r="C640" s="5" t="n">
        <v>1</v>
      </c>
      <c r="D640" s="5" t="n">
        <v>1</v>
      </c>
      <c r="E640" s="13" t="n">
        <v>13349</v>
      </c>
      <c r="F640" s="13" t="n">
        <v>13349</v>
      </c>
      <c r="G640" s="13" t="n">
        <v>13349</v>
      </c>
      <c r="H640" t="inlineStr">
        <is>
          <t>Canon (1)</t>
        </is>
      </c>
    </row>
    <row r="641">
      <c r="A641" t="inlineStr">
        <is>
          <t>30230000-0 комп’ютерне обладнання (картр</t>
        </is>
      </c>
      <c r="B641" s="5" t="n">
        <v>1</v>
      </c>
      <c r="C641" s="5" t="n">
        <v>1</v>
      </c>
      <c r="D641" s="5" t="n">
        <v>1</v>
      </c>
      <c r="E641" s="13" t="n">
        <v>13349</v>
      </c>
      <c r="F641" s="13" t="n">
        <v>13349</v>
      </c>
      <c r="G641" s="13" t="n">
        <v>13349</v>
      </c>
      <c r="H641" t="inlineStr">
        <is>
          <t>HP (1)</t>
        </is>
      </c>
    </row>
    <row r="642">
      <c r="A642" t="inlineStr">
        <is>
          <t>Придбання комп'ютерного обладнання</t>
        </is>
      </c>
      <c r="B642" s="5" t="n">
        <v>1</v>
      </c>
      <c r="C642" s="5" t="n">
        <v>1</v>
      </c>
      <c r="D642" s="5" t="n">
        <v>10</v>
      </c>
      <c r="E642" s="13" t="n">
        <v>2596.4</v>
      </c>
      <c r="F642" s="13" t="n">
        <v>2596.4</v>
      </c>
      <c r="G642" s="13" t="n">
        <v>2596.4</v>
      </c>
      <c r="H642" t="inlineStr"/>
    </row>
    <row r="643">
      <c r="A643" t="inlineStr">
        <is>
          <t>Накопичувачі адаптери та</t>
        </is>
      </c>
      <c r="B643" s="5" t="n">
        <v>1</v>
      </c>
      <c r="C643" s="5" t="n">
        <v>1</v>
      </c>
      <c r="D643" s="5" t="n">
        <v>35</v>
      </c>
      <c r="E643" s="13" t="n">
        <v>544.86</v>
      </c>
      <c r="F643" s="13" t="n">
        <v>544.86</v>
      </c>
      <c r="G643" s="13" t="n">
        <v>544.86</v>
      </c>
      <c r="H643" t="inlineStr"/>
    </row>
    <row r="644">
      <c r="A644" t="inlineStr">
        <is>
          <t>Персональні комп'ютери системний</t>
        </is>
      </c>
      <c r="B644" s="5" t="n">
        <v>1</v>
      </c>
      <c r="C644" s="5" t="n">
        <v>1</v>
      </c>
      <c r="D644" s="5" t="n">
        <v>12</v>
      </c>
      <c r="E644" s="13" t="n">
        <v>33666.67</v>
      </c>
      <c r="F644" s="13" t="n">
        <v>33666.67</v>
      </c>
      <c r="G644" s="13" t="n">
        <v>33666.67</v>
      </c>
      <c r="H644" t="inlineStr"/>
    </row>
    <row r="645">
      <c r="A645" t="inlineStr">
        <is>
          <t>Жорсткий диск маніпулятор</t>
        </is>
      </c>
      <c r="B645" s="5" t="n">
        <v>1</v>
      </c>
      <c r="C645" s="5" t="n">
        <v>1</v>
      </c>
      <c r="D645" s="5" t="n">
        <v>9</v>
      </c>
      <c r="E645" s="13" t="n">
        <v>3578</v>
      </c>
      <c r="F645" s="13" t="n">
        <v>3578</v>
      </c>
      <c r="G645" s="13" t="n">
        <v>3578</v>
      </c>
      <c r="H645" t="inlineStr"/>
    </row>
    <row r="646">
      <c r="A646" t="inlineStr">
        <is>
          <t>Персональний комп ютер</t>
        </is>
      </c>
      <c r="B646" s="5" t="n">
        <v>1</v>
      </c>
      <c r="C646" s="5" t="n">
        <v>1</v>
      </c>
      <c r="D646" s="5" t="n">
        <v>1</v>
      </c>
      <c r="E646" s="13" t="n">
        <v>46416.08</v>
      </c>
      <c r="F646" s="13" t="n">
        <v>46416.08</v>
      </c>
      <c r="G646" s="13" t="n">
        <v>46416.08</v>
      </c>
      <c r="H646" t="inlineStr"/>
    </row>
    <row r="647">
      <c r="A647" t="inlineStr">
        <is>
          <t>Багатофункціональнй пристрій</t>
        </is>
      </c>
      <c r="B647" s="5" t="n">
        <v>1</v>
      </c>
      <c r="C647" s="5" t="n">
        <v>1</v>
      </c>
      <c r="D647" s="5" t="n">
        <v>1</v>
      </c>
      <c r="E647" s="13" t="n">
        <v>9700</v>
      </c>
      <c r="F647" s="13" t="n">
        <v>9700</v>
      </c>
      <c r="G647" s="13" t="n">
        <v>9700</v>
      </c>
      <c r="H647" t="inlineStr">
        <is>
          <t>Epson (1)</t>
        </is>
      </c>
    </row>
    <row r="648">
      <c r="A648" t="inlineStr">
        <is>
          <t>Лазерні принтери дк</t>
        </is>
      </c>
      <c r="B648" s="5" t="n">
        <v>1</v>
      </c>
      <c r="C648" s="5" t="n">
        <v>1</v>
      </c>
      <c r="D648" s="5" t="n">
        <v>30</v>
      </c>
      <c r="E648" s="13" t="n">
        <v>16000</v>
      </c>
      <c r="F648" s="13" t="n">
        <v>16000</v>
      </c>
      <c r="G648" s="13" t="n">
        <v>16000</v>
      </c>
      <c r="H648" t="inlineStr"/>
    </row>
    <row r="649">
      <c r="A649" t="inlineStr">
        <is>
          <t>30230000-0 комп’ютерне обладнання (жорст</t>
        </is>
      </c>
      <c r="B649" s="5" t="n">
        <v>1</v>
      </c>
      <c r="C649" s="5" t="n">
        <v>1</v>
      </c>
      <c r="D649" s="5" t="n">
        <v>1</v>
      </c>
      <c r="E649" s="13" t="n">
        <v>3535</v>
      </c>
      <c r="F649" s="13" t="n">
        <v>3535</v>
      </c>
      <c r="G649" s="13" t="n">
        <v>3535</v>
      </c>
      <c r="H649" t="inlineStr">
        <is>
          <t>Western Digital (1)</t>
        </is>
      </c>
    </row>
    <row r="650">
      <c r="A650" t="inlineStr">
        <is>
          <t>Лот</t>
        </is>
      </c>
      <c r="B650" s="5" t="n">
        <v>1</v>
      </c>
      <c r="C650" s="5" t="n">
        <v>1</v>
      </c>
      <c r="D650" s="5" t="n">
        <v>4</v>
      </c>
      <c r="E650" s="13" t="n">
        <v>9500</v>
      </c>
      <c r="F650" s="13" t="n">
        <v>9500</v>
      </c>
      <c r="G650" s="13" t="n">
        <v>9500</v>
      </c>
      <c r="H650" t="inlineStr">
        <is>
          <t>Kingston (1)</t>
        </is>
      </c>
    </row>
    <row r="651">
      <c r="A651" t="inlineStr">
        <is>
          <t>Usb флеш накопичувач kingston 128gb iron</t>
        </is>
      </c>
      <c r="B651" s="5" t="n">
        <v>1</v>
      </c>
      <c r="C651" s="5" t="n">
        <v>1</v>
      </c>
      <c r="D651" s="5" t="n">
        <v>2</v>
      </c>
      <c r="E651" s="13" t="n">
        <v>12400</v>
      </c>
      <c r="F651" s="13" t="n">
        <v>12400</v>
      </c>
      <c r="G651" s="13" t="n">
        <v>12400</v>
      </c>
      <c r="H651" t="inlineStr">
        <is>
          <t>Kingston (1)</t>
        </is>
      </c>
    </row>
    <row r="652">
      <c r="A652" t="inlineStr">
        <is>
          <t>Монітор і багатофункціональний</t>
        </is>
      </c>
      <c r="B652" s="5" t="n">
        <v>1</v>
      </c>
      <c r="C652" s="5" t="n">
        <v>1</v>
      </c>
      <c r="D652" s="5" t="n">
        <v>2</v>
      </c>
      <c r="E652" s="13" t="n">
        <v>7862.5</v>
      </c>
      <c r="F652" s="13" t="n">
        <v>7862.5</v>
      </c>
      <c r="G652" s="13" t="n">
        <v>7862.5</v>
      </c>
      <c r="H652" t="inlineStr"/>
    </row>
    <row r="653">
      <c r="A653" t="inlineStr">
        <is>
          <t>Web-камера 1080p webcam for pc (з мікроф</t>
        </is>
      </c>
      <c r="B653" s="5" t="n">
        <v>1</v>
      </c>
      <c r="C653" s="5" t="n">
        <v>1</v>
      </c>
      <c r="D653" s="5" t="n">
        <v>5</v>
      </c>
      <c r="E653" s="13" t="n">
        <v>1100</v>
      </c>
      <c r="F653" s="13" t="n">
        <v>1100</v>
      </c>
      <c r="G653" s="13" t="n">
        <v>1100</v>
      </c>
      <c r="H653" t="inlineStr"/>
    </row>
    <row r="654">
      <c r="A654" t="inlineStr">
        <is>
          <t>Вентилятор</t>
        </is>
      </c>
      <c r="B654" s="5" t="n">
        <v>1</v>
      </c>
      <c r="C654" s="5" t="n">
        <v>1</v>
      </c>
      <c r="D654" s="5" t="n">
        <v>1</v>
      </c>
      <c r="E654" s="13" t="n">
        <v>2280</v>
      </c>
      <c r="F654" s="13" t="n">
        <v>2280</v>
      </c>
      <c r="G654" s="13" t="n">
        <v>2280</v>
      </c>
      <c r="H654" t="inlineStr"/>
    </row>
    <row r="655">
      <c r="A655" t="inlineStr">
        <is>
          <t>Медіаконвертер</t>
        </is>
      </c>
      <c r="B655" s="5" t="n">
        <v>1</v>
      </c>
      <c r="C655" s="5" t="n">
        <v>1</v>
      </c>
      <c r="D655" s="5" t="n">
        <v>1</v>
      </c>
      <c r="E655" s="13" t="n">
        <v>2280</v>
      </c>
      <c r="F655" s="13" t="n">
        <v>2280</v>
      </c>
      <c r="G655" s="13" t="n">
        <v>2280</v>
      </c>
      <c r="H655" t="inlineStr"/>
    </row>
    <row r="656">
      <c r="A656" t="inlineStr">
        <is>
          <t>Свіч</t>
        </is>
      </c>
      <c r="B656" s="5" t="n">
        <v>1</v>
      </c>
      <c r="C656" s="5" t="n">
        <v>1</v>
      </c>
      <c r="D656" s="5" t="n">
        <v>1</v>
      </c>
      <c r="E656" s="13" t="n">
        <v>2280</v>
      </c>
      <c r="F656" s="13" t="n">
        <v>2280</v>
      </c>
      <c r="G656" s="13" t="n">
        <v>2280</v>
      </c>
      <c r="H656" t="inlineStr"/>
    </row>
    <row r="657">
      <c r="A657" t="inlineStr">
        <is>
          <t>Usb флеш накопичувач 64gb</t>
        </is>
      </c>
      <c r="B657" s="5" t="n">
        <v>1</v>
      </c>
      <c r="C657" s="5" t="n">
        <v>1</v>
      </c>
      <c r="D657" s="5" t="n">
        <v>2</v>
      </c>
      <c r="E657" s="13" t="n">
        <v>399.9</v>
      </c>
      <c r="F657" s="13" t="n">
        <v>399.9</v>
      </c>
      <c r="G657" s="13" t="n">
        <v>399.9</v>
      </c>
      <c r="H657" t="inlineStr"/>
    </row>
    <row r="658">
      <c r="A658" t="inlineStr">
        <is>
          <t>Спрей для очищення</t>
        </is>
      </c>
      <c r="B658" s="5" t="n">
        <v>1</v>
      </c>
      <c r="C658" s="5" t="n">
        <v>1</v>
      </c>
      <c r="D658" s="5" t="n">
        <v>5</v>
      </c>
      <c r="E658" s="13" t="n">
        <v>250</v>
      </c>
      <c r="F658" s="13" t="n">
        <v>250</v>
      </c>
      <c r="G658" s="13" t="n">
        <v>250</v>
      </c>
      <c r="H658" t="inlineStr"/>
    </row>
    <row r="659">
      <c r="A659" t="inlineStr">
        <is>
          <t>Миша безпровідна безшумна</t>
        </is>
      </c>
      <c r="B659" s="5" t="n">
        <v>1</v>
      </c>
      <c r="C659" s="5" t="n">
        <v>1</v>
      </c>
      <c r="D659" s="5" t="n">
        <v>2</v>
      </c>
      <c r="E659" s="13" t="n">
        <v>458.86</v>
      </c>
      <c r="F659" s="13" t="n">
        <v>458.86</v>
      </c>
      <c r="G659" s="13" t="n">
        <v>458.86</v>
      </c>
      <c r="H659" t="inlineStr">
        <is>
          <t>Genius (1)</t>
        </is>
      </c>
    </row>
    <row r="660">
      <c r="A660" t="inlineStr">
        <is>
          <t>Плівка для ламінування</t>
        </is>
      </c>
      <c r="B660" s="5" t="n">
        <v>1</v>
      </c>
      <c r="C660" s="5" t="n">
        <v>1</v>
      </c>
      <c r="D660" s="5" t="n">
        <v>1</v>
      </c>
      <c r="E660" s="13" t="n">
        <v>2500</v>
      </c>
      <c r="F660" s="13" t="n">
        <v>2500</v>
      </c>
      <c r="G660" s="13" t="n">
        <v>2500</v>
      </c>
      <c r="H660" t="inlineStr"/>
    </row>
    <row r="661">
      <c r="A661" t="inlineStr">
        <is>
          <t>Usb-hub 4-port</t>
        </is>
      </c>
      <c r="B661" s="5" t="n">
        <v>1</v>
      </c>
      <c r="C661" s="5" t="n">
        <v>1</v>
      </c>
      <c r="D661" s="5" t="n">
        <v>1</v>
      </c>
      <c r="E661" s="13" t="n">
        <v>3924</v>
      </c>
      <c r="F661" s="13" t="n">
        <v>3924</v>
      </c>
      <c r="G661" s="13" t="n">
        <v>3924</v>
      </c>
      <c r="H661" t="inlineStr"/>
    </row>
    <row r="662">
      <c r="A662" t="inlineStr">
        <is>
          <t>Багатофункціональна панель для</t>
        </is>
      </c>
      <c r="B662" s="5" t="n">
        <v>1</v>
      </c>
      <c r="C662" s="5" t="n">
        <v>1</v>
      </c>
      <c r="D662" s="5" t="n">
        <v>1</v>
      </c>
      <c r="E662" s="13" t="n">
        <v>13684</v>
      </c>
      <c r="F662" s="13" t="n">
        <v>13684</v>
      </c>
      <c r="G662" s="13" t="n">
        <v>13684</v>
      </c>
      <c r="H662" t="inlineStr"/>
    </row>
    <row r="663">
      <c r="A663" t="inlineStr">
        <is>
          <t>Принтер сканер лазерний</t>
        </is>
      </c>
      <c r="B663" s="5" t="n">
        <v>1</v>
      </c>
      <c r="C663" s="5" t="n">
        <v>1</v>
      </c>
      <c r="D663" s="5" t="n">
        <v>1</v>
      </c>
      <c r="E663" s="13" t="n">
        <v>13684</v>
      </c>
      <c r="F663" s="13" t="n">
        <v>13684</v>
      </c>
      <c r="G663" s="13" t="n">
        <v>13684</v>
      </c>
      <c r="H663" t="inlineStr"/>
    </row>
    <row r="664">
      <c r="A664" t="inlineStr">
        <is>
          <t>30230000-0 комп’ютерне обладнання (бфп e</t>
        </is>
      </c>
      <c r="B664" s="5" t="n">
        <v>1</v>
      </c>
      <c r="C664" s="5" t="n">
        <v>1</v>
      </c>
      <c r="D664" s="5" t="n">
        <v>1</v>
      </c>
      <c r="E664" s="13" t="n">
        <v>10500</v>
      </c>
      <c r="F664" s="13" t="n">
        <v>10500</v>
      </c>
      <c r="G664" s="13" t="n">
        <v>10500</v>
      </c>
      <c r="H664" t="inlineStr">
        <is>
          <t>Epson (1)</t>
        </is>
      </c>
    </row>
    <row r="665">
      <c r="A665" t="inlineStr">
        <is>
          <t>Мультимедіа веб-камера</t>
        </is>
      </c>
      <c r="B665" s="5" t="n">
        <v>1</v>
      </c>
      <c r="C665" s="5" t="n">
        <v>1</v>
      </c>
      <c r="D665" s="5" t="n">
        <v>1</v>
      </c>
      <c r="E665" s="13" t="n">
        <v>490</v>
      </c>
      <c r="F665" s="13" t="n">
        <v>490</v>
      </c>
      <c r="G665" s="13" t="n">
        <v>490</v>
      </c>
      <c r="H665" t="inlineStr"/>
    </row>
    <row r="666">
      <c r="A666" t="inlineStr">
        <is>
          <t>Карти пам'яті</t>
        </is>
      </c>
      <c r="B666" s="5" t="n">
        <v>1</v>
      </c>
      <c r="C666" s="5" t="n">
        <v>1</v>
      </c>
      <c r="D666" s="5" t="n">
        <v>16</v>
      </c>
      <c r="E666" s="13" t="n">
        <v>1200</v>
      </c>
      <c r="F666" s="13" t="n">
        <v>1200</v>
      </c>
      <c r="G666" s="13" t="n">
        <v>1200</v>
      </c>
      <c r="H666" t="inlineStr"/>
    </row>
    <row r="667">
      <c r="A667" t="inlineStr">
        <is>
          <t>Системний блок в</t>
        </is>
      </c>
      <c r="B667" s="5" t="n">
        <v>1</v>
      </c>
      <c r="C667" s="5" t="n">
        <v>1</v>
      </c>
      <c r="D667" s="5" t="n">
        <v>1</v>
      </c>
      <c r="E667" s="13" t="n">
        <v>30000</v>
      </c>
      <c r="F667" s="13" t="n">
        <v>30000</v>
      </c>
      <c r="G667" s="13" t="n">
        <v>30000</v>
      </c>
      <c r="H667" t="inlineStr">
        <is>
          <t>Vinga (1), Intel (1)</t>
        </is>
      </c>
    </row>
    <row r="668">
      <c r="A668" t="inlineStr">
        <is>
          <t>Монтітор</t>
        </is>
      </c>
      <c r="B668" s="5" t="n">
        <v>1</v>
      </c>
      <c r="C668" s="5" t="n">
        <v>1</v>
      </c>
      <c r="D668" s="5" t="n">
        <v>2</v>
      </c>
      <c r="E668" s="13" t="n">
        <v>17685.96</v>
      </c>
      <c r="F668" s="13" t="n">
        <v>17685.96</v>
      </c>
      <c r="G668" s="13" t="n">
        <v>17685.96</v>
      </c>
      <c r="H668" t="inlineStr"/>
    </row>
    <row r="669">
      <c r="A669" t="inlineStr">
        <is>
          <t>Оперативна память</t>
        </is>
      </c>
      <c r="B669" s="5" t="n">
        <v>1</v>
      </c>
      <c r="C669" s="5" t="n">
        <v>1</v>
      </c>
      <c r="D669" s="5" t="n">
        <v>3</v>
      </c>
      <c r="E669" s="13" t="n">
        <v>30860</v>
      </c>
      <c r="F669" s="13" t="n">
        <v>30860</v>
      </c>
      <c r="G669" s="13" t="n">
        <v>30860</v>
      </c>
      <c r="H669" t="inlineStr"/>
    </row>
    <row r="670">
      <c r="A670" t="inlineStr">
        <is>
          <t>30230000-0 комп’ютерне обладнання (засіб</t>
        </is>
      </c>
      <c r="B670" s="5" t="n">
        <v>1</v>
      </c>
      <c r="C670" s="5" t="n">
        <v>1</v>
      </c>
      <c r="D670" s="5" t="n">
        <v>1</v>
      </c>
      <c r="E670" s="13" t="n">
        <v>1225</v>
      </c>
      <c r="F670" s="13" t="n">
        <v>1225</v>
      </c>
      <c r="G670" s="13" t="n">
        <v>1225</v>
      </c>
      <c r="H670" t="inlineStr"/>
    </row>
    <row r="671">
      <c r="A671" t="inlineStr">
        <is>
          <t>1.мережевий дисковий накопичувач qnap ts</t>
        </is>
      </c>
      <c r="B671" s="5" t="n">
        <v>1</v>
      </c>
      <c r="C671" s="5" t="n">
        <v>1</v>
      </c>
      <c r="D671" s="5" t="n">
        <v>1</v>
      </c>
      <c r="E671" s="13" t="n">
        <v>35085</v>
      </c>
      <c r="F671" s="13" t="n">
        <v>35085</v>
      </c>
      <c r="G671" s="13" t="n">
        <v>35085</v>
      </c>
      <c r="H671" t="inlineStr"/>
    </row>
    <row r="672">
      <c r="A672" t="inlineStr">
        <is>
          <t>2.жорсткий диск 3,5 4 тв western digital</t>
        </is>
      </c>
      <c r="B672" s="5" t="n">
        <v>1</v>
      </c>
      <c r="C672" s="5" t="n">
        <v>1</v>
      </c>
      <c r="D672" s="5" t="n">
        <v>2</v>
      </c>
      <c r="E672" s="13" t="n">
        <v>17542.5</v>
      </c>
      <c r="F672" s="13" t="n">
        <v>17542.5</v>
      </c>
      <c r="G672" s="13" t="n">
        <v>17542.5</v>
      </c>
      <c r="H672" t="inlineStr">
        <is>
          <t>Western Digital (1)</t>
        </is>
      </c>
    </row>
    <row r="673">
      <c r="A673" t="inlineStr">
        <is>
          <t>Комп’ютерне обладнання мишка</t>
        </is>
      </c>
      <c r="B673" s="5" t="n">
        <v>1</v>
      </c>
      <c r="C673" s="5" t="n">
        <v>1</v>
      </c>
      <c r="D673" s="5" t="n">
        <v>4</v>
      </c>
      <c r="E673" s="13" t="n">
        <v>219.25</v>
      </c>
      <c r="F673" s="13" t="n">
        <v>219.25</v>
      </c>
      <c r="G673" s="13" t="n">
        <v>219.25</v>
      </c>
      <c r="H673" t="inlineStr"/>
    </row>
    <row r="674">
      <c r="A674" t="inlineStr">
        <is>
          <t>Підставка під монітор</t>
        </is>
      </c>
      <c r="B674" s="5" t="n">
        <v>1</v>
      </c>
      <c r="C674" s="5" t="n">
        <v>1</v>
      </c>
      <c r="D674" s="5" t="n">
        <v>5</v>
      </c>
      <c r="E674" s="13" t="n">
        <v>950</v>
      </c>
      <c r="F674" s="13" t="n">
        <v>950</v>
      </c>
      <c r="G674" s="13" t="n">
        <v>950</v>
      </c>
      <c r="H674" t="inlineStr"/>
    </row>
    <row r="675">
      <c r="A675" t="inlineStr">
        <is>
          <t>Комп’ютерне обладнання клавіатура</t>
        </is>
      </c>
      <c r="B675" s="5" t="n">
        <v>1</v>
      </c>
      <c r="C675" s="5" t="n">
        <v>1</v>
      </c>
      <c r="D675" s="5" t="n">
        <v>1</v>
      </c>
      <c r="E675" s="13" t="n">
        <v>5200</v>
      </c>
      <c r="F675" s="13" t="n">
        <v>5200</v>
      </c>
      <c r="G675" s="13" t="n">
        <v>5200</v>
      </c>
      <c r="H675" t="inlineStr"/>
    </row>
    <row r="676">
      <c r="A676" t="inlineStr">
        <is>
          <t>Катрідж</t>
        </is>
      </c>
      <c r="B676" s="5" t="n">
        <v>1</v>
      </c>
      <c r="C676" s="5" t="n">
        <v>1</v>
      </c>
      <c r="D676" s="5" t="n">
        <v>1</v>
      </c>
      <c r="E676" s="13" t="n">
        <v>1900</v>
      </c>
      <c r="F676" s="13" t="n">
        <v>1900</v>
      </c>
      <c r="G676" s="13" t="n">
        <v>1900</v>
      </c>
      <c r="H676" t="inlineStr"/>
    </row>
    <row r="677">
      <c r="A677" t="inlineStr">
        <is>
          <t>2991402862</t>
        </is>
      </c>
      <c r="B677" s="5" t="n">
        <v>1</v>
      </c>
      <c r="C677" s="5" t="n">
        <v>1</v>
      </c>
      <c r="D677" s="5" t="n">
        <v>5</v>
      </c>
      <c r="E677" s="13" t="n">
        <v>1758</v>
      </c>
      <c r="F677" s="13" t="n">
        <v>1758</v>
      </c>
      <c r="G677" s="13" t="n">
        <v>1758</v>
      </c>
      <c r="H677" t="inlineStr"/>
    </row>
    <row r="678">
      <c r="A678" t="inlineStr">
        <is>
          <t>Плата</t>
        </is>
      </c>
      <c r="B678" s="5" t="n">
        <v>1</v>
      </c>
      <c r="C678" s="5" t="n">
        <v>1</v>
      </c>
      <c r="D678" s="5" t="n">
        <v>10</v>
      </c>
      <c r="E678" s="13" t="n">
        <v>500</v>
      </c>
      <c r="F678" s="13" t="n">
        <v>500</v>
      </c>
      <c r="G678" s="13" t="n">
        <v>500</v>
      </c>
      <c r="H678" t="inlineStr"/>
    </row>
    <row r="679">
      <c r="A679" t="inlineStr">
        <is>
          <t>Модуль пам'яті</t>
        </is>
      </c>
      <c r="B679" s="5" t="n">
        <v>1</v>
      </c>
      <c r="C679" s="5" t="n">
        <v>1</v>
      </c>
      <c r="D679" s="5" t="n">
        <v>3</v>
      </c>
      <c r="E679" s="13" t="n">
        <v>2500</v>
      </c>
      <c r="F679" s="13" t="n">
        <v>2500</v>
      </c>
      <c r="G679" s="13" t="n">
        <v>2500</v>
      </c>
      <c r="H679" t="inlineStr"/>
    </row>
    <row r="680">
      <c r="A680" t="inlineStr">
        <is>
          <t>Компютерна клавіатура</t>
        </is>
      </c>
      <c r="B680" s="5" t="n">
        <v>1</v>
      </c>
      <c r="C680" s="5" t="n">
        <v>1</v>
      </c>
      <c r="D680" s="5" t="n">
        <v>2</v>
      </c>
      <c r="E680" s="13" t="n">
        <v>350</v>
      </c>
      <c r="F680" s="13" t="n">
        <v>350</v>
      </c>
      <c r="G680" s="13" t="n">
        <v>350</v>
      </c>
      <c r="H680" t="inlineStr">
        <is>
          <t>Vinga (1)</t>
        </is>
      </c>
    </row>
    <row r="681">
      <c r="A681" t="inlineStr">
        <is>
          <t>Процессор</t>
        </is>
      </c>
      <c r="B681" s="5" t="n">
        <v>1</v>
      </c>
      <c r="C681" s="5" t="n">
        <v>1</v>
      </c>
      <c r="D681" s="5" t="n">
        <v>1</v>
      </c>
      <c r="E681" s="13" t="n">
        <v>15729</v>
      </c>
      <c r="F681" s="13" t="n">
        <v>15729</v>
      </c>
      <c r="G681" s="13" t="n">
        <v>15729</v>
      </c>
      <c r="H681" t="inlineStr">
        <is>
          <t>Intel (1)</t>
        </is>
      </c>
    </row>
    <row r="682">
      <c r="A682" t="inlineStr">
        <is>
          <t>Корпус для пк</t>
        </is>
      </c>
      <c r="B682" s="5" t="n">
        <v>1</v>
      </c>
      <c r="C682" s="5" t="n">
        <v>1</v>
      </c>
      <c r="D682" s="5" t="n">
        <v>1</v>
      </c>
      <c r="E682" s="13" t="n">
        <v>15729</v>
      </c>
      <c r="F682" s="13" t="n">
        <v>15729</v>
      </c>
      <c r="G682" s="13" t="n">
        <v>15729</v>
      </c>
      <c r="H682" t="inlineStr">
        <is>
          <t>Vinga (1)</t>
        </is>
      </c>
    </row>
    <row r="683">
      <c r="A683" t="inlineStr">
        <is>
          <t>Кабель для монітора</t>
        </is>
      </c>
      <c r="B683" s="5" t="n">
        <v>1</v>
      </c>
      <c r="C683" s="5" t="n">
        <v>1</v>
      </c>
      <c r="D683" s="5" t="n">
        <v>1</v>
      </c>
      <c r="E683" s="13" t="n">
        <v>798</v>
      </c>
      <c r="F683" s="13" t="n">
        <v>798</v>
      </c>
      <c r="G683" s="13" t="n">
        <v>798</v>
      </c>
      <c r="H683" t="inlineStr"/>
    </row>
    <row r="684">
      <c r="A684" t="inlineStr">
        <is>
          <t>Засоби криптографічного захисту</t>
        </is>
      </c>
      <c r="B684" s="5" t="n">
        <v>1</v>
      </c>
      <c r="C684" s="5" t="n">
        <v>1</v>
      </c>
      <c r="D684" s="5" t="n">
        <v>5</v>
      </c>
      <c r="E684" s="13" t="n">
        <v>1584</v>
      </c>
      <c r="F684" s="13" t="n">
        <v>1584</v>
      </c>
      <c r="G684" s="13" t="n">
        <v>1584</v>
      </c>
      <c r="H684" t="inlineStr"/>
    </row>
    <row r="685">
      <c r="A685" t="inlineStr">
        <is>
          <t>Ssd-накопичувач kingston nv3 2280pcie 4/</t>
        </is>
      </c>
      <c r="B685" s="5" t="n">
        <v>1</v>
      </c>
      <c r="C685" s="5" t="n">
        <v>1</v>
      </c>
      <c r="D685" s="5" t="n">
        <v>1</v>
      </c>
      <c r="E685" s="13" t="n">
        <v>29995</v>
      </c>
      <c r="F685" s="13" t="n">
        <v>29995</v>
      </c>
      <c r="G685" s="13" t="n">
        <v>29995</v>
      </c>
      <c r="H685" t="inlineStr">
        <is>
          <t>Kingston (1)</t>
        </is>
      </c>
    </row>
    <row r="686">
      <c r="A686" t="inlineStr">
        <is>
          <t>Клавіатура миша</t>
        </is>
      </c>
      <c r="B686" s="5" t="n">
        <v>1</v>
      </c>
      <c r="C686" s="5" t="n">
        <v>1</v>
      </c>
      <c r="D686" s="5" t="n">
        <v>32</v>
      </c>
      <c r="E686" s="13" t="n">
        <v>198.34</v>
      </c>
      <c r="F686" s="13" t="n">
        <v>198.34</v>
      </c>
      <c r="G686" s="13" t="n">
        <v>198.34</v>
      </c>
      <c r="H686" t="inlineStr"/>
    </row>
    <row r="687">
      <c r="A687" t="inlineStr">
        <is>
          <t>Засіб кзі електронного</t>
        </is>
      </c>
      <c r="B687" s="5" t="n">
        <v>1</v>
      </c>
      <c r="C687" s="5" t="n">
        <v>1</v>
      </c>
      <c r="D687" s="5" t="n">
        <v>1</v>
      </c>
      <c r="E687" s="13" t="n">
        <v>1600</v>
      </c>
      <c r="F687" s="13" t="n">
        <v>1600</v>
      </c>
      <c r="G687" s="13" t="n">
        <v>1600</v>
      </c>
      <c r="H687" t="inlineStr"/>
    </row>
    <row r="688">
      <c r="A688" t="inlineStr">
        <is>
          <t>Ттатив д телефона</t>
        </is>
      </c>
      <c r="B688" s="5" t="n">
        <v>1</v>
      </c>
      <c r="C688" s="5" t="n">
        <v>1</v>
      </c>
      <c r="D688" s="5" t="n">
        <v>8</v>
      </c>
      <c r="E688" s="13" t="n">
        <v>708.75</v>
      </c>
      <c r="F688" s="13" t="n">
        <v>708.75</v>
      </c>
      <c r="G688" s="13" t="n">
        <v>708.75</v>
      </c>
      <c r="H688" t="inlineStr"/>
    </row>
    <row r="689">
      <c r="A689" t="inlineStr">
        <is>
          <t>Ssd накопичувач crucial мх500 2.5 2 тв (</t>
        </is>
      </c>
      <c r="B689" s="5" t="n">
        <v>1</v>
      </c>
      <c r="C689" s="5" t="n">
        <v>1</v>
      </c>
      <c r="D689" s="5" t="n">
        <v>2</v>
      </c>
      <c r="E689" s="13" t="n">
        <v>22500</v>
      </c>
      <c r="F689" s="13" t="n">
        <v>22500</v>
      </c>
      <c r="G689" s="13" t="n">
        <v>22500</v>
      </c>
      <c r="H689" t="inlineStr">
        <is>
          <t>Crucial (1)</t>
        </is>
      </c>
    </row>
    <row r="690">
      <c r="A690" t="inlineStr">
        <is>
          <t>Ноутбук бфп канон</t>
        </is>
      </c>
      <c r="B690" s="5" t="n">
        <v>1</v>
      </c>
      <c r="C690" s="5" t="n">
        <v>1</v>
      </c>
      <c r="D690" s="5" t="n">
        <v>2</v>
      </c>
      <c r="E690" s="13" t="n">
        <v>20499</v>
      </c>
      <c r="F690" s="13" t="n">
        <v>20499</v>
      </c>
      <c r="G690" s="13" t="n">
        <v>20499</v>
      </c>
      <c r="H690" t="inlineStr">
        <is>
          <t>Canon (1)</t>
        </is>
      </c>
    </row>
    <row r="691">
      <c r="A691" t="inlineStr">
        <is>
          <t>Клавіатура+мишка rapoo x1500</t>
        </is>
      </c>
      <c r="B691" s="5" t="n">
        <v>1</v>
      </c>
      <c r="C691" s="5" t="n">
        <v>1</v>
      </c>
      <c r="D691" s="5" t="n">
        <v>1</v>
      </c>
      <c r="E691" s="13" t="n">
        <v>6968</v>
      </c>
      <c r="F691" s="13" t="n">
        <v>6968</v>
      </c>
      <c r="G691" s="13" t="n">
        <v>6968</v>
      </c>
      <c r="H691" t="inlineStr"/>
    </row>
    <row r="692">
      <c r="A692" t="inlineStr">
        <is>
          <t>Клавіатура+миша</t>
        </is>
      </c>
      <c r="B692" s="5" t="n">
        <v>1</v>
      </c>
      <c r="C692" s="5" t="n">
        <v>1</v>
      </c>
      <c r="D692" s="5" t="n">
        <v>1</v>
      </c>
      <c r="E692" s="13" t="n">
        <v>4389</v>
      </c>
      <c r="F692" s="13" t="n">
        <v>4389</v>
      </c>
      <c r="G692" s="13" t="n">
        <v>4389</v>
      </c>
      <c r="H692" t="inlineStr"/>
    </row>
    <row r="693">
      <c r="A693" t="inlineStr">
        <is>
          <t>Презентер бездротовий</t>
        </is>
      </c>
      <c r="B693" s="5" t="n">
        <v>1</v>
      </c>
      <c r="C693" s="5" t="n">
        <v>1</v>
      </c>
      <c r="D693" s="5" t="n">
        <v>3</v>
      </c>
      <c r="E693" s="13" t="n">
        <v>6045.67</v>
      </c>
      <c r="F693" s="13" t="n">
        <v>6045.67</v>
      </c>
      <c r="G693" s="13" t="n">
        <v>6045.67</v>
      </c>
      <c r="H693" t="inlineStr"/>
    </row>
    <row r="694">
      <c r="A694" t="inlineStr">
        <is>
          <t>Зрощувач</t>
        </is>
      </c>
      <c r="B694" s="5" t="n">
        <v>1</v>
      </c>
      <c r="C694" s="5" t="n">
        <v>1</v>
      </c>
      <c r="D694" s="5" t="n">
        <v>3</v>
      </c>
      <c r="E694" s="13" t="n">
        <v>6045.67</v>
      </c>
      <c r="F694" s="13" t="n">
        <v>6045.67</v>
      </c>
      <c r="G694" s="13" t="n">
        <v>6045.67</v>
      </c>
      <c r="H694" t="inlineStr"/>
    </row>
    <row r="695">
      <c r="A695" t="inlineStr">
        <is>
          <t>Набор чорнил</t>
        </is>
      </c>
      <c r="B695" s="5" t="n">
        <v>1</v>
      </c>
      <c r="C695" s="5" t="n">
        <v>1</v>
      </c>
      <c r="D695" s="5" t="n">
        <v>1</v>
      </c>
      <c r="E695" s="13" t="n">
        <v>18137</v>
      </c>
      <c r="F695" s="13" t="n">
        <v>18137</v>
      </c>
      <c r="G695" s="13" t="n">
        <v>18137</v>
      </c>
      <c r="H695" t="inlineStr"/>
    </row>
    <row r="696">
      <c r="A696" t="inlineStr">
        <is>
          <t>Вебкамера код дк</t>
        </is>
      </c>
      <c r="B696" s="5" t="n">
        <v>1</v>
      </c>
      <c r="C696" s="5" t="n">
        <v>1</v>
      </c>
      <c r="D696" s="5" t="n">
        <v>1</v>
      </c>
      <c r="E696" s="13" t="n">
        <v>1980</v>
      </c>
      <c r="F696" s="13" t="n">
        <v>1980</v>
      </c>
      <c r="G696" s="13" t="n">
        <v>1980</v>
      </c>
      <c r="H696" t="inlineStr"/>
    </row>
    <row r="697">
      <c r="A697" t="inlineStr">
        <is>
          <t>Системний блок код</t>
        </is>
      </c>
      <c r="B697" s="5" t="n">
        <v>1</v>
      </c>
      <c r="C697" s="5" t="n">
        <v>1</v>
      </c>
      <c r="D697" s="5" t="n">
        <v>1</v>
      </c>
      <c r="E697" s="13" t="n">
        <v>15960</v>
      </c>
      <c r="F697" s="13" t="n">
        <v>15960</v>
      </c>
      <c r="G697" s="13" t="n">
        <v>15960</v>
      </c>
      <c r="H697" t="inlineStr"/>
    </row>
    <row r="698">
      <c r="A698" t="inlineStr">
        <is>
          <t>Комп'ютер в комплекті</t>
        </is>
      </c>
      <c r="B698" s="5" t="n">
        <v>1</v>
      </c>
      <c r="C698" s="5" t="n">
        <v>1</v>
      </c>
      <c r="D698" s="5" t="n">
        <v>1</v>
      </c>
      <c r="E698" s="13" t="n">
        <v>35000</v>
      </c>
      <c r="F698" s="13" t="n">
        <v>35000</v>
      </c>
      <c r="G698" s="13" t="n">
        <v>35000</v>
      </c>
      <c r="H698" t="inlineStr">
        <is>
          <t>Vinga (1), Epson (1), Logitech (1)</t>
        </is>
      </c>
    </row>
    <row r="699">
      <c r="A699" t="inlineStr">
        <is>
          <t>Блок живлення охолодження</t>
        </is>
      </c>
      <c r="B699" s="5" t="n">
        <v>1</v>
      </c>
      <c r="C699" s="5" t="n">
        <v>1</v>
      </c>
      <c r="D699" s="5" t="n">
        <v>9</v>
      </c>
      <c r="E699" s="13" t="n">
        <v>11048.89</v>
      </c>
      <c r="F699" s="13" t="n">
        <v>11048.89</v>
      </c>
      <c r="G699" s="13" t="n">
        <v>11048.89</v>
      </c>
      <c r="H699" t="inlineStr"/>
    </row>
    <row r="700">
      <c r="A700" t="inlineStr">
        <is>
          <t>Ноутбук для бізнес-завдань</t>
        </is>
      </c>
      <c r="B700" s="5" t="n">
        <v>1</v>
      </c>
      <c r="C700" s="5" t="n">
        <v>1</v>
      </c>
      <c r="D700" s="5" t="n">
        <v>16</v>
      </c>
      <c r="E700" s="13" t="n">
        <v>25000</v>
      </c>
      <c r="F700" s="13" t="n">
        <v>25000</v>
      </c>
      <c r="G700" s="13" t="n">
        <v>25000</v>
      </c>
      <c r="H700" t="inlineStr">
        <is>
          <t>Intel (1)</t>
        </is>
      </c>
    </row>
    <row r="701">
      <c r="A701" t="inlineStr">
        <is>
          <t>Матеріали для компюторнї</t>
        </is>
      </c>
      <c r="B701" s="5" t="n">
        <v>1</v>
      </c>
      <c r="C701" s="5" t="n">
        <v>1</v>
      </c>
      <c r="D701" s="5" t="n">
        <v>1</v>
      </c>
      <c r="E701" s="13" t="n">
        <v>1198.98</v>
      </c>
      <c r="F701" s="13" t="n">
        <v>1198.98</v>
      </c>
      <c r="G701" s="13" t="n">
        <v>1198.98</v>
      </c>
      <c r="H701" t="inlineStr"/>
    </row>
    <row r="702">
      <c r="A702" t="inlineStr">
        <is>
          <t>Комплектуючі до персонального</t>
        </is>
      </c>
      <c r="B702" s="5" t="n">
        <v>1</v>
      </c>
      <c r="C702" s="5" t="n">
        <v>1</v>
      </c>
      <c r="D702" s="5" t="n">
        <v>18</v>
      </c>
      <c r="E702" s="13" t="n">
        <v>850</v>
      </c>
      <c r="F702" s="13" t="n">
        <v>850</v>
      </c>
      <c r="G702" s="13" t="n">
        <v>850</v>
      </c>
      <c r="H702" t="inlineStr"/>
    </row>
    <row r="703">
      <c r="A703" t="inlineStr">
        <is>
          <t>Веб - камера</t>
        </is>
      </c>
      <c r="B703" s="5" t="n">
        <v>1</v>
      </c>
      <c r="C703" s="5" t="n">
        <v>1</v>
      </c>
      <c r="D703" s="5" t="n">
        <v>2</v>
      </c>
      <c r="E703" s="13" t="n">
        <v>1300</v>
      </c>
      <c r="F703" s="13" t="n">
        <v>1300</v>
      </c>
      <c r="G703" s="13" t="n">
        <v>1300</v>
      </c>
      <c r="H703" t="inlineStr"/>
    </row>
    <row r="704">
      <c r="A704" t="inlineStr">
        <is>
          <t>Комп’ютерне обладнання</t>
        </is>
      </c>
      <c r="B704" s="5" t="n">
        <v>1</v>
      </c>
      <c r="C704" s="5" t="n">
        <v>1</v>
      </c>
      <c r="D704" s="5" t="n">
        <v>1</v>
      </c>
      <c r="E704" s="13" t="n">
        <v>6200</v>
      </c>
      <c r="F704" s="13" t="n">
        <v>6200</v>
      </c>
      <c r="G704" s="13" t="n">
        <v>6200</v>
      </c>
      <c r="H704" t="inlineStr"/>
    </row>
    <row r="705">
      <c r="A705" t="inlineStr">
        <is>
          <t xml:space="preserve">Usb-хаб baseus lite series 4 port black </t>
        </is>
      </c>
      <c r="B705" s="5" t="n">
        <v>1</v>
      </c>
      <c r="C705" s="5" t="n">
        <v>1</v>
      </c>
      <c r="D705" s="5" t="n">
        <v>1</v>
      </c>
      <c r="E705" s="13" t="n">
        <v>4201</v>
      </c>
      <c r="F705" s="13" t="n">
        <v>4201</v>
      </c>
      <c r="G705" s="13" t="n">
        <v>4201</v>
      </c>
      <c r="H705" t="inlineStr"/>
    </row>
    <row r="706">
      <c r="A706" t="inlineStr">
        <is>
          <t>Підставка для ноутбука</t>
        </is>
      </c>
      <c r="B706" s="5" t="n">
        <v>1</v>
      </c>
      <c r="C706" s="5" t="n">
        <v>1</v>
      </c>
      <c r="D706" s="5" t="n">
        <v>1</v>
      </c>
      <c r="E706" s="13" t="n">
        <v>4201</v>
      </c>
      <c r="F706" s="13" t="n">
        <v>4201</v>
      </c>
      <c r="G706" s="13" t="n">
        <v>4201</v>
      </c>
      <c r="H706" t="inlineStr">
        <is>
          <t>Trust (1)</t>
        </is>
      </c>
    </row>
    <row r="707">
      <c r="A707" t="inlineStr">
        <is>
          <t>Клавіатура бездротова</t>
        </is>
      </c>
      <c r="B707" s="5" t="n">
        <v>1</v>
      </c>
      <c r="C707" s="5" t="n">
        <v>1</v>
      </c>
      <c r="D707" s="5" t="n">
        <v>1</v>
      </c>
      <c r="E707" s="13" t="n">
        <v>1198</v>
      </c>
      <c r="F707" s="13" t="n">
        <v>1198</v>
      </c>
      <c r="G707" s="13" t="n">
        <v>1198</v>
      </c>
      <c r="H707" t="inlineStr"/>
    </row>
    <row r="708">
      <c r="A708" t="inlineStr">
        <is>
          <t>Розгалужувач</t>
        </is>
      </c>
      <c r="B708" s="5" t="n">
        <v>1</v>
      </c>
      <c r="C708" s="5" t="n">
        <v>1</v>
      </c>
      <c r="D708" s="5" t="n">
        <v>1</v>
      </c>
      <c r="E708" s="13" t="n"/>
      <c r="F708" s="13" t="n"/>
      <c r="G708" s="13" t="n"/>
      <c r="H708" t="inlineStr">
        <is>
          <t>PowerPlant (1)</t>
        </is>
      </c>
    </row>
    <row r="709">
      <c r="A709" t="inlineStr">
        <is>
          <t>Флеш-накопичувачі</t>
        </is>
      </c>
      <c r="B709" s="5" t="n">
        <v>1</v>
      </c>
      <c r="C709" s="5" t="n">
        <v>1</v>
      </c>
      <c r="D709" s="5" t="n">
        <v>10</v>
      </c>
      <c r="E709" s="13" t="n"/>
      <c r="F709" s="13" t="n"/>
      <c r="G709" s="13" t="n"/>
      <c r="H709" t="inlineStr"/>
    </row>
    <row r="710">
      <c r="A710" t="inlineStr">
        <is>
          <t>Плоттер</t>
        </is>
      </c>
      <c r="B710" s="5" t="n">
        <v>1</v>
      </c>
      <c r="C710" s="5" t="n">
        <v>1</v>
      </c>
      <c r="D710" s="5" t="n">
        <v>2</v>
      </c>
      <c r="E710" s="13" t="n">
        <v>89990</v>
      </c>
      <c r="F710" s="13" t="n">
        <v>89990</v>
      </c>
      <c r="G710" s="13" t="n">
        <v>89990</v>
      </c>
      <c r="H710" t="inlineStr">
        <is>
          <t>Canon (1)</t>
        </is>
      </c>
    </row>
    <row r="711">
      <c r="A711" t="inlineStr">
        <is>
          <t>Принтер для ч</t>
        </is>
      </c>
      <c r="B711" s="5" t="n">
        <v>1</v>
      </c>
      <c r="C711" s="5" t="n">
        <v>1</v>
      </c>
      <c r="D711" s="5" t="n">
        <v>1</v>
      </c>
      <c r="E711" s="13" t="n">
        <v>179980</v>
      </c>
      <c r="F711" s="13" t="n">
        <v>179980</v>
      </c>
      <c r="G711" s="13" t="n">
        <v>179980</v>
      </c>
      <c r="H711" t="inlineStr">
        <is>
          <t>Xerox (1)</t>
        </is>
      </c>
    </row>
    <row r="712">
      <c r="A712" t="inlineStr">
        <is>
          <t>Багатофункціональні пристрої бфп</t>
        </is>
      </c>
      <c r="B712" s="5" t="n">
        <v>1</v>
      </c>
      <c r="C712" s="5" t="n">
        <v>1</v>
      </c>
      <c r="D712" s="5" t="n">
        <v>8</v>
      </c>
      <c r="E712" s="13" t="n">
        <v>81250</v>
      </c>
      <c r="F712" s="13" t="n">
        <v>81250</v>
      </c>
      <c r="G712" s="13" t="n">
        <v>81250</v>
      </c>
      <c r="H712" t="inlineStr"/>
    </row>
    <row r="713">
      <c r="A713" t="inlineStr">
        <is>
          <t>Wi-fi адаптер</t>
        </is>
      </c>
      <c r="B713" s="5" t="n">
        <v>1</v>
      </c>
      <c r="C713" s="5" t="n">
        <v>1</v>
      </c>
      <c r="D713" s="5" t="n">
        <v>1</v>
      </c>
      <c r="E713" s="13" t="n">
        <v>13410</v>
      </c>
      <c r="F713" s="13" t="n">
        <v>13410</v>
      </c>
      <c r="G713" s="13" t="n">
        <v>13410</v>
      </c>
      <c r="H713" t="inlineStr"/>
    </row>
    <row r="714">
      <c r="A714" t="inlineStr">
        <is>
          <t>Кардрідер зовнішній</t>
        </is>
      </c>
      <c r="B714" s="5" t="n">
        <v>1</v>
      </c>
      <c r="C714" s="5" t="n">
        <v>1</v>
      </c>
      <c r="D714" s="5" t="n">
        <v>1</v>
      </c>
      <c r="E714" s="13" t="n">
        <v>2080</v>
      </c>
      <c r="F714" s="13" t="n">
        <v>2080</v>
      </c>
      <c r="G714" s="13" t="n">
        <v>2080</v>
      </c>
      <c r="H714" t="inlineStr">
        <is>
          <t>Transcend (1)</t>
        </is>
      </c>
    </row>
    <row r="715">
      <c r="A715" t="inlineStr">
        <is>
          <t xml:space="preserve">Комп`ютер vinga дк 021:2015: 30210000-4 </t>
        </is>
      </c>
      <c r="B715" s="5" t="n">
        <v>1</v>
      </c>
      <c r="C715" s="5" t="n">
        <v>1</v>
      </c>
      <c r="D715" s="5" t="n">
        <v>1</v>
      </c>
      <c r="E715" s="13" t="n">
        <v>22200</v>
      </c>
      <c r="F715" s="13" t="n">
        <v>22200</v>
      </c>
      <c r="G715" s="13" t="n">
        <v>22200</v>
      </c>
      <c r="H715" t="inlineStr">
        <is>
          <t>Vinga (1)</t>
        </is>
      </c>
    </row>
    <row r="716">
      <c r="A716" t="inlineStr">
        <is>
          <t>Udb флеш накопичувач 16gb goodram ume2 w</t>
        </is>
      </c>
      <c r="B716" s="5" t="n">
        <v>1</v>
      </c>
      <c r="C716" s="5" t="n">
        <v>1</v>
      </c>
      <c r="D716" s="5" t="n">
        <v>1</v>
      </c>
      <c r="E716" s="13" t="n">
        <v>284.94</v>
      </c>
      <c r="F716" s="13" t="n">
        <v>284.94</v>
      </c>
      <c r="G716" s="13" t="n">
        <v>284.94</v>
      </c>
      <c r="H716" t="inlineStr">
        <is>
          <t>GOODRAM (1)</t>
        </is>
      </c>
    </row>
    <row r="717">
      <c r="A717" t="inlineStr">
        <is>
          <t>Флешка мишка клавіатура</t>
        </is>
      </c>
      <c r="B717" s="5" t="n">
        <v>1</v>
      </c>
      <c r="C717" s="5" t="n">
        <v>1</v>
      </c>
      <c r="D717" s="5" t="n">
        <v>13</v>
      </c>
      <c r="E717" s="13" t="n">
        <v>287.69</v>
      </c>
      <c r="F717" s="13" t="n">
        <v>287.69</v>
      </c>
      <c r="G717" s="13" t="n">
        <v>287.69</v>
      </c>
      <c r="H717" t="inlineStr"/>
    </row>
    <row r="718">
      <c r="A718" t="inlineStr">
        <is>
          <t>Usb</t>
        </is>
      </c>
      <c r="B718" s="5" t="n">
        <v>1</v>
      </c>
      <c r="C718" s="5" t="n">
        <v>1</v>
      </c>
      <c r="D718" s="5" t="n">
        <v>1</v>
      </c>
      <c r="E718" s="13" t="n">
        <v>1380</v>
      </c>
      <c r="F718" s="13" t="n">
        <v>1380</v>
      </c>
      <c r="G718" s="13" t="n">
        <v>1380</v>
      </c>
      <c r="H718" t="inlineStr"/>
    </row>
    <row r="719">
      <c r="A719" t="inlineStr">
        <is>
          <t>Твердотільний диск пам'ять</t>
        </is>
      </c>
      <c r="B719" s="5" t="n">
        <v>1</v>
      </c>
      <c r="C719" s="5" t="n">
        <v>1</v>
      </c>
      <c r="D719" s="5" t="n">
        <v>11</v>
      </c>
      <c r="E719" s="13" t="n">
        <v>2577.27</v>
      </c>
      <c r="F719" s="13" t="n">
        <v>2577.27</v>
      </c>
      <c r="G719" s="13" t="n">
        <v>2577.27</v>
      </c>
      <c r="H719" t="inlineStr"/>
    </row>
    <row r="720">
      <c r="A720" t="inlineStr">
        <is>
          <t>Клавіатура+мишка xtrike me mk-307</t>
        </is>
      </c>
      <c r="B720" s="5" t="n">
        <v>1</v>
      </c>
      <c r="C720" s="5" t="n">
        <v>1</v>
      </c>
      <c r="D720" s="5" t="n">
        <v>3</v>
      </c>
      <c r="E720" s="13" t="n">
        <v>7500</v>
      </c>
      <c r="F720" s="13" t="n">
        <v>7500</v>
      </c>
      <c r="G720" s="13" t="n">
        <v>7500</v>
      </c>
      <c r="H720" t="inlineStr"/>
    </row>
    <row r="721">
      <c r="A721" t="inlineStr">
        <is>
          <t>Комп'ютерне обладнання різне</t>
        </is>
      </c>
      <c r="B721" s="5" t="n">
        <v>1</v>
      </c>
      <c r="C721" s="5" t="n">
        <v>1</v>
      </c>
      <c r="D721" s="5" t="n">
        <v>10</v>
      </c>
      <c r="E721" s="13" t="n">
        <v>274.6</v>
      </c>
      <c r="F721" s="13" t="n">
        <v>274.6</v>
      </c>
      <c r="G721" s="13" t="n">
        <v>274.6</v>
      </c>
      <c r="H721" t="inlineStr"/>
    </row>
    <row r="722">
      <c r="A722" t="inlineStr">
        <is>
          <t>Usb флеш пам’ять 64 gb</t>
        </is>
      </c>
      <c r="B722" s="5" t="n">
        <v>1</v>
      </c>
      <c r="C722" s="5" t="n">
        <v>1</v>
      </c>
      <c r="D722" s="5" t="n">
        <v>2</v>
      </c>
      <c r="E722" s="13" t="n">
        <v>450</v>
      </c>
      <c r="F722" s="13" t="n">
        <v>450</v>
      </c>
      <c r="G722" s="13" t="n">
        <v>450</v>
      </c>
      <c r="H722" t="inlineStr"/>
    </row>
    <row r="723">
      <c r="A723" t="inlineStr">
        <is>
          <t>Бфп нр</t>
        </is>
      </c>
      <c r="B723" s="5" t="n">
        <v>1</v>
      </c>
      <c r="C723" s="5" t="n">
        <v>1</v>
      </c>
      <c r="D723" s="5" t="n">
        <v>1</v>
      </c>
      <c r="E723" s="13" t="n">
        <v>12000</v>
      </c>
      <c r="F723" s="13" t="n">
        <v>12000</v>
      </c>
      <c r="G723" s="13" t="n">
        <v>12000</v>
      </c>
      <c r="H723" t="inlineStr">
        <is>
          <t>HP (1)</t>
        </is>
      </c>
    </row>
    <row r="724">
      <c r="A724" t="inlineStr">
        <is>
          <t>Системна плата накопичувач</t>
        </is>
      </c>
      <c r="B724" s="5" t="n">
        <v>1</v>
      </c>
      <c r="C724" s="5" t="n">
        <v>1</v>
      </c>
      <c r="D724" s="5" t="n">
        <v>9</v>
      </c>
      <c r="E724" s="13" t="n">
        <v>3102.45</v>
      </c>
      <c r="F724" s="13" t="n">
        <v>3102.45</v>
      </c>
      <c r="G724" s="13" t="n">
        <v>3102.45</v>
      </c>
      <c r="H724" t="inlineStr"/>
    </row>
    <row r="725">
      <c r="A725" t="inlineStr">
        <is>
          <t>Usb флеш flash apacer usb 2.0 fy336 64 g</t>
        </is>
      </c>
      <c r="B725" s="5" t="n">
        <v>1</v>
      </c>
      <c r="C725" s="5" t="n">
        <v>1</v>
      </c>
      <c r="D725" s="5" t="n">
        <v>10</v>
      </c>
      <c r="E725" s="13" t="n">
        <v>299</v>
      </c>
      <c r="F725" s="13" t="n">
        <v>299</v>
      </c>
      <c r="G725" s="13" t="n">
        <v>299</v>
      </c>
      <c r="H725" t="inlineStr"/>
    </row>
    <row r="726">
      <c r="A726" t="inlineStr">
        <is>
          <t>Оптичні приводи</t>
        </is>
      </c>
      <c r="B726" s="5" t="n">
        <v>1</v>
      </c>
      <c r="C726" s="5" t="n">
        <v>1</v>
      </c>
      <c r="D726" s="5" t="n">
        <v>60</v>
      </c>
      <c r="E726" s="13" t="n">
        <v>1545</v>
      </c>
      <c r="F726" s="13" t="n">
        <v>1545</v>
      </c>
      <c r="G726" s="13" t="n">
        <v>1545</v>
      </c>
      <c r="H726" t="inlineStr"/>
    </row>
    <row r="727">
      <c r="A727" t="inlineStr">
        <is>
          <t>Комплект компютерного обладнання</t>
        </is>
      </c>
      <c r="B727" s="5" t="n">
        <v>1</v>
      </c>
      <c r="C727" s="5" t="n">
        <v>1</v>
      </c>
      <c r="D727" s="5" t="n">
        <v>2</v>
      </c>
      <c r="E727" s="13" t="n">
        <v>34995</v>
      </c>
      <c r="F727" s="13" t="n">
        <v>34995</v>
      </c>
      <c r="G727" s="13" t="n">
        <v>34995</v>
      </c>
      <c r="H727" t="inlineStr"/>
    </row>
    <row r="728">
      <c r="A728" t="inlineStr">
        <is>
          <t>Мфу струйний принтер</t>
        </is>
      </c>
      <c r="B728" s="5" t="n">
        <v>1</v>
      </c>
      <c r="C728" s="5" t="n">
        <v>1</v>
      </c>
      <c r="D728" s="5" t="n">
        <v>1</v>
      </c>
      <c r="E728" s="13" t="n">
        <v>10575</v>
      </c>
      <c r="F728" s="13" t="n">
        <v>10575</v>
      </c>
      <c r="G728" s="13" t="n">
        <v>10575</v>
      </c>
      <c r="H728" t="inlineStr">
        <is>
          <t>Epson (1)</t>
        </is>
      </c>
    </row>
    <row r="729">
      <c r="A729" t="inlineStr">
        <is>
          <t>Фарба для принтера</t>
        </is>
      </c>
      <c r="B729" s="5" t="n">
        <v>1</v>
      </c>
      <c r="C729" s="5" t="n">
        <v>1</v>
      </c>
      <c r="D729" s="5" t="n">
        <v>1</v>
      </c>
      <c r="E729" s="13" t="n">
        <v>10575</v>
      </c>
      <c r="F729" s="13" t="n">
        <v>10575</v>
      </c>
      <c r="G729" s="13" t="n">
        <v>10575</v>
      </c>
      <c r="H729" t="inlineStr">
        <is>
          <t>Epson (1)</t>
        </is>
      </c>
    </row>
    <row r="730">
      <c r="A730" t="inlineStr">
        <is>
          <t>Блок живлення комп'ютера</t>
        </is>
      </c>
      <c r="B730" s="5" t="n">
        <v>1</v>
      </c>
      <c r="C730" s="5" t="n">
        <v>1</v>
      </c>
      <c r="D730" s="5" t="n">
        <v>1</v>
      </c>
      <c r="E730" s="13" t="n">
        <v>1000</v>
      </c>
      <c r="F730" s="13" t="n">
        <v>1000</v>
      </c>
      <c r="G730" s="13" t="n">
        <v>1000</v>
      </c>
      <c r="H730" t="inlineStr"/>
    </row>
    <row r="731">
      <c r="A731" t="inlineStr">
        <is>
          <t>Комп’ютерне обладнання ноутбук</t>
        </is>
      </c>
      <c r="B731" s="5" t="n">
        <v>1</v>
      </c>
      <c r="C731" s="5" t="n">
        <v>1</v>
      </c>
      <c r="D731" s="5" t="n">
        <v>2</v>
      </c>
      <c r="E731" s="13" t="n">
        <v>19682</v>
      </c>
      <c r="F731" s="13" t="n">
        <v>19682</v>
      </c>
      <c r="G731" s="13" t="n">
        <v>19682</v>
      </c>
      <c r="H731" t="inlineStr">
        <is>
          <t>ASUS (1), Epson (1)</t>
        </is>
      </c>
    </row>
    <row r="732">
      <c r="A732" t="inlineStr">
        <is>
          <t>Клавіатура+миша rapoo x1500</t>
        </is>
      </c>
      <c r="B732" s="5" t="n">
        <v>1</v>
      </c>
      <c r="C732" s="5" t="n">
        <v>1</v>
      </c>
      <c r="D732" s="5" t="n">
        <v>2</v>
      </c>
      <c r="E732" s="13" t="n">
        <v>750</v>
      </c>
      <c r="F732" s="13" t="n">
        <v>750</v>
      </c>
      <c r="G732" s="13" t="n">
        <v>750</v>
      </c>
      <c r="H732" t="inlineStr"/>
    </row>
    <row r="733">
      <c r="A733" t="inlineStr">
        <is>
          <t>Накопичував</t>
        </is>
      </c>
      <c r="B733" s="5" t="n">
        <v>1</v>
      </c>
      <c r="C733" s="5" t="n">
        <v>1</v>
      </c>
      <c r="D733" s="5" t="n">
        <v>1</v>
      </c>
      <c r="E733" s="13" t="n">
        <v>1430</v>
      </c>
      <c r="F733" s="13" t="n">
        <v>1430</v>
      </c>
      <c r="G733" s="13" t="n">
        <v>1430</v>
      </c>
      <c r="H733" t="inlineStr"/>
    </row>
    <row r="734">
      <c r="A734" t="inlineStr">
        <is>
          <t>Придбання згідно специфікації</t>
        </is>
      </c>
      <c r="B734" s="5" t="n">
        <v>1</v>
      </c>
      <c r="C734" s="5" t="n">
        <v>1</v>
      </c>
      <c r="D734" s="5" t="n">
        <v>1</v>
      </c>
      <c r="E734" s="13" t="n">
        <v>35940</v>
      </c>
      <c r="F734" s="13" t="n">
        <v>35940</v>
      </c>
      <c r="G734" s="13" t="n">
        <v>35940</v>
      </c>
      <c r="H734" t="inlineStr"/>
    </row>
    <row r="735">
      <c r="A735" t="inlineStr">
        <is>
          <t>Монітор філіпс</t>
        </is>
      </c>
      <c r="B735" s="5" t="n">
        <v>1</v>
      </c>
      <c r="C735" s="5" t="n">
        <v>1</v>
      </c>
      <c r="D735" s="5" t="n">
        <v>2</v>
      </c>
      <c r="E735" s="13" t="n">
        <v>3999</v>
      </c>
      <c r="F735" s="13" t="n">
        <v>3999</v>
      </c>
      <c r="G735" s="13" t="n">
        <v>3999</v>
      </c>
      <c r="H735" t="inlineStr">
        <is>
          <t>Philips (1)</t>
        </is>
      </c>
    </row>
    <row r="736">
      <c r="A736" t="inlineStr">
        <is>
          <t>Бфп лазерний принтер</t>
        </is>
      </c>
      <c r="B736" s="5" t="n">
        <v>1</v>
      </c>
      <c r="C736" s="5" t="n">
        <v>1</v>
      </c>
      <c r="D736" s="5" t="n">
        <v>1</v>
      </c>
      <c r="E736" s="13" t="n">
        <v>20199</v>
      </c>
      <c r="F736" s="13" t="n">
        <v>20199</v>
      </c>
      <c r="G736" s="13" t="n">
        <v>20199</v>
      </c>
      <c r="H736" t="inlineStr">
        <is>
          <t>Canon (1)</t>
        </is>
      </c>
    </row>
    <row r="737">
      <c r="A737" t="inlineStr">
        <is>
          <t>Клавіатура для ноутбука</t>
        </is>
      </c>
      <c r="B737" s="5" t="n">
        <v>1</v>
      </c>
      <c r="C737" s="5" t="n">
        <v>1</v>
      </c>
      <c r="D737" s="5" t="n">
        <v>1</v>
      </c>
      <c r="E737" s="13" t="n">
        <v>1053</v>
      </c>
      <c r="F737" s="13" t="n">
        <v>1053</v>
      </c>
      <c r="G737" s="13" t="n">
        <v>1053</v>
      </c>
      <c r="H737" t="inlineStr">
        <is>
          <t>Lenovo (1)</t>
        </is>
      </c>
    </row>
    <row r="738">
      <c r="A738" t="inlineStr">
        <is>
          <t>Бпф лазерний</t>
        </is>
      </c>
      <c r="B738" s="5" t="n">
        <v>1</v>
      </c>
      <c r="C738" s="5" t="n">
        <v>1</v>
      </c>
      <c r="D738" s="5" t="n">
        <v>1</v>
      </c>
      <c r="E738" s="13" t="n">
        <v>21869</v>
      </c>
      <c r="F738" s="13" t="n">
        <v>21869</v>
      </c>
      <c r="G738" s="13" t="n">
        <v>21869</v>
      </c>
      <c r="H738" t="inlineStr">
        <is>
          <t>Canon (1)</t>
        </is>
      </c>
    </row>
    <row r="739">
      <c r="A739" t="inlineStr">
        <is>
          <t>Багатофункціональний пристрій кольоровий</t>
        </is>
      </c>
      <c r="B739" s="5" t="n">
        <v>1</v>
      </c>
      <c r="C739" s="5" t="n">
        <v>1</v>
      </c>
      <c r="D739" s="5" t="n">
        <v>1</v>
      </c>
      <c r="E739" s="13" t="n">
        <v>20975</v>
      </c>
      <c r="F739" s="13" t="n">
        <v>20975</v>
      </c>
      <c r="G739" s="13" t="n">
        <v>20975</v>
      </c>
      <c r="H739" t="inlineStr">
        <is>
          <t>Epson (1)</t>
        </is>
      </c>
    </row>
    <row r="740">
      <c r="A740" t="inlineStr">
        <is>
          <t>Багатофункціональний пристрій чорно-білий</t>
        </is>
      </c>
      <c r="B740" s="5" t="n">
        <v>1</v>
      </c>
      <c r="C740" s="5" t="n">
        <v>1</v>
      </c>
      <c r="D740" s="5" t="n">
        <v>1</v>
      </c>
      <c r="E740" s="13" t="n">
        <v>20975</v>
      </c>
      <c r="F740" s="13" t="n">
        <v>20975</v>
      </c>
      <c r="G740" s="13" t="n">
        <v>20975</v>
      </c>
      <c r="H740" t="inlineStr">
        <is>
          <t>Canon (1)</t>
        </is>
      </c>
    </row>
    <row r="741">
      <c r="A741" t="inlineStr">
        <is>
          <t>Жорсткий диск внутрішній</t>
        </is>
      </c>
      <c r="B741" s="5" t="n">
        <v>1</v>
      </c>
      <c r="C741" s="5" t="n">
        <v>1</v>
      </c>
      <c r="D741" s="5" t="n">
        <v>1</v>
      </c>
      <c r="E741" s="13" t="n">
        <v>13650</v>
      </c>
      <c r="F741" s="13" t="n">
        <v>13650</v>
      </c>
      <c r="G741" s="13" t="n">
        <v>13650</v>
      </c>
      <c r="H741" t="inlineStr"/>
    </row>
    <row r="742">
      <c r="A742" t="inlineStr">
        <is>
          <t>3d-принтер bambu lab p1s combo + ams або</t>
        </is>
      </c>
      <c r="B742" s="5" t="n">
        <v>1</v>
      </c>
      <c r="C742" s="5" t="n">
        <v>1</v>
      </c>
      <c r="D742" s="5" t="n">
        <v>3</v>
      </c>
      <c r="E742" s="13" t="n">
        <v>33000</v>
      </c>
      <c r="F742" s="13" t="n">
        <v>33000</v>
      </c>
      <c r="G742" s="13" t="n">
        <v>33000</v>
      </c>
      <c r="H742" t="inlineStr"/>
    </row>
    <row r="743">
      <c r="A743" t="inlineStr">
        <is>
          <t>Плотер для кольорового</t>
        </is>
      </c>
      <c r="B743" s="5" t="n">
        <v>1</v>
      </c>
      <c r="C743" s="5" t="n">
        <v>1</v>
      </c>
      <c r="D743" s="5" t="n">
        <v>2</v>
      </c>
      <c r="E743" s="13" t="n">
        <v>89990</v>
      </c>
      <c r="F743" s="13" t="n">
        <v>89990</v>
      </c>
      <c r="G743" s="13" t="n">
        <v>89990</v>
      </c>
      <c r="H743" t="inlineStr">
        <is>
          <t>HP (1)</t>
        </is>
      </c>
    </row>
    <row r="744">
      <c r="A744" t="inlineStr">
        <is>
          <t>Зарядна станція</t>
        </is>
      </c>
      <c r="B744" s="5" t="n">
        <v>1</v>
      </c>
      <c r="C744" s="5" t="n">
        <v>1</v>
      </c>
      <c r="D744" s="5" t="n">
        <v>1</v>
      </c>
      <c r="E744" s="13" t="n">
        <v>179980</v>
      </c>
      <c r="F744" s="13" t="n">
        <v>179980</v>
      </c>
      <c r="G744" s="13" t="n">
        <v>179980</v>
      </c>
      <c r="H744" t="inlineStr"/>
    </row>
    <row r="745">
      <c r="A745" t="inlineStr">
        <is>
          <t>Системний блок комп'ютер</t>
        </is>
      </c>
      <c r="B745" s="5" t="n">
        <v>1</v>
      </c>
      <c r="C745" s="5" t="n">
        <v>1</v>
      </c>
      <c r="D745" s="5" t="n">
        <v>1</v>
      </c>
      <c r="E745" s="13" t="n">
        <v>40355</v>
      </c>
      <c r="F745" s="13" t="n">
        <v>40355</v>
      </c>
      <c r="G745" s="13" t="n">
        <v>40355</v>
      </c>
      <c r="H745" t="inlineStr">
        <is>
          <t>Vinga (1), Intel (1), Kingston (1)</t>
        </is>
      </c>
    </row>
    <row r="746">
      <c r="A746" t="inlineStr">
        <is>
          <t>Персональний ком'ютер в</t>
        </is>
      </c>
      <c r="B746" s="5" t="n">
        <v>1</v>
      </c>
      <c r="C746" s="5" t="n">
        <v>1</v>
      </c>
      <c r="D746" s="5" t="n">
        <v>1</v>
      </c>
      <c r="E746" s="13" t="n">
        <v>19998</v>
      </c>
      <c r="F746" s="13" t="n">
        <v>19998</v>
      </c>
      <c r="G746" s="13" t="n">
        <v>19998</v>
      </c>
      <c r="H746" t="inlineStr">
        <is>
          <t>Vinga (1), Intel (1)</t>
        </is>
      </c>
    </row>
    <row r="747">
      <c r="A747" t="inlineStr">
        <is>
          <t>Багатофункціональні кольорові лазерні</t>
        </is>
      </c>
      <c r="B747" s="5" t="n">
        <v>1</v>
      </c>
      <c r="C747" s="5" t="n">
        <v>1</v>
      </c>
      <c r="D747" s="5" t="n">
        <v>4</v>
      </c>
      <c r="E747" s="13" t="n">
        <v>80000</v>
      </c>
      <c r="F747" s="13" t="n">
        <v>80000</v>
      </c>
      <c r="G747" s="13" t="n">
        <v>80000</v>
      </c>
      <c r="H747" t="inlineStr"/>
    </row>
    <row r="748">
      <c r="A748" t="inlineStr">
        <is>
          <t>Ssd накопичувач</t>
        </is>
      </c>
      <c r="B748" s="5" t="n">
        <v>1</v>
      </c>
      <c r="C748" s="5" t="n">
        <v>1</v>
      </c>
      <c r="D748" s="5" t="n">
        <v>3</v>
      </c>
      <c r="E748" s="13" t="n">
        <v>1475</v>
      </c>
      <c r="F748" s="13" t="n">
        <v>1475</v>
      </c>
      <c r="G748" s="13" t="n">
        <v>1475</v>
      </c>
      <c r="H748" t="inlineStr"/>
    </row>
    <row r="749">
      <c r="A749" t="inlineStr">
        <is>
          <t>Набір ігровий</t>
        </is>
      </c>
      <c r="B749" s="5" t="n">
        <v>1</v>
      </c>
      <c r="C749" s="5" t="n">
        <v>1</v>
      </c>
      <c r="D749" s="5" t="n">
        <v>1</v>
      </c>
      <c r="E749" s="13" t="n">
        <v>1279</v>
      </c>
      <c r="F749" s="13" t="n">
        <v>1279</v>
      </c>
      <c r="G749" s="13" t="n">
        <v>1279</v>
      </c>
      <c r="H749" t="inlineStr"/>
    </row>
    <row r="750">
      <c r="A750" t="inlineStr">
        <is>
          <t>Artline home h47 (h47v17)</t>
        </is>
      </c>
      <c r="B750" s="5" t="n">
        <v>1</v>
      </c>
      <c r="C750" s="5" t="n">
        <v>1</v>
      </c>
      <c r="D750" s="5" t="n">
        <v>5</v>
      </c>
      <c r="E750" s="13" t="n">
        <v>19200</v>
      </c>
      <c r="F750" s="13" t="n">
        <v>19200</v>
      </c>
      <c r="G750" s="13" t="n">
        <v>19200</v>
      </c>
      <c r="H750" t="inlineStr">
        <is>
          <t>Artline (1)</t>
        </is>
      </c>
    </row>
    <row r="751">
      <c r="A751" t="inlineStr">
        <is>
          <t>Модуль пам'яті процесор</t>
        </is>
      </c>
      <c r="B751" s="5" t="n">
        <v>1</v>
      </c>
      <c r="C751" s="5" t="n">
        <v>1</v>
      </c>
      <c r="D751" s="5" t="n">
        <v>7</v>
      </c>
      <c r="E751" s="13" t="n">
        <v>14140</v>
      </c>
      <c r="F751" s="13" t="n">
        <v>14140</v>
      </c>
      <c r="G751" s="13" t="n">
        <v>14140</v>
      </c>
      <c r="H751" t="inlineStr"/>
    </row>
    <row r="752">
      <c r="A752" t="inlineStr">
        <is>
          <t>Персональний ком'ютер системний</t>
        </is>
      </c>
      <c r="B752" s="5" t="n">
        <v>1</v>
      </c>
      <c r="C752" s="5" t="n">
        <v>1</v>
      </c>
      <c r="D752" s="5" t="n">
        <v>1</v>
      </c>
      <c r="E752" s="13" t="n">
        <v>33850</v>
      </c>
      <c r="F752" s="13" t="n">
        <v>33850</v>
      </c>
      <c r="G752" s="13" t="n">
        <v>33850</v>
      </c>
      <c r="H752" t="inlineStr"/>
    </row>
    <row r="753">
      <c r="A753" t="inlineStr">
        <is>
          <t>Usb концентратор</t>
        </is>
      </c>
      <c r="B753" s="5" t="n">
        <v>1</v>
      </c>
      <c r="C753" s="5" t="n">
        <v>1</v>
      </c>
      <c r="D753" s="5" t="n">
        <v>2</v>
      </c>
      <c r="E753" s="13" t="n">
        <v>11943.5</v>
      </c>
      <c r="F753" s="13" t="n">
        <v>11943.5</v>
      </c>
      <c r="G753" s="13" t="n">
        <v>11943.5</v>
      </c>
      <c r="H753" t="inlineStr"/>
    </row>
    <row r="754">
      <c r="A754" t="inlineStr">
        <is>
          <t>Kingston micro sdxc 256gb</t>
        </is>
      </c>
      <c r="B754" s="5" t="n">
        <v>1</v>
      </c>
      <c r="C754" s="5" t="n">
        <v>1</v>
      </c>
      <c r="D754" s="5" t="n">
        <v>11</v>
      </c>
      <c r="E754" s="13" t="n">
        <v>1550</v>
      </c>
      <c r="F754" s="13" t="n">
        <v>1550</v>
      </c>
      <c r="G754" s="13" t="n">
        <v>1550</v>
      </c>
      <c r="H754" t="inlineStr">
        <is>
          <t>Kingston (1)</t>
        </is>
      </c>
    </row>
    <row r="755">
      <c r="A755" t="inlineStr">
        <is>
          <t>Комплектуючі для комп'ютера</t>
        </is>
      </c>
      <c r="B755" s="5" t="n">
        <v>1</v>
      </c>
      <c r="C755" s="5" t="n">
        <v>1</v>
      </c>
      <c r="D755" s="5" t="n">
        <v>4</v>
      </c>
      <c r="E755" s="13" t="n">
        <v>648</v>
      </c>
      <c r="F755" s="13" t="n">
        <v>648</v>
      </c>
      <c r="G755" s="13" t="n">
        <v>648</v>
      </c>
      <c r="H755" t="inlineStr"/>
    </row>
    <row r="756">
      <c r="A756" t="inlineStr">
        <is>
          <t>Комп’ютерне обладнання монітори</t>
        </is>
      </c>
      <c r="B756" s="5" t="n">
        <v>1</v>
      </c>
      <c r="C756" s="5" t="n">
        <v>1</v>
      </c>
      <c r="D756" s="5" t="n">
        <v>20</v>
      </c>
      <c r="E756" s="13" t="n">
        <v>4995</v>
      </c>
      <c r="F756" s="13" t="n">
        <v>4995</v>
      </c>
      <c r="G756" s="13" t="n">
        <v>4995</v>
      </c>
      <c r="H756" t="inlineStr"/>
    </row>
    <row r="757">
      <c r="A757" t="inlineStr">
        <is>
          <t>Комплект безпровідний</t>
        </is>
      </c>
      <c r="B757" s="5" t="n">
        <v>1</v>
      </c>
      <c r="C757" s="5" t="n">
        <v>1</v>
      </c>
      <c r="D757" s="5" t="n">
        <v>1</v>
      </c>
      <c r="E757" s="13" t="n">
        <v>5658</v>
      </c>
      <c r="F757" s="13" t="n">
        <v>5658</v>
      </c>
      <c r="G757" s="13" t="n">
        <v>5658</v>
      </c>
      <c r="H757" t="inlineStr">
        <is>
          <t>Logitech (1)</t>
        </is>
      </c>
    </row>
    <row r="758">
      <c r="A758" t="inlineStr">
        <is>
          <t>Сканер протяжний дк</t>
        </is>
      </c>
      <c r="B758" s="5" t="n">
        <v>1</v>
      </c>
      <c r="C758" s="5" t="n">
        <v>1</v>
      </c>
      <c r="D758" s="5" t="n">
        <v>5</v>
      </c>
      <c r="E758" s="13" t="n">
        <v>30000</v>
      </c>
      <c r="F758" s="13" t="n">
        <v>30000</v>
      </c>
      <c r="G758" s="13" t="n">
        <v>30000</v>
      </c>
      <c r="H758" t="inlineStr"/>
    </row>
    <row r="759">
      <c r="A759" t="inlineStr">
        <is>
          <t>Засіб кзі електрон</t>
        </is>
      </c>
      <c r="B759" s="5" t="n">
        <v>1</v>
      </c>
      <c r="C759" s="5" t="n">
        <v>1</v>
      </c>
      <c r="D759" s="5" t="n">
        <v>8</v>
      </c>
      <c r="E759" s="13" t="n">
        <v>1386.25</v>
      </c>
      <c r="F759" s="13" t="n">
        <v>1386.25</v>
      </c>
      <c r="G759" s="13" t="n">
        <v>1386.25</v>
      </c>
      <c r="H759" t="inlineStr"/>
    </row>
    <row r="760">
      <c r="A760" t="inlineStr">
        <is>
          <t>Post пост карта для ноутбуків m pci m pc</t>
        </is>
      </c>
      <c r="B760" s="5" t="n">
        <v>1</v>
      </c>
      <c r="C760" s="5" t="n">
        <v>1</v>
      </c>
      <c r="D760" s="5" t="n">
        <v>2</v>
      </c>
      <c r="E760" s="13" t="n">
        <v>488</v>
      </c>
      <c r="F760" s="13" t="n">
        <v>488</v>
      </c>
      <c r="G760" s="13" t="n">
        <v>488</v>
      </c>
      <c r="H760" t="inlineStr"/>
    </row>
    <row r="761">
      <c r="A761" t="inlineStr">
        <is>
          <t>Ip-камера imou bullet 2 e 5 mp (ipc-k3dp</t>
        </is>
      </c>
      <c r="B761" s="5" t="n">
        <v>1</v>
      </c>
      <c r="C761" s="5" t="n">
        <v>1</v>
      </c>
      <c r="D761" s="5" t="n">
        <v>2500</v>
      </c>
      <c r="E761" s="13" t="n">
        <v>1.48</v>
      </c>
      <c r="F761" s="13" t="n">
        <v>1.48</v>
      </c>
      <c r="G761" s="13" t="n">
        <v>1.48</v>
      </c>
      <c r="H761" t="inlineStr">
        <is>
          <t>2E (1)</t>
        </is>
      </c>
    </row>
    <row r="762">
      <c r="A762" t="inlineStr">
        <is>
          <t>Картка пам'яті</t>
        </is>
      </c>
      <c r="B762" s="5" t="n">
        <v>1</v>
      </c>
      <c r="C762" s="5" t="n">
        <v>1</v>
      </c>
      <c r="D762" s="5" t="n">
        <v>1200</v>
      </c>
      <c r="E762" s="13" t="n">
        <v>3.08</v>
      </c>
      <c r="F762" s="13" t="n">
        <v>3.08</v>
      </c>
      <c r="G762" s="13" t="n">
        <v>3.08</v>
      </c>
      <c r="H762" t="inlineStr"/>
    </row>
    <row r="763">
      <c r="A763" t="inlineStr">
        <is>
          <t>Комплект миша та</t>
        </is>
      </c>
      <c r="B763" s="5" t="n">
        <v>1</v>
      </c>
      <c r="C763" s="5" t="n">
        <v>1</v>
      </c>
      <c r="D763" s="5" t="n">
        <v>1</v>
      </c>
      <c r="E763" s="13" t="n">
        <v>6650</v>
      </c>
      <c r="F763" s="13" t="n">
        <v>6650</v>
      </c>
      <c r="G763" s="13" t="n">
        <v>6650</v>
      </c>
      <c r="H763" t="inlineStr">
        <is>
          <t>Genius (1)</t>
        </is>
      </c>
    </row>
    <row r="764">
      <c r="A764" t="inlineStr">
        <is>
          <t>Led ліхрик quatum techno usb 10w (qm-fl1</t>
        </is>
      </c>
      <c r="B764" s="5" t="n">
        <v>1</v>
      </c>
      <c r="C764" s="5" t="n">
        <v>1</v>
      </c>
      <c r="D764" s="5" t="n">
        <v>1</v>
      </c>
      <c r="E764" s="13" t="n">
        <v>6650</v>
      </c>
      <c r="F764" s="13" t="n">
        <v>6650</v>
      </c>
      <c r="G764" s="13" t="n">
        <v>6650</v>
      </c>
      <c r="H764" t="inlineStr"/>
    </row>
    <row r="765">
      <c r="A765" t="inlineStr">
        <is>
          <t>Концентрат</t>
        </is>
      </c>
      <c r="B765" s="5" t="n">
        <v>1</v>
      </c>
      <c r="C765" s="5" t="n">
        <v>1</v>
      </c>
      <c r="D765" s="5" t="n">
        <v>1</v>
      </c>
      <c r="E765" s="13" t="n">
        <v>1499</v>
      </c>
      <c r="F765" s="13" t="n">
        <v>1499</v>
      </c>
      <c r="G765" s="13" t="n">
        <v>1499</v>
      </c>
      <c r="H765" t="inlineStr"/>
    </row>
    <row r="766">
      <c r="A766" t="inlineStr">
        <is>
          <t>Карти пам'яті зарядний</t>
        </is>
      </c>
      <c r="B766" s="5" t="n">
        <v>1</v>
      </c>
      <c r="C766" s="5" t="n">
        <v>1</v>
      </c>
      <c r="D766" s="5" t="n">
        <v>13</v>
      </c>
      <c r="E766" s="13" t="n">
        <v>363.85</v>
      </c>
      <c r="F766" s="13" t="n">
        <v>363.85</v>
      </c>
      <c r="G766" s="13" t="n">
        <v>363.85</v>
      </c>
      <c r="H766" t="inlineStr"/>
    </row>
    <row r="767">
      <c r="A767" t="inlineStr">
        <is>
          <t>Принтер бфп ч</t>
        </is>
      </c>
      <c r="B767" s="5" t="n">
        <v>1</v>
      </c>
      <c r="C767" s="5" t="n">
        <v>1</v>
      </c>
      <c r="D767" s="5" t="n">
        <v>1</v>
      </c>
      <c r="E767" s="13" t="n">
        <v>15959</v>
      </c>
      <c r="F767" s="13" t="n">
        <v>15959</v>
      </c>
      <c r="G767" s="13" t="n">
        <v>15959</v>
      </c>
      <c r="H767" t="inlineStr">
        <is>
          <t>Canon (1)</t>
        </is>
      </c>
    </row>
    <row r="768">
      <c r="A768" t="inlineStr">
        <is>
          <t>Монохромний лазерний багатофункціональний</t>
        </is>
      </c>
      <c r="B768" s="5" t="n">
        <v>1</v>
      </c>
      <c r="C768" s="5" t="n">
        <v>1</v>
      </c>
      <c r="D768" s="5" t="n">
        <v>12</v>
      </c>
      <c r="E768" s="13" t="n">
        <v>29166.67</v>
      </c>
      <c r="F768" s="13" t="n">
        <v>29166.67</v>
      </c>
      <c r="G768" s="13" t="n">
        <v>29166.67</v>
      </c>
      <c r="H768" t="inlineStr"/>
    </row>
    <row r="769">
      <c r="A769" t="inlineStr">
        <is>
          <t>Монохромний лазерний принтер</t>
        </is>
      </c>
      <c r="B769" s="5" t="n">
        <v>1</v>
      </c>
      <c r="C769" s="5" t="n">
        <v>1</v>
      </c>
      <c r="D769" s="5" t="n">
        <v>3</v>
      </c>
      <c r="E769" s="13" t="n">
        <v>116666.67</v>
      </c>
      <c r="F769" s="13" t="n">
        <v>116666.67</v>
      </c>
      <c r="G769" s="13" t="n">
        <v>116666.67</v>
      </c>
      <c r="H769" t="inlineStr"/>
    </row>
    <row r="770">
      <c r="A770" t="inlineStr">
        <is>
          <t>Жорсткий диск накопичувач</t>
        </is>
      </c>
      <c r="B770" s="5" t="n">
        <v>1</v>
      </c>
      <c r="C770" s="5" t="n">
        <v>1</v>
      </c>
      <c r="D770" s="5" t="n">
        <v>10</v>
      </c>
      <c r="E770" s="13" t="n">
        <v>2617.6</v>
      </c>
      <c r="F770" s="13" t="n">
        <v>2617.6</v>
      </c>
      <c r="G770" s="13" t="n">
        <v>2617.6</v>
      </c>
      <c r="H770" t="inlineStr"/>
    </row>
    <row r="771">
      <c r="A771" t="inlineStr">
        <is>
          <t>Комп'ютерне обладнання монітор</t>
        </is>
      </c>
      <c r="B771" s="5" t="n">
        <v>1</v>
      </c>
      <c r="C771" s="5" t="n">
        <v>1</v>
      </c>
      <c r="D771" s="5" t="n">
        <v>1</v>
      </c>
      <c r="E771" s="13" t="n">
        <v>19620</v>
      </c>
      <c r="F771" s="13" t="n">
        <v>19620</v>
      </c>
      <c r="G771" s="13" t="n">
        <v>19620</v>
      </c>
      <c r="H771" t="inlineStr"/>
    </row>
    <row r="772">
      <c r="A772" t="inlineStr">
        <is>
          <t>Oukitel rt7 titan 8/256gb black</t>
        </is>
      </c>
      <c r="B772" s="5" t="n">
        <v>1</v>
      </c>
      <c r="C772" s="5" t="n">
        <v>1</v>
      </c>
      <c r="D772" s="5" t="n">
        <v>2</v>
      </c>
      <c r="E772" s="13" t="n">
        <v>13797</v>
      </c>
      <c r="F772" s="13" t="n">
        <v>13797</v>
      </c>
      <c r="G772" s="13" t="n">
        <v>13797</v>
      </c>
      <c r="H772" t="inlineStr"/>
    </row>
    <row r="773">
      <c r="A773" t="inlineStr">
        <is>
          <t>Флеш-память</t>
        </is>
      </c>
      <c r="B773" s="5" t="n">
        <v>1</v>
      </c>
      <c r="C773" s="5" t="n">
        <v>1</v>
      </c>
      <c r="D773" s="5" t="n">
        <v>1</v>
      </c>
      <c r="E773" s="13" t="n">
        <v>840</v>
      </c>
      <c r="F773" s="13" t="n">
        <v>840</v>
      </c>
      <c r="G773" s="13" t="n">
        <v>840</v>
      </c>
      <c r="H773" t="inlineStr"/>
    </row>
    <row r="774">
      <c r="A774" t="inlineStr">
        <is>
          <t>Зовнішній жорсткий накопичувач</t>
        </is>
      </c>
      <c r="B774" s="5" t="n">
        <v>1</v>
      </c>
      <c r="C774" s="5" t="n">
        <v>1</v>
      </c>
      <c r="D774" s="5" t="n">
        <v>1</v>
      </c>
      <c r="E774" s="13" t="n">
        <v>3249</v>
      </c>
      <c r="F774" s="13" t="n">
        <v>3249</v>
      </c>
      <c r="G774" s="13" t="n">
        <v>3249</v>
      </c>
      <c r="H774" t="inlineStr"/>
    </row>
    <row r="775">
      <c r="A775" t="inlineStr">
        <is>
          <t>Комп’ютерне обладнання системний</t>
        </is>
      </c>
      <c r="B775" s="5" t="n">
        <v>1</v>
      </c>
      <c r="C775" s="5" t="n">
        <v>1</v>
      </c>
      <c r="D775" s="5" t="n">
        <v>1</v>
      </c>
      <c r="E775" s="13" t="n">
        <v>6200</v>
      </c>
      <c r="F775" s="13" t="n">
        <v>6200</v>
      </c>
      <c r="G775" s="13" t="n">
        <v>6200</v>
      </c>
      <c r="H775" t="inlineStr"/>
    </row>
    <row r="776">
      <c r="A776" t="inlineStr">
        <is>
          <t>Usb флеш накопичувач</t>
        </is>
      </c>
      <c r="B776" s="5" t="n">
        <v>1</v>
      </c>
      <c r="C776" s="5" t="n">
        <v>1</v>
      </c>
      <c r="D776" s="5" t="n">
        <v>6</v>
      </c>
      <c r="E776" s="13" t="n">
        <v>179</v>
      </c>
      <c r="F776" s="13" t="n">
        <v>179</v>
      </c>
      <c r="G776" s="13" t="n">
        <v>179</v>
      </c>
      <c r="H776" t="inlineStr"/>
    </row>
    <row r="777">
      <c r="A777" t="inlineStr">
        <is>
          <t>Миша компютерна хавіт</t>
        </is>
      </c>
      <c r="B777" s="5" t="n">
        <v>1</v>
      </c>
      <c r="C777" s="5" t="n">
        <v>1</v>
      </c>
      <c r="D777" s="5" t="n">
        <v>2</v>
      </c>
      <c r="E777" s="13" t="n">
        <v>270</v>
      </c>
      <c r="F777" s="13" t="n">
        <v>270</v>
      </c>
      <c r="G777" s="13" t="n">
        <v>270</v>
      </c>
      <c r="H777" t="inlineStr"/>
    </row>
    <row r="778">
      <c r="A778" t="inlineStr">
        <is>
          <t>Зовнішній накопичувач флеш</t>
        </is>
      </c>
      <c r="B778" s="5" t="n">
        <v>1</v>
      </c>
      <c r="C778" s="5" t="n">
        <v>1</v>
      </c>
      <c r="D778" s="5" t="n">
        <v>5</v>
      </c>
      <c r="E778" s="13" t="n">
        <v>1105.8</v>
      </c>
      <c r="F778" s="13" t="n">
        <v>1105.8</v>
      </c>
      <c r="G778" s="13" t="n">
        <v>1105.8</v>
      </c>
      <c r="H778" t="inlineStr"/>
    </row>
    <row r="779">
      <c r="A779" t="inlineStr">
        <is>
          <t>Блоки безперебійного живлення</t>
        </is>
      </c>
      <c r="B779" s="5" t="n">
        <v>1</v>
      </c>
      <c r="C779" s="5" t="n">
        <v>1</v>
      </c>
      <c r="D779" s="5" t="n">
        <v>4</v>
      </c>
      <c r="E779" s="13" t="n">
        <v>6500</v>
      </c>
      <c r="F779" s="13" t="n">
        <v>6500</v>
      </c>
      <c r="G779" s="13" t="n">
        <v>6500</v>
      </c>
      <c r="H779" t="inlineStr"/>
    </row>
    <row r="780">
      <c r="A780" t="inlineStr">
        <is>
          <t>Комп’ютерне обладнання монітор</t>
        </is>
      </c>
      <c r="B780" s="5" t="n">
        <v>1</v>
      </c>
      <c r="C780" s="5" t="n">
        <v>1</v>
      </c>
      <c r="D780" s="5" t="n">
        <v>1</v>
      </c>
      <c r="E780" s="13" t="n">
        <v>5750</v>
      </c>
      <c r="F780" s="13" t="n">
        <v>5750</v>
      </c>
      <c r="G780" s="13" t="n">
        <v>5750</v>
      </c>
      <c r="H780" t="inlineStr"/>
    </row>
    <row r="781">
      <c r="A781" t="inlineStr">
        <is>
          <t>Модуль пам'яті длякомп'ютера</t>
        </is>
      </c>
      <c r="B781" s="5" t="n">
        <v>1</v>
      </c>
      <c r="C781" s="5" t="n">
        <v>1</v>
      </c>
      <c r="D781" s="5" t="n">
        <v>2</v>
      </c>
      <c r="E781" s="13" t="n">
        <v>2450</v>
      </c>
      <c r="F781" s="13" t="n">
        <v>2450</v>
      </c>
      <c r="G781" s="13" t="n">
        <v>2450</v>
      </c>
      <c r="H781" t="inlineStr"/>
    </row>
    <row r="782">
      <c r="A782" t="inlineStr">
        <is>
          <t>Накупичувач патріот</t>
        </is>
      </c>
      <c r="B782" s="5" t="n">
        <v>1</v>
      </c>
      <c r="C782" s="5" t="n">
        <v>1</v>
      </c>
      <c r="D782" s="5" t="n">
        <v>4</v>
      </c>
      <c r="E782" s="13" t="n">
        <v>1487.5</v>
      </c>
      <c r="F782" s="13" t="n">
        <v>1487.5</v>
      </c>
      <c r="G782" s="13" t="n">
        <v>1487.5</v>
      </c>
      <c r="H782" t="inlineStr"/>
    </row>
    <row r="783">
      <c r="A783" t="inlineStr">
        <is>
          <t>Термопаста для очищення</t>
        </is>
      </c>
      <c r="B783" s="5" t="n">
        <v>1</v>
      </c>
      <c r="C783" s="5" t="n">
        <v>1</v>
      </c>
      <c r="D783" s="5" t="n">
        <v>1</v>
      </c>
      <c r="E783" s="13" t="n">
        <v>5950</v>
      </c>
      <c r="F783" s="13" t="n">
        <v>5950</v>
      </c>
      <c r="G783" s="13" t="n">
        <v>5950</v>
      </c>
      <c r="H783" t="inlineStr"/>
    </row>
    <row r="784">
      <c r="A784" t="inlineStr">
        <is>
          <t>Монітори системні блоки</t>
        </is>
      </c>
      <c r="B784" s="5" t="n">
        <v>1</v>
      </c>
      <c r="C784" s="5" t="n">
        <v>1</v>
      </c>
      <c r="D784" s="5" t="n">
        <v>50</v>
      </c>
      <c r="E784" s="13" t="n">
        <v>998</v>
      </c>
      <c r="F784" s="13" t="n">
        <v>998</v>
      </c>
      <c r="G784" s="13" t="n">
        <v>998</v>
      </c>
      <c r="H784" t="inlineStr"/>
    </row>
    <row r="785">
      <c r="A785" t="inlineStr">
        <is>
          <t>Монітор мишка блок</t>
        </is>
      </c>
      <c r="B785" s="5" t="n">
        <v>1</v>
      </c>
      <c r="C785" s="5" t="n">
        <v>1</v>
      </c>
      <c r="D785" s="5" t="n">
        <v>4</v>
      </c>
      <c r="E785" s="13" t="n">
        <v>2804.5</v>
      </c>
      <c r="F785" s="13" t="n">
        <v>2804.5</v>
      </c>
      <c r="G785" s="13" t="n">
        <v>2804.5</v>
      </c>
      <c r="H785" t="inlineStr"/>
    </row>
    <row r="786">
      <c r="A786" t="inlineStr">
        <is>
          <t>Акумуляторна батарея</t>
        </is>
      </c>
      <c r="B786" s="5" t="n">
        <v>1</v>
      </c>
      <c r="C786" s="5" t="n">
        <v>1</v>
      </c>
      <c r="D786" s="5" t="n">
        <v>1</v>
      </c>
      <c r="E786" s="13" t="n">
        <v>46376</v>
      </c>
      <c r="F786" s="13" t="n">
        <v>46376</v>
      </c>
      <c r="G786" s="13" t="n">
        <v>46376</v>
      </c>
      <c r="H786" t="inlineStr"/>
    </row>
    <row r="787">
      <c r="A787" t="inlineStr">
        <is>
          <t>3d - принтер (код 30232100-5 національно</t>
        </is>
      </c>
      <c r="B787" s="5" t="n">
        <v>1</v>
      </c>
      <c r="C787" s="5" t="n">
        <v>1</v>
      </c>
      <c r="D787" s="5" t="n">
        <v>2</v>
      </c>
      <c r="E787" s="13" t="n">
        <v>37312</v>
      </c>
      <c r="F787" s="13" t="n">
        <v>37312</v>
      </c>
      <c r="G787" s="13" t="n">
        <v>37312</v>
      </c>
      <c r="H787" t="inlineStr"/>
    </row>
    <row r="788">
      <c r="A788" t="inlineStr">
        <is>
          <t>Xtrike me mk-503 комплект</t>
        </is>
      </c>
      <c r="B788" s="5" t="n">
        <v>1</v>
      </c>
      <c r="C788" s="5" t="n">
        <v>1</v>
      </c>
      <c r="D788" s="5" t="n">
        <v>4</v>
      </c>
      <c r="E788" s="13" t="n">
        <v>859.66</v>
      </c>
      <c r="F788" s="13" t="n">
        <v>859.66</v>
      </c>
      <c r="G788" s="13" t="n">
        <v>859.66</v>
      </c>
      <c r="H788" t="inlineStr"/>
    </row>
    <row r="789">
      <c r="A789" t="inlineStr">
        <is>
          <t>Ноутбуки в асортименті</t>
        </is>
      </c>
      <c r="B789" s="5" t="n">
        <v>1</v>
      </c>
      <c r="C789" s="5" t="n">
        <v>1</v>
      </c>
      <c r="D789" s="5" t="n">
        <v>3</v>
      </c>
      <c r="E789" s="13" t="n">
        <v>25866.67</v>
      </c>
      <c r="F789" s="13" t="n">
        <v>25866.67</v>
      </c>
      <c r="G789" s="13" t="n">
        <v>25866.67</v>
      </c>
      <c r="H789" t="inlineStr"/>
    </row>
    <row r="790">
      <c r="A790" t="inlineStr">
        <is>
          <t>Настінні кронштейни для</t>
        </is>
      </c>
      <c r="B790" s="5" t="n">
        <v>1</v>
      </c>
      <c r="C790" s="5" t="n">
        <v>1</v>
      </c>
      <c r="D790" s="5" t="n">
        <v>2</v>
      </c>
      <c r="E790" s="13" t="n">
        <v>1394.5</v>
      </c>
      <c r="F790" s="13" t="n">
        <v>1394.5</v>
      </c>
      <c r="G790" s="13" t="n">
        <v>1394.5</v>
      </c>
      <c r="H790" t="inlineStr"/>
    </row>
    <row r="791">
      <c r="A791" t="inlineStr">
        <is>
          <t>Мишка бездротова</t>
        </is>
      </c>
      <c r="B791" s="5" t="n">
        <v>1</v>
      </c>
      <c r="C791" s="5" t="n">
        <v>1</v>
      </c>
      <c r="D791" s="5" t="n">
        <v>1</v>
      </c>
      <c r="E791" s="13" t="n">
        <v>549</v>
      </c>
      <c r="F791" s="13" t="n">
        <v>549</v>
      </c>
      <c r="G791" s="13" t="n">
        <v>549</v>
      </c>
      <c r="H791" t="inlineStr">
        <is>
          <t>Logitech (1)</t>
        </is>
      </c>
    </row>
    <row r="792">
      <c r="A792" t="inlineStr">
        <is>
          <t>Кишеня для</t>
        </is>
      </c>
      <c r="B792" s="5" t="n">
        <v>1</v>
      </c>
      <c r="C792" s="5" t="n">
        <v>1</v>
      </c>
      <c r="D792" s="5" t="n">
        <v>1</v>
      </c>
      <c r="E792" s="13" t="n">
        <v>386</v>
      </c>
      <c r="F792" s="13" t="n">
        <v>386</v>
      </c>
      <c r="G792" s="13" t="n">
        <v>386</v>
      </c>
      <c r="H792" t="inlineStr"/>
    </row>
    <row r="793">
      <c r="A793" t="inlineStr">
        <is>
          <t>3d-принтер bambu lab p2s</t>
        </is>
      </c>
      <c r="B793" s="5" t="n">
        <v>1</v>
      </c>
      <c r="C793" s="5" t="n">
        <v>1</v>
      </c>
      <c r="D793" s="5" t="n">
        <v>1</v>
      </c>
      <c r="E793" s="13" t="n">
        <v>42600</v>
      </c>
      <c r="F793" s="13" t="n">
        <v>42600</v>
      </c>
      <c r="G793" s="13" t="n">
        <v>42600</v>
      </c>
      <c r="H793" t="inlineStr"/>
    </row>
    <row r="794">
      <c r="A794" t="inlineStr">
        <is>
          <t>Сумка</t>
        </is>
      </c>
      <c r="B794" s="5" t="n">
        <v>1</v>
      </c>
      <c r="C794" s="5" t="n">
        <v>1</v>
      </c>
      <c r="D794" s="5" t="n">
        <v>1</v>
      </c>
      <c r="E794" s="13" t="n">
        <v>12630</v>
      </c>
      <c r="F794" s="13" t="n">
        <v>12630</v>
      </c>
      <c r="G794" s="13" t="n">
        <v>12630</v>
      </c>
      <c r="H794" t="inlineStr"/>
    </row>
    <row r="795">
      <c r="A795" t="inlineStr">
        <is>
          <t>Usb-накопичувач 64 gb kingston data trav</t>
        </is>
      </c>
      <c r="B795" s="5" t="n">
        <v>1</v>
      </c>
      <c r="C795" s="5" t="n">
        <v>1</v>
      </c>
      <c r="D795" s="5" t="n">
        <v>1</v>
      </c>
      <c r="E795" s="13" t="n">
        <v>3220</v>
      </c>
      <c r="F795" s="13" t="n">
        <v>3220</v>
      </c>
      <c r="G795" s="13" t="n">
        <v>3220</v>
      </c>
      <c r="H795" t="inlineStr">
        <is>
          <t>Kingston (1)</t>
        </is>
      </c>
    </row>
    <row r="796">
      <c r="A796" t="inlineStr">
        <is>
          <t>Веб камера</t>
        </is>
      </c>
      <c r="B796" s="5" t="n">
        <v>1</v>
      </c>
      <c r="C796" s="5" t="n">
        <v>1</v>
      </c>
      <c r="D796" s="5" t="n">
        <v>1</v>
      </c>
      <c r="E796" s="13" t="n">
        <v>3484</v>
      </c>
      <c r="F796" s="13" t="n">
        <v>3484</v>
      </c>
      <c r="G796" s="13" t="n">
        <v>3484</v>
      </c>
      <c r="H796" t="inlineStr"/>
    </row>
    <row r="797">
      <c r="A797" t="inlineStr">
        <is>
          <t>Artline home h47</t>
        </is>
      </c>
      <c r="B797" s="5" t="n">
        <v>1</v>
      </c>
      <c r="C797" s="5" t="n">
        <v>1</v>
      </c>
      <c r="D797" s="5" t="n">
        <v>1</v>
      </c>
      <c r="E797" s="13" t="n">
        <v>19092</v>
      </c>
      <c r="F797" s="13" t="n">
        <v>19092</v>
      </c>
      <c r="G797" s="13" t="n">
        <v>19092</v>
      </c>
      <c r="H797" t="inlineStr">
        <is>
          <t>Artline (1)</t>
        </is>
      </c>
    </row>
    <row r="798">
      <c r="A798" t="inlineStr">
        <is>
          <t>Artline gaming x43</t>
        </is>
      </c>
      <c r="B798" s="5" t="n">
        <v>1</v>
      </c>
      <c r="C798" s="5" t="n">
        <v>1</v>
      </c>
      <c r="D798" s="5" t="n">
        <v>4</v>
      </c>
      <c r="E798" s="13" t="n">
        <v>33660</v>
      </c>
      <c r="F798" s="13" t="n">
        <v>33660</v>
      </c>
      <c r="G798" s="13" t="n">
        <v>33660</v>
      </c>
      <c r="H798" t="inlineStr">
        <is>
          <t>Artline (1)</t>
        </is>
      </c>
    </row>
    <row r="799">
      <c r="A799" t="inlineStr">
        <is>
          <t>Навушники</t>
        </is>
      </c>
      <c r="B799" s="5" t="n">
        <v>1</v>
      </c>
      <c r="C799" s="5" t="n">
        <v>1</v>
      </c>
      <c r="D799" s="5" t="n">
        <v>1</v>
      </c>
      <c r="E799" s="13" t="n">
        <v>21321</v>
      </c>
      <c r="F799" s="13" t="n">
        <v>21321</v>
      </c>
      <c r="G799" s="13" t="n">
        <v>21321</v>
      </c>
      <c r="H799" t="inlineStr"/>
    </row>
    <row r="800">
      <c r="A800" t="inlineStr">
        <is>
          <t>Придбання матеріалів до</t>
        </is>
      </c>
      <c r="B800" s="5" t="n">
        <v>1</v>
      </c>
      <c r="C800" s="5" t="n">
        <v>1</v>
      </c>
      <c r="D800" s="5" t="n">
        <v>1</v>
      </c>
      <c r="E800" s="13" t="n">
        <v>399</v>
      </c>
      <c r="F800" s="13" t="n">
        <v>399</v>
      </c>
      <c r="G800" s="13" t="n">
        <v>399</v>
      </c>
      <c r="H800" t="inlineStr"/>
    </row>
    <row r="801">
      <c r="A801" t="inlineStr">
        <is>
          <t>Комп'ютери персональні портативні</t>
        </is>
      </c>
      <c r="B801" s="5" t="n">
        <v>1</v>
      </c>
      <c r="C801" s="5" t="n">
        <v>1</v>
      </c>
      <c r="D801" s="5" t="n">
        <v>10</v>
      </c>
      <c r="E801" s="13" t="n">
        <v>9800</v>
      </c>
      <c r="F801" s="13" t="n">
        <v>9800</v>
      </c>
      <c r="G801" s="13" t="n">
        <v>9800</v>
      </c>
      <c r="H801" t="inlineStr"/>
    </row>
    <row r="802">
      <c r="A802" t="inlineStr">
        <is>
          <t>30230000-0 комп’ютерне обладнання(комп'ю</t>
        </is>
      </c>
      <c r="B802" s="5" t="n">
        <v>1</v>
      </c>
      <c r="C802" s="5" t="n">
        <v>1</v>
      </c>
      <c r="D802" s="5" t="n">
        <v>1</v>
      </c>
      <c r="E802" s="13" t="n">
        <v>34233</v>
      </c>
      <c r="F802" s="13" t="n">
        <v>34233</v>
      </c>
      <c r="G802" s="13" t="n">
        <v>34233</v>
      </c>
      <c r="H802" t="inlineStr"/>
    </row>
    <row r="803">
      <c r="A803" t="inlineStr">
        <is>
          <t>Неттопи ноутбуки</t>
        </is>
      </c>
      <c r="B803" s="5" t="n">
        <v>1</v>
      </c>
      <c r="C803" s="5" t="n">
        <v>1</v>
      </c>
      <c r="D803" s="5" t="n">
        <v>10</v>
      </c>
      <c r="E803" s="13" t="n">
        <v>36937.53</v>
      </c>
      <c r="F803" s="13" t="n">
        <v>36937.53</v>
      </c>
      <c r="G803" s="13" t="n">
        <v>36937.53</v>
      </c>
      <c r="H803" t="inlineStr"/>
    </row>
    <row r="804">
      <c r="A804" t="inlineStr">
        <is>
          <t>Кабель до принтера</t>
        </is>
      </c>
      <c r="B804" s="5" t="n">
        <v>1</v>
      </c>
      <c r="C804" s="5" t="n">
        <v>1</v>
      </c>
      <c r="D804" s="5" t="n">
        <v>1</v>
      </c>
      <c r="E804" s="13" t="n">
        <v>750</v>
      </c>
      <c r="F804" s="13" t="n">
        <v>750</v>
      </c>
      <c r="G804" s="13" t="n">
        <v>750</v>
      </c>
      <c r="H804" t="inlineStr"/>
    </row>
    <row r="805">
      <c r="A805" t="inlineStr">
        <is>
          <t>Клавіатура+мишка rapoox1500</t>
        </is>
      </c>
      <c r="B805" s="5" t="n">
        <v>1</v>
      </c>
      <c r="C805" s="5" t="n">
        <v>1</v>
      </c>
      <c r="D805" s="5" t="n">
        <v>1</v>
      </c>
      <c r="E805" s="13" t="n">
        <v>18200</v>
      </c>
      <c r="F805" s="13" t="n">
        <v>18200</v>
      </c>
      <c r="G805" s="13" t="n">
        <v>18200</v>
      </c>
      <c r="H805" t="inlineStr"/>
    </row>
    <row r="806">
      <c r="A806" t="inlineStr">
        <is>
          <t>Клавіатура мишка</t>
        </is>
      </c>
      <c r="B806" s="5" t="n">
        <v>1</v>
      </c>
      <c r="C806" s="5" t="n">
        <v>1</v>
      </c>
      <c r="D806" s="5" t="n">
        <v>1</v>
      </c>
      <c r="E806" s="13" t="n">
        <v>4300</v>
      </c>
      <c r="F806" s="13" t="n">
        <v>4300</v>
      </c>
      <c r="G806" s="13" t="n">
        <v>4300</v>
      </c>
      <c r="H806" t="inlineStr">
        <is>
          <t>Genius (1)</t>
        </is>
      </c>
    </row>
    <row r="807">
      <c r="A807" t="inlineStr">
        <is>
          <t>Комп ютерна акустика</t>
        </is>
      </c>
      <c r="B807" s="5" t="n">
        <v>1</v>
      </c>
      <c r="C807" s="5" t="n">
        <v>1</v>
      </c>
      <c r="D807" s="5" t="n">
        <v>1</v>
      </c>
      <c r="E807" s="13" t="n">
        <v>610</v>
      </c>
      <c r="F807" s="13" t="n">
        <v>610</v>
      </c>
      <c r="G807" s="13" t="n">
        <v>610</v>
      </c>
      <c r="H807" t="inlineStr">
        <is>
          <t>Defender (1)</t>
        </is>
      </c>
    </row>
    <row r="808">
      <c r="A808" t="inlineStr">
        <is>
          <t>Комп'ютерна мишка клавіатура</t>
        </is>
      </c>
      <c r="B808" s="5" t="n">
        <v>1</v>
      </c>
      <c r="C808" s="5" t="n">
        <v>1</v>
      </c>
      <c r="D808" s="5" t="n">
        <v>2</v>
      </c>
      <c r="E808" s="13" t="n">
        <v>399</v>
      </c>
      <c r="F808" s="13" t="n">
        <v>399</v>
      </c>
      <c r="G808" s="13" t="n">
        <v>399</v>
      </c>
      <c r="H808" t="inlineStr"/>
    </row>
    <row r="809">
      <c r="A809" t="inlineStr">
        <is>
          <t>Консентратор</t>
        </is>
      </c>
      <c r="B809" s="5" t="n">
        <v>1</v>
      </c>
      <c r="C809" s="5" t="n">
        <v>1</v>
      </c>
      <c r="D809" s="5" t="n">
        <v>1</v>
      </c>
      <c r="E809" s="13" t="n">
        <v>300</v>
      </c>
      <c r="F809" s="13" t="n">
        <v>300</v>
      </c>
      <c r="G809" s="13" t="n">
        <v>300</v>
      </c>
      <c r="H809" t="inlineStr"/>
    </row>
    <row r="810">
      <c r="A810" t="inlineStr">
        <is>
          <t>Модуль пам'яті серверний</t>
        </is>
      </c>
      <c r="B810" s="5" t="n">
        <v>1</v>
      </c>
      <c r="C810" s="5" t="n">
        <v>1</v>
      </c>
      <c r="D810" s="5" t="n">
        <v>1</v>
      </c>
      <c r="E810" s="13" t="n">
        <v>3147</v>
      </c>
      <c r="F810" s="13" t="n">
        <v>3147</v>
      </c>
      <c r="G810" s="13" t="n">
        <v>3147</v>
      </c>
      <c r="H810" t="inlineStr">
        <is>
          <t>Dell (1)</t>
        </is>
      </c>
    </row>
    <row r="811">
      <c r="A811" t="inlineStr">
        <is>
          <t>Конверти для</t>
        </is>
      </c>
      <c r="B811" s="5" t="n">
        <v>1</v>
      </c>
      <c r="C811" s="5" t="n">
        <v>1</v>
      </c>
      <c r="D811" s="5" t="n">
        <v>5</v>
      </c>
      <c r="E811" s="13" t="n">
        <v>1080</v>
      </c>
      <c r="F811" s="13" t="n">
        <v>1080</v>
      </c>
      <c r="G811" s="13" t="n">
        <v>1080</v>
      </c>
      <c r="H811" t="inlineStr"/>
    </row>
    <row r="812">
      <c r="A812" t="inlineStr">
        <is>
          <t>Багатофункціональний пристрій в</t>
        </is>
      </c>
      <c r="B812" s="5" t="n">
        <v>1</v>
      </c>
      <c r="C812" s="5" t="n">
        <v>1</v>
      </c>
      <c r="D812" s="5" t="n">
        <v>1</v>
      </c>
      <c r="E812" s="13" t="n">
        <v>270000</v>
      </c>
      <c r="F812" s="13" t="n">
        <v>270000</v>
      </c>
      <c r="G812" s="13" t="n">
        <v>270000</v>
      </c>
      <c r="H812" t="inlineStr"/>
    </row>
    <row r="813">
      <c r="A813" t="inlineStr">
        <is>
          <t>Персональні комп'ютери в</t>
        </is>
      </c>
      <c r="B813" s="5" t="n">
        <v>1</v>
      </c>
      <c r="C813" s="5" t="n">
        <v>1</v>
      </c>
      <c r="D813" s="5" t="n">
        <v>2</v>
      </c>
      <c r="E813" s="13" t="n">
        <v>75132</v>
      </c>
      <c r="F813" s="13" t="n">
        <v>75132</v>
      </c>
      <c r="G813" s="13" t="n">
        <v>75132</v>
      </c>
      <c r="H813" t="inlineStr"/>
    </row>
    <row r="814">
      <c r="A814" t="inlineStr">
        <is>
          <t>Комп'ютерне обладнання багатофункціональний</t>
        </is>
      </c>
      <c r="B814" s="5" t="n">
        <v>1</v>
      </c>
      <c r="C814" s="5" t="n">
        <v>1</v>
      </c>
      <c r="D814" s="5" t="n">
        <v>1</v>
      </c>
      <c r="E814" s="13" t="n">
        <v>10499</v>
      </c>
      <c r="F814" s="13" t="n">
        <v>10499</v>
      </c>
      <c r="G814" s="13" t="n">
        <v>10499</v>
      </c>
      <c r="H814" t="inlineStr">
        <is>
          <t>Canon (1)</t>
        </is>
      </c>
    </row>
    <row r="815">
      <c r="A815" t="inlineStr">
        <is>
          <t>Баготофункціональний принтер</t>
        </is>
      </c>
      <c r="B815" s="5" t="n">
        <v>1</v>
      </c>
      <c r="C815" s="5" t="n">
        <v>1</v>
      </c>
      <c r="D815" s="5" t="n">
        <v>1</v>
      </c>
      <c r="E815" s="13" t="n">
        <v>15000</v>
      </c>
      <c r="F815" s="13" t="n">
        <v>15000</v>
      </c>
      <c r="G815" s="13" t="n">
        <v>15000</v>
      </c>
      <c r="H815" t="inlineStr">
        <is>
          <t>Canon (1)</t>
        </is>
      </c>
    </row>
    <row r="816">
      <c r="A816" t="inlineStr">
        <is>
          <t>Накопичувач зовнішній</t>
        </is>
      </c>
      <c r="B816" s="5" t="n">
        <v>1</v>
      </c>
      <c r="C816" s="5" t="n">
        <v>1</v>
      </c>
      <c r="D816" s="5" t="n">
        <v>1</v>
      </c>
      <c r="E816" s="13" t="n">
        <v>3912</v>
      </c>
      <c r="F816" s="13" t="n">
        <v>3912</v>
      </c>
      <c r="G816" s="13" t="n">
        <v>3912</v>
      </c>
      <c r="H816" t="inlineStr">
        <is>
          <t>Seagate (1)</t>
        </is>
      </c>
    </row>
    <row r="817">
      <c r="A817" t="inlineStr">
        <is>
          <t>Конверт для</t>
        </is>
      </c>
      <c r="B817" s="5" t="n">
        <v>1</v>
      </c>
      <c r="C817" s="5" t="n">
        <v>1</v>
      </c>
      <c r="D817" s="5" t="n">
        <v>1000</v>
      </c>
      <c r="E817" s="13" t="n">
        <v>11.8</v>
      </c>
      <c r="F817" s="13" t="n">
        <v>11.8</v>
      </c>
      <c r="G817" s="13" t="n">
        <v>11.8</v>
      </c>
      <c r="H817" t="inlineStr"/>
    </row>
    <row r="818">
      <c r="A818" t="inlineStr">
        <is>
          <t>Комп'ютерне обладнання та</t>
        </is>
      </c>
      <c r="B818" s="5" t="n">
        <v>1</v>
      </c>
      <c r="C818" s="5" t="n">
        <v>1</v>
      </c>
      <c r="D818" s="5" t="n">
        <v>50</v>
      </c>
      <c r="E818" s="13" t="n">
        <v>1600</v>
      </c>
      <c r="F818" s="13" t="n">
        <v>1600</v>
      </c>
      <c r="G818" s="13" t="n">
        <v>1600</v>
      </c>
      <c r="H818" t="inlineStr"/>
    </row>
    <row r="819">
      <c r="A819" t="inlineStr">
        <is>
          <t>Пк офісна техніка</t>
        </is>
      </c>
      <c r="B819" s="5" t="n">
        <v>1</v>
      </c>
      <c r="C819" s="5" t="n">
        <v>1</v>
      </c>
      <c r="D819" s="5" t="n">
        <v>4</v>
      </c>
      <c r="E819" s="13" t="n">
        <v>30325</v>
      </c>
      <c r="F819" s="13" t="n">
        <v>30325</v>
      </c>
      <c r="G819" s="13" t="n">
        <v>30325</v>
      </c>
      <c r="H819" t="inlineStr"/>
    </row>
    <row r="820">
      <c r="A820" t="inlineStr">
        <is>
          <t>Накопичувач пам'яті</t>
        </is>
      </c>
      <c r="B820" s="5" t="n">
        <v>1</v>
      </c>
      <c r="C820" s="5" t="n">
        <v>1</v>
      </c>
      <c r="D820" s="5" t="n">
        <v>2</v>
      </c>
      <c r="E820" s="13" t="n">
        <v>6979.9</v>
      </c>
      <c r="F820" s="13" t="n">
        <v>6979.9</v>
      </c>
      <c r="G820" s="13" t="n">
        <v>6979.9</v>
      </c>
      <c r="H820" t="inlineStr">
        <is>
          <t>Kingston (1)</t>
        </is>
      </c>
    </row>
    <row r="821">
      <c r="A821" t="inlineStr">
        <is>
          <t>Комп’ютерне обладнання аксесуари</t>
        </is>
      </c>
      <c r="B821" s="5" t="n">
        <v>1</v>
      </c>
      <c r="C821" s="5" t="n">
        <v>1</v>
      </c>
      <c r="D821" s="5" t="n">
        <v>999999</v>
      </c>
      <c r="E821" s="13" t="n">
        <v>0.09</v>
      </c>
      <c r="F821" s="13" t="n">
        <v>0.09</v>
      </c>
      <c r="G821" s="13" t="n">
        <v>0.09</v>
      </c>
      <c r="H821" t="inlineStr"/>
    </row>
    <row r="822">
      <c r="A822" t="inlineStr">
        <is>
          <t>Веб-камераа4 tech pk-925h 1080р. usb 2.0</t>
        </is>
      </c>
      <c r="B822" s="5" t="n">
        <v>1</v>
      </c>
      <c r="C822" s="5" t="n">
        <v>1</v>
      </c>
      <c r="D822" s="5" t="n">
        <v>5</v>
      </c>
      <c r="E822" s="13" t="n">
        <v>1100</v>
      </c>
      <c r="F822" s="13" t="n">
        <v>1100</v>
      </c>
      <c r="G822" s="13" t="n">
        <v>1100</v>
      </c>
      <c r="H822" t="inlineStr"/>
    </row>
    <row r="823">
      <c r="A823" t="inlineStr">
        <is>
          <t>Комп’ютерне обладнання флешка</t>
        </is>
      </c>
      <c r="B823" s="5" t="n">
        <v>1</v>
      </c>
      <c r="C823" s="5" t="n">
        <v>1</v>
      </c>
      <c r="D823" s="5" t="n">
        <v>7</v>
      </c>
      <c r="E823" s="13" t="n">
        <v>285</v>
      </c>
      <c r="F823" s="13" t="n">
        <v>285</v>
      </c>
      <c r="G823" s="13" t="n">
        <v>285</v>
      </c>
      <c r="H823" t="inlineStr"/>
    </row>
    <row r="824">
      <c r="A824" t="inlineStr">
        <is>
          <t>Мережевий кабель</t>
        </is>
      </c>
      <c r="B824" s="5" t="n">
        <v>1</v>
      </c>
      <c r="C824" s="5" t="n">
        <v>1</v>
      </c>
      <c r="D824" s="5" t="n">
        <v>1</v>
      </c>
      <c r="E824" s="13" t="n">
        <v>10700</v>
      </c>
      <c r="F824" s="13" t="n">
        <v>10700</v>
      </c>
      <c r="G824" s="13" t="n">
        <v>10700</v>
      </c>
      <c r="H824" t="inlineStr"/>
    </row>
    <row r="825">
      <c r="A825" t="inlineStr">
        <is>
          <t>Персональний</t>
        </is>
      </c>
      <c r="B825" s="5" t="n">
        <v>1</v>
      </c>
      <c r="C825" s="5" t="n">
        <v>1</v>
      </c>
      <c r="D825" s="5" t="n">
        <v>2</v>
      </c>
      <c r="E825" s="13" t="n">
        <v>40030</v>
      </c>
      <c r="F825" s="13" t="n">
        <v>40030</v>
      </c>
      <c r="G825" s="13" t="n">
        <v>40030</v>
      </c>
      <c r="H825" t="inlineStr"/>
    </row>
    <row r="826">
      <c r="A826" t="inlineStr">
        <is>
          <t>1.миша а4 tech</t>
        </is>
      </c>
      <c r="B826" s="5" t="n">
        <v>1</v>
      </c>
      <c r="C826" s="5" t="n">
        <v>1</v>
      </c>
      <c r="D826" s="5" t="n">
        <v>5</v>
      </c>
      <c r="E826" s="13" t="n">
        <v>2360</v>
      </c>
      <c r="F826" s="13" t="n">
        <v>2360</v>
      </c>
      <c r="G826" s="13" t="n">
        <v>2360</v>
      </c>
      <c r="H826" t="inlineStr"/>
    </row>
    <row r="827">
      <c r="A827" t="inlineStr">
        <is>
          <t>2..миша black usb</t>
        </is>
      </c>
      <c r="B827" s="5" t="n">
        <v>1</v>
      </c>
      <c r="C827" s="5" t="n">
        <v>1</v>
      </c>
      <c r="D827" s="5" t="n">
        <v>5</v>
      </c>
      <c r="E827" s="13" t="n">
        <v>2360</v>
      </c>
      <c r="F827" s="13" t="n">
        <v>2360</v>
      </c>
      <c r="G827" s="13" t="n">
        <v>2360</v>
      </c>
      <c r="H827" t="inlineStr"/>
    </row>
    <row r="828">
      <c r="A828" t="inlineStr">
        <is>
          <t>3.памм'ять 8 gb</t>
        </is>
      </c>
      <c r="B828" s="5" t="n">
        <v>1</v>
      </c>
      <c r="C828" s="5" t="n">
        <v>1</v>
      </c>
      <c r="D828" s="5" t="n">
        <v>2</v>
      </c>
      <c r="E828" s="13" t="n">
        <v>5900</v>
      </c>
      <c r="F828" s="13" t="n">
        <v>5900</v>
      </c>
      <c r="G828" s="13" t="n">
        <v>5900</v>
      </c>
      <c r="H828" t="inlineStr"/>
    </row>
    <row r="829">
      <c r="A829" t="inlineStr">
        <is>
          <t>4.твердотільний диск 2,5 256 gb</t>
        </is>
      </c>
      <c r="B829" s="5" t="n">
        <v>1</v>
      </c>
      <c r="C829" s="5" t="n">
        <v>1</v>
      </c>
      <c r="D829" s="5" t="n">
        <v>3</v>
      </c>
      <c r="E829" s="13" t="n">
        <v>3933.33</v>
      </c>
      <c r="F829" s="13" t="n">
        <v>3933.33</v>
      </c>
      <c r="G829" s="13" t="n">
        <v>3933.33</v>
      </c>
      <c r="H829" t="inlineStr"/>
    </row>
    <row r="830">
      <c r="A830" t="inlineStr">
        <is>
          <t>Ssd накопичувач 240 gb</t>
        </is>
      </c>
      <c r="B830" s="5" t="n">
        <v>1</v>
      </c>
      <c r="C830" s="5" t="n">
        <v>1</v>
      </c>
      <c r="D830" s="5" t="n">
        <v>3</v>
      </c>
      <c r="E830" s="13" t="n">
        <v>1500</v>
      </c>
      <c r="F830" s="13" t="n">
        <v>1500</v>
      </c>
      <c r="G830" s="13" t="n">
        <v>1500</v>
      </c>
      <c r="H830" t="inlineStr"/>
    </row>
    <row r="831">
      <c r="A831" t="inlineStr">
        <is>
          <t>Ноутбуки для осередку</t>
        </is>
      </c>
      <c r="B831" s="5" t="n">
        <v>1</v>
      </c>
      <c r="C831" s="5" t="n">
        <v>1</v>
      </c>
      <c r="D831" s="5" t="n">
        <v>2</v>
      </c>
      <c r="E831" s="13" t="n">
        <v>19600</v>
      </c>
      <c r="F831" s="13" t="n">
        <v>19600</v>
      </c>
      <c r="G831" s="13" t="n">
        <v>19600</v>
      </c>
      <c r="H831" t="inlineStr"/>
    </row>
    <row r="832">
      <c r="A832" t="inlineStr">
        <is>
          <t>Оптичний патчкорд</t>
        </is>
      </c>
      <c r="B832" s="5" t="n">
        <v>1</v>
      </c>
      <c r="C832" s="5" t="n">
        <v>1</v>
      </c>
      <c r="D832" s="5" t="n">
        <v>1</v>
      </c>
      <c r="E832" s="13" t="n">
        <v>10239</v>
      </c>
      <c r="F832" s="13" t="n">
        <v>10239</v>
      </c>
      <c r="G832" s="13" t="n">
        <v>10239</v>
      </c>
      <c r="H832" t="inlineStr"/>
    </row>
    <row r="833">
      <c r="A833" t="inlineStr">
        <is>
          <t>Багатофункціональний пристрій кенон</t>
        </is>
      </c>
      <c r="B833" s="5" t="n">
        <v>1</v>
      </c>
      <c r="C833" s="5" t="n">
        <v>1</v>
      </c>
      <c r="D833" s="5" t="n">
        <v>1</v>
      </c>
      <c r="E833" s="13" t="n">
        <v>10700</v>
      </c>
      <c r="F833" s="13" t="n">
        <v>10700</v>
      </c>
      <c r="G833" s="13" t="n">
        <v>10700</v>
      </c>
      <c r="H833" t="inlineStr">
        <is>
          <t>Canon (1)</t>
        </is>
      </c>
    </row>
    <row r="834">
      <c r="A834" t="inlineStr">
        <is>
          <t>Лазерний багатофункціональний пристрій</t>
        </is>
      </c>
      <c r="B834" s="5" t="n">
        <v>1</v>
      </c>
      <c r="C834" s="5" t="n">
        <v>1</v>
      </c>
      <c r="D834" s="5" t="n">
        <v>1</v>
      </c>
      <c r="E834" s="13" t="n">
        <v>8500</v>
      </c>
      <c r="F834" s="13" t="n">
        <v>8500</v>
      </c>
      <c r="G834" s="13" t="n">
        <v>8500</v>
      </c>
      <c r="H834" t="inlineStr">
        <is>
          <t>HP (1)</t>
        </is>
      </c>
    </row>
    <row r="835">
      <c r="A835" t="inlineStr">
        <is>
          <t>Комплектуючі та витратні</t>
        </is>
      </c>
      <c r="B835" s="5" t="n">
        <v>1</v>
      </c>
      <c r="C835" s="5" t="n">
        <v>1</v>
      </c>
      <c r="D835" s="5" t="n">
        <v>62</v>
      </c>
      <c r="E835" s="13" t="n">
        <v>501.94</v>
      </c>
      <c r="F835" s="13" t="n">
        <v>501.94</v>
      </c>
      <c r="G835" s="13" t="n">
        <v>501.94</v>
      </c>
      <c r="H835" t="inlineStr"/>
    </row>
    <row r="836">
      <c r="A836" t="inlineStr">
        <is>
          <t>Комп'ютер настільний в</t>
        </is>
      </c>
      <c r="B836" s="5" t="n">
        <v>1</v>
      </c>
      <c r="C836" s="5" t="n">
        <v>1</v>
      </c>
      <c r="D836" s="5" t="n">
        <v>1</v>
      </c>
      <c r="E836" s="13" t="n">
        <v>28866</v>
      </c>
      <c r="F836" s="13" t="n">
        <v>28866</v>
      </c>
      <c r="G836" s="13" t="n">
        <v>28866</v>
      </c>
      <c r="H836" t="inlineStr">
        <is>
          <t>AMD (1), A4Tech (1), Vinga (1)</t>
        </is>
      </c>
    </row>
    <row r="837">
      <c r="A837" t="inlineStr">
        <is>
          <t>Миша для комп'ютера</t>
        </is>
      </c>
      <c r="B837" s="5" t="n">
        <v>1</v>
      </c>
      <c r="C837" s="5" t="n">
        <v>1</v>
      </c>
      <c r="D837" s="5" t="n">
        <v>6</v>
      </c>
      <c r="E837" s="13" t="n">
        <v>550</v>
      </c>
      <c r="F837" s="13" t="n">
        <v>550</v>
      </c>
      <c r="G837" s="13" t="n">
        <v>550</v>
      </c>
      <c r="H837" t="inlineStr"/>
    </row>
    <row r="838">
      <c r="A838" t="inlineStr">
        <is>
          <t>​бфп canon i-sensys mf237w wi-fi, ethern</t>
        </is>
      </c>
      <c r="B838" s="5" t="n">
        <v>1</v>
      </c>
      <c r="C838" s="5" t="n">
        <v>1</v>
      </c>
      <c r="D838" s="5" t="n">
        <v>2</v>
      </c>
      <c r="E838" s="13" t="n">
        <v>16341</v>
      </c>
      <c r="F838" s="13" t="n">
        <v>16341</v>
      </c>
      <c r="G838" s="13" t="n">
        <v>16341</v>
      </c>
      <c r="H838" t="inlineStr">
        <is>
          <t>Canon (1)</t>
        </is>
      </c>
    </row>
    <row r="839">
      <c r="A839" t="inlineStr">
        <is>
          <t>​принтер для кольорового друку canon pix</t>
        </is>
      </c>
      <c r="B839" s="5" t="n">
        <v>1</v>
      </c>
      <c r="C839" s="5" t="n">
        <v>1</v>
      </c>
      <c r="D839" s="5" t="n">
        <v>1</v>
      </c>
      <c r="E839" s="13" t="n">
        <v>32682</v>
      </c>
      <c r="F839" s="13" t="n">
        <v>32682</v>
      </c>
      <c r="G839" s="13" t="n">
        <v>32682</v>
      </c>
      <c r="H839" t="inlineStr">
        <is>
          <t>Canon (1)</t>
        </is>
      </c>
    </row>
    <row r="840">
      <c r="A840" t="inlineStr">
        <is>
          <t>Web-камера logitech c920s pro</t>
        </is>
      </c>
      <c r="B840" s="5" t="n">
        <v>1</v>
      </c>
      <c r="C840" s="5" t="n">
        <v>1</v>
      </c>
      <c r="D840" s="5" t="n">
        <v>1</v>
      </c>
      <c r="E840" s="13" t="n">
        <v>6380.56</v>
      </c>
      <c r="F840" s="13" t="n">
        <v>6380.56</v>
      </c>
      <c r="G840" s="13" t="n">
        <v>6380.56</v>
      </c>
      <c r="H840" t="inlineStr">
        <is>
          <t>Logitech (1)</t>
        </is>
      </c>
    </row>
    <row r="841">
      <c r="A841" t="inlineStr">
        <is>
          <t>Диски в сервер</t>
        </is>
      </c>
      <c r="B841" s="5" t="n">
        <v>1</v>
      </c>
      <c r="C841" s="5" t="n">
        <v>1</v>
      </c>
      <c r="D841" s="5" t="n">
        <v>4</v>
      </c>
      <c r="E841" s="13" t="n">
        <v>24700</v>
      </c>
      <c r="F841" s="13" t="n">
        <v>24700</v>
      </c>
      <c r="G841" s="13" t="n">
        <v>24700</v>
      </c>
      <c r="H841" t="inlineStr"/>
    </row>
    <row r="842">
      <c r="A842" t="inlineStr">
        <is>
          <t>Клавіатура ноутбука</t>
        </is>
      </c>
      <c r="B842" s="5" t="n">
        <v>1</v>
      </c>
      <c r="C842" s="5" t="n">
        <v>1</v>
      </c>
      <c r="D842" s="5" t="n">
        <v>1</v>
      </c>
      <c r="E842" s="13" t="n">
        <v>2100</v>
      </c>
      <c r="F842" s="13" t="n">
        <v>2100</v>
      </c>
      <c r="G842" s="13" t="n">
        <v>2100</v>
      </c>
      <c r="H842" t="inlineStr">
        <is>
          <t>Impression (1)</t>
        </is>
      </c>
    </row>
    <row r="843">
      <c r="A843" t="inlineStr">
        <is>
          <t>Usb флеш накопичувач 16gb goodram ume2 w</t>
        </is>
      </c>
      <c r="B843" s="5" t="n">
        <v>1</v>
      </c>
      <c r="C843" s="5" t="n">
        <v>1</v>
      </c>
      <c r="D843" s="5" t="n">
        <v>1</v>
      </c>
      <c r="E843" s="13" t="n">
        <v>189.05</v>
      </c>
      <c r="F843" s="13" t="n">
        <v>189.05</v>
      </c>
      <c r="G843" s="13" t="n">
        <v>189.05</v>
      </c>
      <c r="H843" t="inlineStr">
        <is>
          <t>GOODRAM (1)</t>
        </is>
      </c>
    </row>
    <row r="844">
      <c r="A844" t="inlineStr">
        <is>
          <t>Micro-sdhc memory card 32gb sandisk (s s</t>
        </is>
      </c>
      <c r="B844" s="5" t="n">
        <v>1</v>
      </c>
      <c r="C844" s="5" t="n">
        <v>1</v>
      </c>
      <c r="D844" s="5" t="n">
        <v>100</v>
      </c>
      <c r="E844" s="13" t="n">
        <v>597</v>
      </c>
      <c r="F844" s="13" t="n">
        <v>597</v>
      </c>
      <c r="G844" s="13" t="n">
        <v>597</v>
      </c>
      <c r="H844" t="inlineStr">
        <is>
          <t>Sandisk (1)</t>
        </is>
      </c>
    </row>
    <row r="845">
      <c r="A845" t="inlineStr">
        <is>
          <t>Мишка комп’ютерна</t>
        </is>
      </c>
      <c r="B845" s="5" t="n">
        <v>1</v>
      </c>
      <c r="C845" s="5" t="n">
        <v>1</v>
      </c>
      <c r="D845" s="5" t="n">
        <v>9</v>
      </c>
      <c r="E845" s="13" t="n">
        <v>3360.22</v>
      </c>
      <c r="F845" s="13" t="n">
        <v>3360.22</v>
      </c>
      <c r="G845" s="13" t="n">
        <v>3360.22</v>
      </c>
      <c r="H845" t="inlineStr">
        <is>
          <t>Logitech (1)</t>
        </is>
      </c>
    </row>
    <row r="846">
      <c r="A846" t="inlineStr">
        <is>
          <t>Персональний комп'ютер комплект</t>
        </is>
      </c>
      <c r="B846" s="5" t="n">
        <v>1</v>
      </c>
      <c r="C846" s="5" t="n">
        <v>1</v>
      </c>
      <c r="D846" s="5" t="n">
        <v>1</v>
      </c>
      <c r="E846" s="13" t="n">
        <v>26500</v>
      </c>
      <c r="F846" s="13" t="n">
        <v>26500</v>
      </c>
      <c r="G846" s="13" t="n">
        <v>26500</v>
      </c>
      <c r="H846" t="inlineStr">
        <is>
          <t>ASUS (1)</t>
        </is>
      </c>
    </row>
    <row r="847">
      <c r="A847" t="inlineStr">
        <is>
          <t>Комп’ютерне обладнання згідно</t>
        </is>
      </c>
      <c r="B847" s="5" t="n">
        <v>1</v>
      </c>
      <c r="C847" s="5" t="n">
        <v>1</v>
      </c>
      <c r="D847" s="5" t="n">
        <v>11</v>
      </c>
      <c r="E847" s="13" t="n">
        <v>1454.55</v>
      </c>
      <c r="F847" s="13" t="n">
        <v>1454.55</v>
      </c>
      <c r="G847" s="13" t="n">
        <v>1454.55</v>
      </c>
      <c r="H847" t="inlineStr"/>
    </row>
    <row r="848">
      <c r="A848" t="inlineStr">
        <is>
          <t>Багатофункціональний пристрій мфу</t>
        </is>
      </c>
      <c r="B848" s="5" t="n">
        <v>1</v>
      </c>
      <c r="C848" s="5" t="n">
        <v>1</v>
      </c>
      <c r="D848" s="5" t="n">
        <v>1</v>
      </c>
      <c r="E848" s="13" t="n">
        <v>10500</v>
      </c>
      <c r="F848" s="13" t="n">
        <v>10500</v>
      </c>
      <c r="G848" s="13" t="n">
        <v>10500</v>
      </c>
      <c r="H848" t="inlineStr"/>
    </row>
    <row r="849">
      <c r="A849" t="inlineStr">
        <is>
          <t>Флеш - пям'ять</t>
        </is>
      </c>
      <c r="B849" s="5" t="n">
        <v>1</v>
      </c>
      <c r="C849" s="5" t="n">
        <v>1</v>
      </c>
      <c r="D849" s="5" t="n">
        <v>37</v>
      </c>
      <c r="E849" s="13" t="n">
        <v>320</v>
      </c>
      <c r="F849" s="13" t="n">
        <v>320</v>
      </c>
      <c r="G849" s="13" t="n">
        <v>320</v>
      </c>
      <c r="H849" t="inlineStr"/>
    </row>
    <row r="850">
      <c r="A850" t="inlineStr">
        <is>
          <t>Компютерне обладнання</t>
        </is>
      </c>
      <c r="B850" s="5" t="n">
        <v>1</v>
      </c>
      <c r="C850" s="5" t="n">
        <v>1</v>
      </c>
      <c r="D850" s="5" t="n">
        <v>1</v>
      </c>
      <c r="E850" s="13" t="n">
        <v>6845</v>
      </c>
      <c r="F850" s="13" t="n">
        <v>6845</v>
      </c>
      <c r="G850" s="13" t="n">
        <v>6845</v>
      </c>
      <c r="H850" t="inlineStr"/>
    </row>
    <row r="851">
      <c r="A851" t="inlineStr">
        <is>
          <t>Мзп рр</t>
        </is>
      </c>
      <c r="B851" s="5" t="n">
        <v>1</v>
      </c>
      <c r="C851" s="5" t="n">
        <v>1</v>
      </c>
      <c r="D851" s="5" t="n">
        <v>1</v>
      </c>
      <c r="E851" s="13" t="n">
        <v>19000</v>
      </c>
      <c r="F851" s="13" t="n">
        <v>19000</v>
      </c>
      <c r="G851" s="13" t="n">
        <v>19000</v>
      </c>
      <c r="H851" t="inlineStr"/>
    </row>
    <row r="852">
      <c r="A852" t="inlineStr">
        <is>
          <t>Пам’ять</t>
        </is>
      </c>
      <c r="B852" s="5" t="n">
        <v>1</v>
      </c>
      <c r="C852" s="5" t="n">
        <v>1</v>
      </c>
      <c r="D852" s="5" t="n">
        <v>1</v>
      </c>
      <c r="E852" s="13" t="n">
        <v>3252</v>
      </c>
      <c r="F852" s="13" t="n">
        <v>3252</v>
      </c>
      <c r="G852" s="13" t="n">
        <v>3252</v>
      </c>
      <c r="H852" t="inlineStr"/>
    </row>
    <row r="853">
      <c r="A853" t="inlineStr">
        <is>
          <t>Usb флеш накопичувач sandisk 128gb ultra</t>
        </is>
      </c>
      <c r="B853" s="5" t="n">
        <v>1</v>
      </c>
      <c r="C853" s="5" t="n">
        <v>1</v>
      </c>
      <c r="D853" s="5" t="n">
        <v>1</v>
      </c>
      <c r="E853" s="13" t="n">
        <v>697.03</v>
      </c>
      <c r="F853" s="13" t="n">
        <v>697.03</v>
      </c>
      <c r="G853" s="13" t="n">
        <v>697.03</v>
      </c>
      <c r="H853" t="inlineStr">
        <is>
          <t>Sandisk (1)</t>
        </is>
      </c>
    </row>
    <row r="854">
      <c r="A854" t="inlineStr">
        <is>
          <t>Монітор до комп'ютера</t>
        </is>
      </c>
      <c r="B854" s="5" t="n">
        <v>1</v>
      </c>
      <c r="C854" s="5" t="n">
        <v>1</v>
      </c>
      <c r="D854" s="5" t="n">
        <v>2</v>
      </c>
      <c r="E854" s="13" t="n">
        <v>4800</v>
      </c>
      <c r="F854" s="13" t="n">
        <v>4800</v>
      </c>
      <c r="G854" s="13" t="n">
        <v>4800</v>
      </c>
      <c r="H854" t="inlineStr"/>
    </row>
    <row r="855">
      <c r="A855" t="inlineStr">
        <is>
          <t>Жосткий диск</t>
        </is>
      </c>
      <c r="B855" s="5" t="n">
        <v>1</v>
      </c>
      <c r="C855" s="5" t="n">
        <v>1</v>
      </c>
      <c r="D855" s="5" t="n">
        <v>1</v>
      </c>
      <c r="E855" s="13" t="n">
        <v>1800</v>
      </c>
      <c r="F855" s="13" t="n">
        <v>1800</v>
      </c>
      <c r="G855" s="13" t="n">
        <v>1800</v>
      </c>
      <c r="H855" t="inlineStr">
        <is>
          <t>AMD (1)</t>
        </is>
      </c>
    </row>
    <row r="856">
      <c r="A856" t="inlineStr">
        <is>
          <t>Пк моноблок</t>
        </is>
      </c>
      <c r="B856" s="5" t="n">
        <v>1</v>
      </c>
      <c r="C856" s="5" t="n">
        <v>1</v>
      </c>
      <c r="D856" s="5" t="n">
        <v>1</v>
      </c>
      <c r="E856" s="13" t="n">
        <v>19994</v>
      </c>
      <c r="F856" s="13" t="n">
        <v>19994</v>
      </c>
      <c r="G856" s="13" t="n">
        <v>19994</v>
      </c>
      <c r="H856" t="inlineStr"/>
    </row>
    <row r="857">
      <c r="A857" t="inlineStr">
        <is>
          <t>Флеш- карта</t>
        </is>
      </c>
      <c r="B857" s="5" t="n">
        <v>1</v>
      </c>
      <c r="C857" s="5" t="n">
        <v>1</v>
      </c>
      <c r="D857" s="5" t="n">
        <v>7</v>
      </c>
      <c r="E857" s="13" t="n">
        <v>275</v>
      </c>
      <c r="F857" s="13" t="n">
        <v>275</v>
      </c>
      <c r="G857" s="13" t="n">
        <v>275</v>
      </c>
      <c r="H857" t="inlineStr"/>
    </row>
    <row r="858">
      <c r="A858" t="inlineStr">
        <is>
          <t>Багатофункціональний пристрій для</t>
        </is>
      </c>
      <c r="B858" s="5" t="n">
        <v>1</v>
      </c>
      <c r="C858" s="5" t="n">
        <v>1</v>
      </c>
      <c r="D858" s="5" t="n">
        <v>1</v>
      </c>
      <c r="E858" s="13" t="n">
        <v>18618.37</v>
      </c>
      <c r="F858" s="13" t="n">
        <v>18618.37</v>
      </c>
      <c r="G858" s="13" t="n">
        <v>18618.37</v>
      </c>
      <c r="H858" t="inlineStr">
        <is>
          <t>Canon (1)</t>
        </is>
      </c>
    </row>
    <row r="859">
      <c r="A859" t="inlineStr">
        <is>
          <t>Миша компютерна</t>
        </is>
      </c>
      <c r="B859" s="5" t="n">
        <v>1</v>
      </c>
      <c r="C859" s="5" t="n">
        <v>1</v>
      </c>
      <c r="D859" s="5" t="n">
        <v>10</v>
      </c>
      <c r="E859" s="13" t="n">
        <v>400</v>
      </c>
      <c r="F859" s="13" t="n">
        <v>400</v>
      </c>
      <c r="G859" s="13" t="n">
        <v>400</v>
      </c>
      <c r="H859" t="inlineStr"/>
    </row>
    <row r="860">
      <c r="A860" t="inlineStr">
        <is>
          <t>Компютерне обладнання багатофункціональний</t>
        </is>
      </c>
      <c r="B860" s="5" t="n">
        <v>1</v>
      </c>
      <c r="C860" s="5" t="n">
        <v>1</v>
      </c>
      <c r="D860" s="5" t="n">
        <v>1</v>
      </c>
      <c r="E860" s="13" t="n">
        <v>9375</v>
      </c>
      <c r="F860" s="13" t="n">
        <v>9375</v>
      </c>
      <c r="G860" s="13" t="n">
        <v>9375</v>
      </c>
      <c r="H860" t="inlineStr"/>
    </row>
    <row r="861">
      <c r="A861" t="inlineStr">
        <is>
          <t>Комп'ютерне обладнання лазерний</t>
        </is>
      </c>
      <c r="B861" s="5" t="n">
        <v>1</v>
      </c>
      <c r="C861" s="5" t="n">
        <v>1</v>
      </c>
      <c r="D861" s="5" t="n">
        <v>1</v>
      </c>
      <c r="E861" s="13" t="n">
        <v>10099</v>
      </c>
      <c r="F861" s="13" t="n">
        <v>10099</v>
      </c>
      <c r="G861" s="13" t="n">
        <v>10099</v>
      </c>
      <c r="H861" t="inlineStr"/>
    </row>
    <row r="862">
      <c r="A862" t="inlineStr">
        <is>
          <t>Usb флеш накопичувач 32gb goodram ume2 w</t>
        </is>
      </c>
      <c r="B862" s="5" t="n">
        <v>1</v>
      </c>
      <c r="C862" s="5" t="n">
        <v>1</v>
      </c>
      <c r="D862" s="5" t="n">
        <v>2</v>
      </c>
      <c r="E862" s="13" t="n">
        <v>179.1</v>
      </c>
      <c r="F862" s="13" t="n">
        <v>179.1</v>
      </c>
      <c r="G862" s="13" t="n">
        <v>179.1</v>
      </c>
      <c r="H862" t="inlineStr">
        <is>
          <t>GOODRAM (1)</t>
        </is>
      </c>
    </row>
    <row r="863">
      <c r="A863" t="inlineStr">
        <is>
          <t>Персональний комп’ютер системний</t>
        </is>
      </c>
      <c r="B863" s="5" t="n">
        <v>1</v>
      </c>
      <c r="C863" s="5" t="n">
        <v>1</v>
      </c>
      <c r="D863" s="5" t="n">
        <v>1</v>
      </c>
      <c r="E863" s="13" t="n">
        <v>18150</v>
      </c>
      <c r="F863" s="13" t="n">
        <v>18150</v>
      </c>
      <c r="G863" s="13" t="n">
        <v>18150</v>
      </c>
      <c r="H863" t="inlineStr">
        <is>
          <t>AMD (1)</t>
        </is>
      </c>
    </row>
    <row r="864">
      <c r="A864" t="inlineStr">
        <is>
          <t>Персональний комп’ютер типу</t>
        </is>
      </c>
      <c r="B864" s="5" t="n">
        <v>1</v>
      </c>
      <c r="C864" s="5" t="n">
        <v>1</v>
      </c>
      <c r="D864" s="5" t="n">
        <v>2</v>
      </c>
      <c r="E864" s="13" t="n">
        <v>27444</v>
      </c>
      <c r="F864" s="13" t="n">
        <v>27444</v>
      </c>
      <c r="G864" s="13" t="n">
        <v>27444</v>
      </c>
      <c r="H864" t="inlineStr">
        <is>
          <t>Impression (1), Intel (1)</t>
        </is>
      </c>
    </row>
    <row r="865">
      <c r="A865" t="inlineStr">
        <is>
          <t>Багатофункціональний пристрій принтер</t>
        </is>
      </c>
      <c r="B865" s="5" t="n">
        <v>1</v>
      </c>
      <c r="C865" s="5" t="n">
        <v>1</v>
      </c>
      <c r="D865" s="5" t="n">
        <v>1</v>
      </c>
      <c r="E865" s="13" t="n">
        <v>12792</v>
      </c>
      <c r="F865" s="13" t="n">
        <v>12792</v>
      </c>
      <c r="G865" s="13" t="n">
        <v>12792</v>
      </c>
      <c r="H865" t="inlineStr"/>
    </row>
    <row r="866">
      <c r="A866" t="inlineStr">
        <is>
          <t>Планшет трансформер</t>
        </is>
      </c>
      <c r="B866" s="5" t="n">
        <v>1</v>
      </c>
      <c r="C866" s="5" t="n">
        <v>1</v>
      </c>
      <c r="D866" s="5" t="n">
        <v>1</v>
      </c>
      <c r="E866" s="13" t="n">
        <v>23000</v>
      </c>
      <c r="F866" s="13" t="n">
        <v>23000</v>
      </c>
      <c r="G866" s="13" t="n">
        <v>23000</v>
      </c>
      <c r="H866" t="inlineStr"/>
    </row>
    <row r="867">
      <c r="A867" t="inlineStr">
        <is>
          <t>Вебкамера акустична система</t>
        </is>
      </c>
      <c r="B867" s="5" t="n">
        <v>1</v>
      </c>
      <c r="C867" s="5" t="n">
        <v>1</v>
      </c>
      <c r="D867" s="5" t="n">
        <v>3</v>
      </c>
      <c r="E867" s="13" t="n">
        <v>873.33</v>
      </c>
      <c r="F867" s="13" t="n">
        <v>873.33</v>
      </c>
      <c r="G867" s="13" t="n">
        <v>873.33</v>
      </c>
      <c r="H867" t="inlineStr"/>
    </row>
    <row r="868">
      <c r="A868" t="inlineStr">
        <is>
          <t>Жорсткий диск зовнішній</t>
        </is>
      </c>
      <c r="B868" s="5" t="n">
        <v>1</v>
      </c>
      <c r="C868" s="5" t="n">
        <v>1</v>
      </c>
      <c r="D868" s="5" t="n">
        <v>1</v>
      </c>
      <c r="E868" s="13" t="n"/>
      <c r="F868" s="13" t="n"/>
      <c r="G868" s="13" t="n"/>
      <c r="H868" t="inlineStr">
        <is>
          <t>Transcend (1)</t>
        </is>
      </c>
    </row>
    <row r="869">
      <c r="A869" t="inlineStr">
        <is>
          <t>Маніпуляторна миша</t>
        </is>
      </c>
      <c r="B869" s="5" t="n">
        <v>1</v>
      </c>
      <c r="C869" s="5" t="n">
        <v>1</v>
      </c>
      <c r="D869" s="5" t="n">
        <v>2</v>
      </c>
      <c r="E869" s="13" t="n"/>
      <c r="F869" s="13" t="n"/>
      <c r="G869" s="13" t="n"/>
      <c r="H869" t="inlineStr"/>
    </row>
    <row r="870">
      <c r="A870" t="inlineStr">
        <is>
          <t>Сервер у складі</t>
        </is>
      </c>
      <c r="B870" s="5" t="n">
        <v>1</v>
      </c>
      <c r="C870" s="5" t="n">
        <v>1</v>
      </c>
      <c r="D870" s="5" t="n">
        <v>1</v>
      </c>
      <c r="E870" s="13" t="n"/>
      <c r="F870" s="13" t="n"/>
      <c r="G870" s="13" t="n"/>
      <c r="H870" t="inlineStr">
        <is>
          <t>AMD (1), Gigabyte (1), Kingston (1)</t>
        </is>
      </c>
    </row>
    <row r="871">
      <c r="A871" t="inlineStr">
        <is>
          <t>Кабель у блістері</t>
        </is>
      </c>
      <c r="B871" s="5" t="n">
        <v>1</v>
      </c>
      <c r="C871" s="5" t="n">
        <v>1</v>
      </c>
      <c r="D871" s="5" t="n">
        <v>1</v>
      </c>
      <c r="E871" s="13" t="n">
        <v>1749</v>
      </c>
      <c r="F871" s="13" t="n">
        <v>1749</v>
      </c>
      <c r="G871" s="13" t="n">
        <v>1749</v>
      </c>
      <c r="H871" t="inlineStr"/>
    </row>
    <row r="872">
      <c r="A872" t="inlineStr">
        <is>
          <t>4-портовий kvm свіч, veggieg k401, перем</t>
        </is>
      </c>
      <c r="B872" s="5" t="n">
        <v>1</v>
      </c>
      <c r="C872" s="5" t="n">
        <v>1</v>
      </c>
      <c r="D872" s="5" t="n">
        <v>1</v>
      </c>
      <c r="E872" s="13" t="n"/>
      <c r="F872" s="13" t="n"/>
      <c r="G872" s="13" t="n"/>
      <c r="H872" t="inlineStr"/>
    </row>
    <row r="873">
      <c r="A873" t="inlineStr">
        <is>
          <t>Кабель подовжувач</t>
        </is>
      </c>
      <c r="B873" s="5" t="n">
        <v>1</v>
      </c>
      <c r="C873" s="5" t="n">
        <v>1</v>
      </c>
      <c r="D873" s="5" t="n">
        <v>2</v>
      </c>
      <c r="E873" s="13" t="n">
        <v>2380</v>
      </c>
      <c r="F873" s="13" t="n">
        <v>2380</v>
      </c>
      <c r="G873" s="13" t="n">
        <v>2380</v>
      </c>
      <c r="H873" t="inlineStr"/>
    </row>
    <row r="874">
      <c r="A874" t="inlineStr">
        <is>
          <t>Переферійне обладнання багатофункціональний</t>
        </is>
      </c>
      <c r="B874" s="5" t="n">
        <v>1</v>
      </c>
      <c r="C874" s="5" t="n">
        <v>1</v>
      </c>
      <c r="D874" s="5" t="n">
        <v>2</v>
      </c>
      <c r="E874" s="13" t="n">
        <v>13500</v>
      </c>
      <c r="F874" s="13" t="n">
        <v>13500</v>
      </c>
      <c r="G874" s="13" t="n">
        <v>13500</v>
      </c>
      <c r="H874" t="inlineStr"/>
    </row>
    <row r="875">
      <c r="A875" t="inlineStr">
        <is>
          <t>Ssd-накопмчувач</t>
        </is>
      </c>
      <c r="B875" s="5" t="n">
        <v>1</v>
      </c>
      <c r="C875" s="5" t="n">
        <v>1</v>
      </c>
      <c r="D875" s="5" t="n">
        <v>2</v>
      </c>
      <c r="E875" s="13" t="n">
        <v>20045</v>
      </c>
      <c r="F875" s="13" t="n">
        <v>20045</v>
      </c>
      <c r="G875" s="13" t="n">
        <v>20045</v>
      </c>
      <c r="H875" t="inlineStr"/>
    </row>
    <row r="876">
      <c r="A876" t="inlineStr">
        <is>
          <t>Samsung sl-2070 (mlt-d 101s)</t>
        </is>
      </c>
      <c r="B876" s="5" t="n">
        <v>1</v>
      </c>
      <c r="C876" s="5" t="n">
        <v>1</v>
      </c>
      <c r="D876" s="5" t="n">
        <v>28</v>
      </c>
      <c r="E876" s="13" t="n">
        <v>800</v>
      </c>
      <c r="F876" s="13" t="n">
        <v>800</v>
      </c>
      <c r="G876" s="13" t="n">
        <v>800</v>
      </c>
      <c r="H876" t="inlineStr">
        <is>
          <t>Samsung (1)</t>
        </is>
      </c>
    </row>
    <row r="877">
      <c r="A877" t="inlineStr">
        <is>
          <t>3d сканер настільний, дк 021:2015: 30210</t>
        </is>
      </c>
      <c r="B877" s="5" t="n">
        <v>1</v>
      </c>
      <c r="C877" s="5" t="n">
        <v>1</v>
      </c>
      <c r="D877" s="5" t="n">
        <v>1</v>
      </c>
      <c r="E877" s="13" t="n">
        <v>68600</v>
      </c>
      <c r="F877" s="13" t="n">
        <v>68600</v>
      </c>
      <c r="G877" s="13" t="n">
        <v>68600</v>
      </c>
      <c r="H877" t="inlineStr"/>
    </row>
    <row r="878">
      <c r="A878" t="inlineStr">
        <is>
          <t xml:space="preserve">Cd-r диск з конвертом (30234300-1) (код </t>
        </is>
      </c>
      <c r="B878" s="5" t="n">
        <v>1</v>
      </c>
      <c r="C878" s="5" t="n">
        <v>1</v>
      </c>
      <c r="D878" s="5" t="n">
        <v>400</v>
      </c>
      <c r="E878" s="13" t="n">
        <v>18.2</v>
      </c>
      <c r="F878" s="13" t="n">
        <v>18.2</v>
      </c>
      <c r="G878" s="13" t="n">
        <v>18.2</v>
      </c>
      <c r="H878" t="inlineStr"/>
    </row>
    <row r="879">
      <c r="A879" t="inlineStr">
        <is>
          <t>Dvd-r диск з конвертом (30234400-2) (код</t>
        </is>
      </c>
      <c r="B879" s="5" t="n">
        <v>1</v>
      </c>
      <c r="C879" s="5" t="n">
        <v>1</v>
      </c>
      <c r="D879" s="5" t="n">
        <v>200</v>
      </c>
      <c r="E879" s="13" t="n">
        <v>36.4</v>
      </c>
      <c r="F879" s="13" t="n">
        <v>36.4</v>
      </c>
      <c r="G879" s="13" t="n">
        <v>36.4</v>
      </c>
      <c r="H879" t="inlineStr"/>
    </row>
    <row r="880">
      <c r="A880" t="inlineStr">
        <is>
          <t>Багатофунціональний пристрій</t>
        </is>
      </c>
      <c r="B880" s="5" t="n">
        <v>1</v>
      </c>
      <c r="C880" s="5" t="n">
        <v>1</v>
      </c>
      <c r="D880" s="5" t="n">
        <v>2</v>
      </c>
      <c r="E880" s="13" t="n">
        <v>26400</v>
      </c>
      <c r="F880" s="13" t="n">
        <v>26400</v>
      </c>
      <c r="G880" s="13" t="n">
        <v>26400</v>
      </c>
      <c r="H880" t="inlineStr">
        <is>
          <t>HP (1)</t>
        </is>
      </c>
    </row>
    <row r="881">
      <c r="A881" t="inlineStr">
        <is>
          <t>Багатонаціональний пристрій</t>
        </is>
      </c>
      <c r="B881" s="5" t="n">
        <v>1</v>
      </c>
      <c r="C881" s="5" t="n">
        <v>1</v>
      </c>
      <c r="D881" s="5" t="n">
        <v>1</v>
      </c>
      <c r="E881" s="13" t="n">
        <v>21700</v>
      </c>
      <c r="F881" s="13" t="n">
        <v>21700</v>
      </c>
      <c r="G881" s="13" t="n">
        <v>21700</v>
      </c>
      <c r="H881" t="inlineStr">
        <is>
          <t>Canon (1)</t>
        </is>
      </c>
    </row>
    <row r="882">
      <c r="A882" t="inlineStr">
        <is>
          <t>Засіб кзі автор</t>
        </is>
      </c>
      <c r="B882" s="5" t="n">
        <v>1</v>
      </c>
      <c r="C882" s="5" t="n">
        <v>1</v>
      </c>
      <c r="D882" s="5" t="n">
        <v>1</v>
      </c>
      <c r="E882" s="13" t="n">
        <v>1410</v>
      </c>
      <c r="F882" s="13" t="n">
        <v>1410</v>
      </c>
      <c r="G882" s="13" t="n">
        <v>1410</v>
      </c>
      <c r="H882" t="inlineStr"/>
    </row>
    <row r="883">
      <c r="A883" t="inlineStr">
        <is>
          <t>Бпф</t>
        </is>
      </c>
      <c r="B883" s="5" t="n">
        <v>1</v>
      </c>
      <c r="C883" s="5" t="n">
        <v>1</v>
      </c>
      <c r="D883" s="5" t="n">
        <v>1</v>
      </c>
      <c r="E883" s="13" t="n">
        <v>11999</v>
      </c>
      <c r="F883" s="13" t="n">
        <v>11999</v>
      </c>
      <c r="G883" s="13" t="n">
        <v>11999</v>
      </c>
      <c r="H883" t="inlineStr">
        <is>
          <t>Epson (1)</t>
        </is>
      </c>
    </row>
    <row r="884">
      <c r="A884" t="inlineStr">
        <is>
          <t>Клавіатура+миша а4tech f1010 grey usb</t>
        </is>
      </c>
      <c r="B884" s="5" t="n">
        <v>1</v>
      </c>
      <c r="C884" s="5" t="n">
        <v>1</v>
      </c>
      <c r="D884" s="5" t="n">
        <v>1</v>
      </c>
      <c r="E884" s="13" t="n">
        <v>1333</v>
      </c>
      <c r="F884" s="13" t="n">
        <v>1333</v>
      </c>
      <c r="G884" s="13" t="n">
        <v>1333</v>
      </c>
      <c r="H884" t="inlineStr"/>
    </row>
    <row r="885">
      <c r="A885" t="inlineStr">
        <is>
          <t>Led- лампа схв-300 (тринога розсувна 1,8</t>
        </is>
      </c>
      <c r="B885" s="5" t="n">
        <v>1</v>
      </c>
      <c r="C885" s="5" t="n">
        <v>1</v>
      </c>
      <c r="D885" s="5" t="n">
        <v>1</v>
      </c>
      <c r="E885" s="13" t="n">
        <v>1090</v>
      </c>
      <c r="F885" s="13" t="n">
        <v>1090</v>
      </c>
      <c r="G885" s="13" t="n">
        <v>1090</v>
      </c>
      <c r="H885" t="inlineStr"/>
    </row>
    <row r="886">
      <c r="A886" t="inlineStr">
        <is>
          <t>Хаб-кардрідер універсальний</t>
        </is>
      </c>
      <c r="B886" s="5" t="n">
        <v>1</v>
      </c>
      <c r="C886" s="5" t="n">
        <v>1</v>
      </c>
      <c r="D886" s="5" t="n">
        <v>1</v>
      </c>
      <c r="E886" s="13" t="n">
        <v>3345</v>
      </c>
      <c r="F886" s="13" t="n">
        <v>3345</v>
      </c>
      <c r="G886" s="13" t="n">
        <v>3345</v>
      </c>
      <c r="H886" t="inlineStr"/>
    </row>
    <row r="887">
      <c r="A887" t="inlineStr">
        <is>
          <t>Комплект системний блок</t>
        </is>
      </c>
      <c r="B887" s="5" t="n">
        <v>1</v>
      </c>
      <c r="C887" s="5" t="n">
        <v>1</v>
      </c>
      <c r="D887" s="5" t="n">
        <v>2</v>
      </c>
      <c r="E887" s="13" t="n">
        <v>17000</v>
      </c>
      <c r="F887" s="13" t="n">
        <v>17000</v>
      </c>
      <c r="G887" s="13" t="n">
        <v>17000</v>
      </c>
      <c r="H887" t="inlineStr"/>
    </row>
    <row r="888">
      <c r="A888" t="inlineStr">
        <is>
          <t>Матеріали до компютерної</t>
        </is>
      </c>
      <c r="B888" s="5" t="n">
        <v>1</v>
      </c>
      <c r="C888" s="5" t="n">
        <v>1</v>
      </c>
      <c r="D888" s="5" t="n">
        <v>1</v>
      </c>
      <c r="E888" s="13" t="n">
        <v>399</v>
      </c>
      <c r="F888" s="13" t="n">
        <v>399</v>
      </c>
      <c r="G888" s="13" t="n">
        <v>399</v>
      </c>
      <c r="H888" t="inlineStr"/>
    </row>
    <row r="889">
      <c r="A889" t="inlineStr">
        <is>
          <t>Клавіатура комп’ютерна дротова</t>
        </is>
      </c>
      <c r="B889" s="5" t="n">
        <v>1</v>
      </c>
      <c r="C889" s="5" t="n">
        <v>1</v>
      </c>
      <c r="D889" s="5" t="n">
        <v>56</v>
      </c>
      <c r="E889" s="13" t="n">
        <v>8863.639999999999</v>
      </c>
      <c r="F889" s="13" t="n">
        <v>8863.639999999999</v>
      </c>
      <c r="G889" s="13" t="n">
        <v>8863.639999999999</v>
      </c>
      <c r="H889" t="inlineStr"/>
    </row>
    <row r="890">
      <c r="A890" t="inlineStr">
        <is>
          <t>Миша комп’ютерна дротова</t>
        </is>
      </c>
      <c r="B890" s="5" t="n">
        <v>1</v>
      </c>
      <c r="C890" s="5" t="n">
        <v>1</v>
      </c>
      <c r="D890" s="5" t="n">
        <v>56</v>
      </c>
      <c r="E890" s="13" t="n">
        <v>8863.639999999999</v>
      </c>
      <c r="F890" s="13" t="n">
        <v>8863.639999999999</v>
      </c>
      <c r="G890" s="13" t="n">
        <v>8863.639999999999</v>
      </c>
      <c r="H890" t="inlineStr"/>
    </row>
    <row r="891">
      <c r="A891" t="inlineStr">
        <is>
          <t>Комплект клавіатури та</t>
        </is>
      </c>
      <c r="B891" s="5" t="n">
        <v>1</v>
      </c>
      <c r="C891" s="5" t="n">
        <v>1</v>
      </c>
      <c r="D891" s="5" t="n">
        <v>10</v>
      </c>
      <c r="E891" s="13" t="n">
        <v>49636.4</v>
      </c>
      <c r="F891" s="13" t="n">
        <v>49636.4</v>
      </c>
      <c r="G891" s="13" t="n">
        <v>49636.4</v>
      </c>
      <c r="H891" t="inlineStr"/>
    </row>
    <row r="892">
      <c r="A892" t="inlineStr">
        <is>
          <t>Портативний</t>
        </is>
      </c>
      <c r="B892" s="5" t="n">
        <v>1</v>
      </c>
      <c r="C892" s="5" t="n">
        <v>1</v>
      </c>
      <c r="D892" s="5" t="n">
        <v>1</v>
      </c>
      <c r="E892" s="13" t="n">
        <v>496364</v>
      </c>
      <c r="F892" s="13" t="n">
        <v>496364</v>
      </c>
      <c r="G892" s="13" t="n">
        <v>496364</v>
      </c>
      <c r="H892" t="inlineStr"/>
    </row>
    <row r="893">
      <c r="A893" t="inlineStr">
        <is>
          <t>Криптогаманець</t>
        </is>
      </c>
      <c r="B893" s="5" t="n">
        <v>1</v>
      </c>
      <c r="C893" s="5" t="n">
        <v>1</v>
      </c>
      <c r="D893" s="5" t="n">
        <v>3</v>
      </c>
      <c r="E893" s="13" t="n">
        <v>165454.67</v>
      </c>
      <c r="F893" s="13" t="n">
        <v>165454.67</v>
      </c>
      <c r="G893" s="13" t="n">
        <v>165454.67</v>
      </c>
      <c r="H893" t="inlineStr"/>
    </row>
    <row r="894">
      <c r="A894" t="inlineStr">
        <is>
          <t>Карта пам’яті на</t>
        </is>
      </c>
      <c r="B894" s="5" t="n">
        <v>1</v>
      </c>
      <c r="C894" s="5" t="n">
        <v>1</v>
      </c>
      <c r="D894" s="5" t="n">
        <v>1</v>
      </c>
      <c r="E894" s="13" t="n">
        <v>496364</v>
      </c>
      <c r="F894" s="13" t="n">
        <v>496364</v>
      </c>
      <c r="G894" s="13" t="n">
        <v>496364</v>
      </c>
      <c r="H894" t="inlineStr"/>
    </row>
    <row r="895">
      <c r="A895" t="inlineStr">
        <is>
          <t>Одноплатний мікрокомп’ютер</t>
        </is>
      </c>
      <c r="B895" s="5" t="n">
        <v>1</v>
      </c>
      <c r="C895" s="5" t="n">
        <v>1</v>
      </c>
      <c r="D895" s="5" t="n">
        <v>5</v>
      </c>
      <c r="E895" s="13" t="n">
        <v>99272.8</v>
      </c>
      <c r="F895" s="13" t="n">
        <v>99272.8</v>
      </c>
      <c r="G895" s="13" t="n">
        <v>99272.8</v>
      </c>
      <c r="H895" t="inlineStr"/>
    </row>
    <row r="896">
      <c r="A896" t="inlineStr">
        <is>
          <t>Сканер штрих-кодів ручний</t>
        </is>
      </c>
      <c r="B896" s="5" t="n">
        <v>1</v>
      </c>
      <c r="C896" s="5" t="n">
        <v>1</v>
      </c>
      <c r="D896" s="5" t="n">
        <v>5</v>
      </c>
      <c r="E896" s="13" t="n">
        <v>3200</v>
      </c>
      <c r="F896" s="13" t="n">
        <v>3200</v>
      </c>
      <c r="G896" s="13" t="n">
        <v>3200</v>
      </c>
      <c r="H896" t="inlineStr"/>
    </row>
    <row r="897">
      <c r="A897" t="inlineStr">
        <is>
          <t>Модулі пам'яті для</t>
        </is>
      </c>
      <c r="B897" s="5" t="n">
        <v>1</v>
      </c>
      <c r="C897" s="5" t="n">
        <v>1</v>
      </c>
      <c r="D897" s="5" t="n">
        <v>7</v>
      </c>
      <c r="E897" s="13" t="n">
        <v>2056.02</v>
      </c>
      <c r="F897" s="13" t="n">
        <v>2056.02</v>
      </c>
      <c r="G897" s="13" t="n">
        <v>2056.02</v>
      </c>
      <c r="H897" t="inlineStr"/>
    </row>
    <row r="898">
      <c r="A898" t="inlineStr">
        <is>
          <t>Монітор комп'ютера</t>
        </is>
      </c>
      <c r="B898" s="5" t="n">
        <v>1</v>
      </c>
      <c r="C898" s="5" t="n">
        <v>1</v>
      </c>
      <c r="D898" s="5" t="n">
        <v>1</v>
      </c>
      <c r="E898" s="13" t="n">
        <v>3899</v>
      </c>
      <c r="F898" s="13" t="n">
        <v>3899</v>
      </c>
      <c r="G898" s="13" t="n">
        <v>3899</v>
      </c>
      <c r="H898" t="inlineStr">
        <is>
          <t>MSI (1)</t>
        </is>
      </c>
    </row>
    <row r="899">
      <c r="A899" t="inlineStr">
        <is>
          <t>Мережеве сховище</t>
        </is>
      </c>
      <c r="B899" s="5" t="n">
        <v>1</v>
      </c>
      <c r="C899" s="5" t="n">
        <v>1</v>
      </c>
      <c r="D899" s="5" t="n">
        <v>1</v>
      </c>
      <c r="E899" s="13" t="n">
        <v>26059.99</v>
      </c>
      <c r="F899" s="13" t="n">
        <v>26059.99</v>
      </c>
      <c r="G899" s="13" t="n">
        <v>26059.99</v>
      </c>
      <c r="H899" t="inlineStr"/>
    </row>
    <row r="900">
      <c r="A900" t="inlineStr">
        <is>
          <t>Usb 16gb goodram ume3 usb 3.0 black</t>
        </is>
      </c>
      <c r="B900" s="5" t="n">
        <v>1</v>
      </c>
      <c r="C900" s="5" t="n">
        <v>1</v>
      </c>
      <c r="D900" s="5" t="n">
        <v>1</v>
      </c>
      <c r="E900" s="13" t="n">
        <v>4820</v>
      </c>
      <c r="F900" s="13" t="n">
        <v>4820</v>
      </c>
      <c r="G900" s="13" t="n">
        <v>4820</v>
      </c>
      <c r="H900" t="inlineStr">
        <is>
          <t>GOODRAM (1)</t>
        </is>
      </c>
    </row>
    <row r="901">
      <c r="A901" t="inlineStr">
        <is>
          <t>Usb sandisk ultra flair 32gb sliver (sdc</t>
        </is>
      </c>
      <c r="B901" s="5" t="n">
        <v>1</v>
      </c>
      <c r="C901" s="5" t="n">
        <v>1</v>
      </c>
      <c r="D901" s="5" t="n">
        <v>6</v>
      </c>
      <c r="E901" s="13" t="n">
        <v>803.33</v>
      </c>
      <c r="F901" s="13" t="n">
        <v>803.33</v>
      </c>
      <c r="G901" s="13" t="n">
        <v>803.33</v>
      </c>
      <c r="H901" t="inlineStr">
        <is>
          <t>Sandisk (1)</t>
        </is>
      </c>
    </row>
    <row r="902">
      <c r="A902" t="inlineStr">
        <is>
          <t>Micro-sdhc memory card 16gb goodram (з s</t>
        </is>
      </c>
      <c r="B902" s="5" t="n">
        <v>1</v>
      </c>
      <c r="C902" s="5" t="n">
        <v>1</v>
      </c>
      <c r="D902" s="5" t="n">
        <v>456</v>
      </c>
      <c r="E902" s="13" t="n">
        <v>180</v>
      </c>
      <c r="F902" s="13" t="n">
        <v>180</v>
      </c>
      <c r="G902" s="13" t="n">
        <v>180</v>
      </c>
      <c r="H902" t="inlineStr">
        <is>
          <t>GOODRAM (1)</t>
        </is>
      </c>
    </row>
    <row r="903">
      <c r="A903" t="inlineStr">
        <is>
          <t>Micro-sdhc memory card 32gb sandisk (з s</t>
        </is>
      </c>
      <c r="B903" s="5" t="n">
        <v>1</v>
      </c>
      <c r="C903" s="5" t="n">
        <v>1</v>
      </c>
      <c r="D903" s="5" t="n">
        <v>100</v>
      </c>
      <c r="E903" s="13" t="n">
        <v>605</v>
      </c>
      <c r="F903" s="13" t="n">
        <v>605</v>
      </c>
      <c r="G903" s="13" t="n">
        <v>605</v>
      </c>
      <c r="H903" t="inlineStr">
        <is>
          <t>Sandisk (1)</t>
        </is>
      </c>
    </row>
    <row r="904">
      <c r="A904" t="inlineStr">
        <is>
          <t>Звукова плата</t>
        </is>
      </c>
      <c r="B904" s="5" t="n">
        <v>1</v>
      </c>
      <c r="C904" s="5" t="n">
        <v>1</v>
      </c>
      <c r="D904" s="5" t="n">
        <v>1</v>
      </c>
      <c r="E904" s="13" t="n">
        <v>150</v>
      </c>
      <c r="F904" s="13" t="n">
        <v>150</v>
      </c>
      <c r="G904" s="13" t="n">
        <v>150</v>
      </c>
      <c r="H904" t="inlineStr"/>
    </row>
    <row r="905">
      <c r="A905" t="inlineStr">
        <is>
          <t>Комп'ютерне</t>
        </is>
      </c>
      <c r="B905" s="5" t="n">
        <v>1</v>
      </c>
      <c r="C905" s="5" t="n">
        <v>1</v>
      </c>
      <c r="D905" s="5" t="n">
        <v>6</v>
      </c>
      <c r="E905" s="13" t="n">
        <v>2608.04</v>
      </c>
      <c r="F905" s="13" t="n">
        <v>2608.04</v>
      </c>
      <c r="G905" s="13" t="n">
        <v>2608.04</v>
      </c>
      <c r="H905" t="inlineStr"/>
    </row>
    <row r="906">
      <c r="A906" t="inlineStr">
        <is>
          <t>Флеш-накопичувач пам’ять</t>
        </is>
      </c>
      <c r="B906" s="5" t="n">
        <v>1</v>
      </c>
      <c r="C906" s="5" t="n">
        <v>1</v>
      </c>
      <c r="D906" s="5" t="n">
        <v>1</v>
      </c>
      <c r="E906" s="13" t="n">
        <v>715</v>
      </c>
      <c r="F906" s="13" t="n">
        <v>715</v>
      </c>
      <c r="G906" s="13" t="n">
        <v>715</v>
      </c>
      <c r="H906" t="inlineStr"/>
    </row>
    <row r="907">
      <c r="A907" t="inlineStr">
        <is>
          <t>Персональний комп'ютер системний</t>
        </is>
      </c>
      <c r="B907" s="5" t="n">
        <v>1</v>
      </c>
      <c r="C907" s="5" t="n">
        <v>1</v>
      </c>
      <c r="D907" s="5" t="n">
        <v>1</v>
      </c>
      <c r="E907" s="13" t="n">
        <v>47000</v>
      </c>
      <c r="F907" s="13" t="n">
        <v>47000</v>
      </c>
      <c r="G907" s="13" t="n">
        <v>47000</v>
      </c>
      <c r="H907" t="inlineStr"/>
    </row>
    <row r="908">
      <c r="A908" t="inlineStr">
        <is>
          <t>Монiтор 24" philips 24e2n1110 (30231000-</t>
        </is>
      </c>
      <c r="B908" s="5" t="n">
        <v>1</v>
      </c>
      <c r="C908" s="5" t="n">
        <v>1</v>
      </c>
      <c r="D908" s="5" t="n">
        <v>3</v>
      </c>
      <c r="E908" s="13" t="n">
        <v>3825</v>
      </c>
      <c r="F908" s="13" t="n">
        <v>3825</v>
      </c>
      <c r="G908" s="13" t="n">
        <v>3825</v>
      </c>
      <c r="H908" t="inlineStr">
        <is>
          <t>Philips (1)</t>
        </is>
      </c>
    </row>
    <row r="909">
      <c r="A909" t="inlineStr">
        <is>
          <t>Пристрої для зберігання</t>
        </is>
      </c>
      <c r="B909" s="5" t="n">
        <v>1</v>
      </c>
      <c r="C909" s="5" t="n">
        <v>1</v>
      </c>
      <c r="D909" s="5" t="n">
        <v>1</v>
      </c>
      <c r="E909" s="13" t="n">
        <v>1399</v>
      </c>
      <c r="F909" s="13" t="n">
        <v>1399</v>
      </c>
      <c r="G909" s="13" t="n">
        <v>1399</v>
      </c>
      <c r="H909" t="inlineStr"/>
    </row>
    <row r="910">
      <c r="A910" t="inlineStr">
        <is>
          <t>Зчитувач флеш-карт</t>
        </is>
      </c>
      <c r="B910" s="5" t="n">
        <v>1</v>
      </c>
      <c r="C910" s="5" t="n">
        <v>1</v>
      </c>
      <c r="D910" s="5" t="n">
        <v>1</v>
      </c>
      <c r="E910" s="13" t="n">
        <v>1860</v>
      </c>
      <c r="F910" s="13" t="n">
        <v>1860</v>
      </c>
      <c r="G910" s="13" t="n">
        <v>1860</v>
      </c>
      <c r="H910" t="inlineStr"/>
    </row>
    <row r="911">
      <c r="A911" t="inlineStr">
        <is>
          <t>Гафічний планшет процесор</t>
        </is>
      </c>
      <c r="B911" s="5" t="n">
        <v>1</v>
      </c>
      <c r="C911" s="5" t="n">
        <v>1</v>
      </c>
      <c r="D911" s="5" t="n">
        <v>29</v>
      </c>
      <c r="E911" s="13" t="n">
        <v>2633.76</v>
      </c>
      <c r="F911" s="13" t="n">
        <v>2633.76</v>
      </c>
      <c r="G911" s="13" t="n">
        <v>2633.76</v>
      </c>
      <c r="H911" t="inlineStr"/>
    </row>
    <row r="912">
      <c r="A912" t="inlineStr">
        <is>
          <t>Монітор клавіатура мишка</t>
        </is>
      </c>
      <c r="B912" s="5" t="n">
        <v>1</v>
      </c>
      <c r="C912" s="5" t="n">
        <v>1</v>
      </c>
      <c r="D912" s="5" t="n">
        <v>24</v>
      </c>
      <c r="E912" s="13" t="n">
        <v>981.67</v>
      </c>
      <c r="F912" s="13" t="n">
        <v>981.67</v>
      </c>
      <c r="G912" s="13" t="n">
        <v>981.67</v>
      </c>
      <c r="H912" t="inlineStr"/>
    </row>
    <row r="913">
      <c r="A913" t="inlineStr">
        <is>
          <t>Системнй блок</t>
        </is>
      </c>
      <c r="B913" s="5" t="n">
        <v>1</v>
      </c>
      <c r="C913" s="5" t="n">
        <v>1</v>
      </c>
      <c r="D913" s="5" t="n">
        <v>1</v>
      </c>
      <c r="E913" s="13" t="n">
        <v>27000</v>
      </c>
      <c r="F913" s="13" t="n">
        <v>27000</v>
      </c>
      <c r="G913" s="13" t="n">
        <v>27000</v>
      </c>
      <c r="H913" t="inlineStr">
        <is>
          <t>Intel (1)</t>
        </is>
      </c>
    </row>
    <row r="914">
      <c r="A914" t="inlineStr">
        <is>
          <t>Ветилятор в корпус</t>
        </is>
      </c>
      <c r="B914" s="5" t="n">
        <v>1</v>
      </c>
      <c r="C914" s="5" t="n">
        <v>1</v>
      </c>
      <c r="D914" s="5" t="n">
        <v>1</v>
      </c>
      <c r="E914" s="13" t="n">
        <v>2160</v>
      </c>
      <c r="F914" s="13" t="n">
        <v>2160</v>
      </c>
      <c r="G914" s="13" t="n">
        <v>2160</v>
      </c>
      <c r="H914" t="inlineStr"/>
    </row>
    <row r="915">
      <c r="A915" t="inlineStr">
        <is>
          <t>Придбання електронного ключа</t>
        </is>
      </c>
      <c r="B915" s="5" t="n">
        <v>1</v>
      </c>
      <c r="C915" s="5" t="n">
        <v>1</v>
      </c>
      <c r="D915" s="5" t="n">
        <v>1</v>
      </c>
      <c r="E915" s="13" t="n">
        <v>1225</v>
      </c>
      <c r="F915" s="13" t="n">
        <v>1225</v>
      </c>
      <c r="G915" s="13" t="n">
        <v>1225</v>
      </c>
      <c r="H915" t="inlineStr"/>
    </row>
    <row r="916">
      <c r="A916" t="inlineStr">
        <is>
          <t>Картриджи для принтера</t>
        </is>
      </c>
      <c r="B916" s="5" t="n">
        <v>1</v>
      </c>
      <c r="C916" s="5" t="n">
        <v>1</v>
      </c>
      <c r="D916" s="5" t="n">
        <v>51</v>
      </c>
      <c r="E916" s="13" t="n">
        <v>800</v>
      </c>
      <c r="F916" s="13" t="n">
        <v>800</v>
      </c>
      <c r="G916" s="13" t="n">
        <v>800</v>
      </c>
      <c r="H916" t="inlineStr">
        <is>
          <t>Samsung (1)</t>
        </is>
      </c>
    </row>
    <row r="917">
      <c r="A917" t="inlineStr">
        <is>
          <t>Комп’ютери в комплекті</t>
        </is>
      </c>
      <c r="B917" s="5" t="n">
        <v>1</v>
      </c>
      <c r="C917" s="5" t="n">
        <v>1</v>
      </c>
      <c r="D917" s="5" t="n">
        <v>5</v>
      </c>
      <c r="E917" s="13" t="n">
        <v>38531</v>
      </c>
      <c r="F917" s="13" t="n">
        <v>38531</v>
      </c>
      <c r="G917" s="13" t="n">
        <v>38531</v>
      </c>
      <c r="H917" t="inlineStr"/>
    </row>
    <row r="918">
      <c r="A918" t="inlineStr">
        <is>
          <t>Gamemax et-215-np-2u3tyc</t>
        </is>
      </c>
      <c r="B918" s="5" t="n">
        <v>1</v>
      </c>
      <c r="C918" s="5" t="n">
        <v>1</v>
      </c>
      <c r="D918" s="5" t="n">
        <v>1</v>
      </c>
      <c r="E918" s="13" t="n">
        <v>160000</v>
      </c>
      <c r="F918" s="13" t="n">
        <v>160000</v>
      </c>
      <c r="G918" s="13" t="n">
        <v>160000</v>
      </c>
      <c r="H918" t="inlineStr">
        <is>
          <t>GAMEMAX (1)</t>
        </is>
      </c>
    </row>
    <row r="919">
      <c r="A919" t="inlineStr">
        <is>
          <t>Персональний комп’ютер моноблок</t>
        </is>
      </c>
      <c r="B919" s="5" t="n">
        <v>1</v>
      </c>
      <c r="C919" s="5" t="n">
        <v>1</v>
      </c>
      <c r="D919" s="5" t="n">
        <v>3</v>
      </c>
      <c r="E919" s="13" t="n">
        <v>32750</v>
      </c>
      <c r="F919" s="13" t="n">
        <v>32750</v>
      </c>
      <c r="G919" s="13" t="n">
        <v>32750</v>
      </c>
      <c r="H919" t="inlineStr">
        <is>
          <t>HP (1)</t>
        </is>
      </c>
    </row>
    <row r="920">
      <c r="A920" t="inlineStr">
        <is>
          <t>Розетка мережева</t>
        </is>
      </c>
      <c r="B920" s="5" t="n">
        <v>1</v>
      </c>
      <c r="C920" s="5" t="n">
        <v>1</v>
      </c>
      <c r="D920" s="5" t="n">
        <v>8</v>
      </c>
      <c r="E920" s="13" t="n">
        <v>1717</v>
      </c>
      <c r="F920" s="13" t="n">
        <v>1717</v>
      </c>
      <c r="G920" s="13" t="n">
        <v>1717</v>
      </c>
      <c r="H920" t="inlineStr"/>
    </row>
    <row r="921">
      <c r="A921" t="inlineStr">
        <is>
          <t>Силовий блок</t>
        </is>
      </c>
      <c r="B921" s="5" t="n">
        <v>1</v>
      </c>
      <c r="C921" s="5" t="n">
        <v>1</v>
      </c>
      <c r="D921" s="5" t="n">
        <v>1</v>
      </c>
      <c r="E921" s="13" t="n">
        <v>13736</v>
      </c>
      <c r="F921" s="13" t="n">
        <v>13736</v>
      </c>
      <c r="G921" s="13" t="n">
        <v>13736</v>
      </c>
      <c r="H921" t="inlineStr"/>
    </row>
    <row r="922">
      <c r="A922" t="inlineStr">
        <is>
          <t>Кабельний організатор</t>
        </is>
      </c>
      <c r="B922" s="5" t="n">
        <v>1</v>
      </c>
      <c r="C922" s="5" t="n">
        <v>1</v>
      </c>
      <c r="D922" s="5" t="n">
        <v>1</v>
      </c>
      <c r="E922" s="13" t="n">
        <v>13736</v>
      </c>
      <c r="F922" s="13" t="n">
        <v>13736</v>
      </c>
      <c r="G922" s="13" t="n">
        <v>13736</v>
      </c>
      <c r="H922" t="inlineStr"/>
    </row>
    <row r="923">
      <c r="A923" t="inlineStr">
        <is>
          <t>Шафа настінна</t>
        </is>
      </c>
      <c r="B923" s="5" t="n">
        <v>1</v>
      </c>
      <c r="C923" s="5" t="n">
        <v>1</v>
      </c>
      <c r="D923" s="5" t="n">
        <v>1</v>
      </c>
      <c r="E923" s="13" t="n">
        <v>13736</v>
      </c>
      <c r="F923" s="13" t="n">
        <v>13736</v>
      </c>
      <c r="G923" s="13" t="n">
        <v>13736</v>
      </c>
      <c r="H923" t="inlineStr"/>
    </row>
    <row r="924">
      <c r="A924" t="inlineStr">
        <is>
          <t>Комп’ютерне обладнання бфп</t>
        </is>
      </c>
      <c r="B924" s="5" t="n">
        <v>1</v>
      </c>
      <c r="C924" s="5" t="n">
        <v>1</v>
      </c>
      <c r="D924" s="5" t="n">
        <v>1</v>
      </c>
      <c r="E924" s="13" t="n">
        <v>15890</v>
      </c>
      <c r="F924" s="13" t="n">
        <v>15890</v>
      </c>
      <c r="G924" s="13" t="n">
        <v>15890</v>
      </c>
      <c r="H924" t="inlineStr">
        <is>
          <t>Canon (1)</t>
        </is>
      </c>
    </row>
    <row r="925">
      <c r="A925" t="inlineStr">
        <is>
          <t xml:space="preserve">3d-принтер закритий fdm (pla, tpu, pet, </t>
        </is>
      </c>
      <c r="B925" s="5" t="n">
        <v>1</v>
      </c>
      <c r="C925" s="5" t="n">
        <v>1</v>
      </c>
      <c r="D925" s="5" t="n">
        <v>3</v>
      </c>
      <c r="E925" s="13" t="n">
        <v>100000</v>
      </c>
      <c r="F925" s="13" t="n">
        <v>100000</v>
      </c>
      <c r="G925" s="13" t="n">
        <v>100000</v>
      </c>
      <c r="H925" t="inlineStr"/>
    </row>
    <row r="926">
      <c r="A926" t="inlineStr">
        <is>
          <t>Системний блок на</t>
        </is>
      </c>
      <c r="B926" s="5" t="n">
        <v>1</v>
      </c>
      <c r="C926" s="5" t="n">
        <v>1</v>
      </c>
      <c r="D926" s="5" t="n">
        <v>4</v>
      </c>
      <c r="E926" s="13" t="n">
        <v>24224.5</v>
      </c>
      <c r="F926" s="13" t="n">
        <v>24224.5</v>
      </c>
      <c r="G926" s="13" t="n">
        <v>24224.5</v>
      </c>
      <c r="H926" t="inlineStr">
        <is>
          <t>Intel (1)</t>
        </is>
      </c>
    </row>
    <row r="927">
      <c r="A927" t="inlineStr">
        <is>
          <t>Модуль флеш-пам'яті клавіатура</t>
        </is>
      </c>
      <c r="B927" s="5" t="n">
        <v>1</v>
      </c>
      <c r="C927" s="5" t="n">
        <v>1</v>
      </c>
      <c r="D927" s="5" t="n">
        <v>37</v>
      </c>
      <c r="E927" s="13" t="n">
        <v>169.59</v>
      </c>
      <c r="F927" s="13" t="n">
        <v>169.59</v>
      </c>
      <c r="G927" s="13" t="n">
        <v>169.59</v>
      </c>
      <c r="H927" t="inlineStr"/>
    </row>
    <row r="928">
      <c r="A928" t="inlineStr">
        <is>
          <t>Ноутбуки код за</t>
        </is>
      </c>
      <c r="B928" s="5" t="n">
        <v>1</v>
      </c>
      <c r="C928" s="5" t="n">
        <v>1</v>
      </c>
      <c r="D928" s="5" t="n">
        <v>35</v>
      </c>
      <c r="E928" s="13" t="n">
        <v>27060</v>
      </c>
      <c r="F928" s="13" t="n">
        <v>27060</v>
      </c>
      <c r="G928" s="13" t="n">
        <v>27060</v>
      </c>
      <c r="H928" t="inlineStr"/>
    </row>
    <row r="929">
      <c r="A929" t="inlineStr">
        <is>
          <t>Лазерний чорно-білий бфп</t>
        </is>
      </c>
      <c r="B929" s="5" t="n">
        <v>1</v>
      </c>
      <c r="C929" s="5" t="n">
        <v>1</v>
      </c>
      <c r="D929" s="5" t="n">
        <v>1</v>
      </c>
      <c r="E929" s="13" t="n">
        <v>16950</v>
      </c>
      <c r="F929" s="13" t="n">
        <v>16950</v>
      </c>
      <c r="G929" s="13" t="n">
        <v>16950</v>
      </c>
      <c r="H929" t="inlineStr">
        <is>
          <t>Canon (1)</t>
        </is>
      </c>
    </row>
    <row r="930">
      <c r="A930" t="inlineStr">
        <is>
          <t>Моноблок нр</t>
        </is>
      </c>
      <c r="B930" s="5" t="n">
        <v>1</v>
      </c>
      <c r="C930" s="5" t="n">
        <v>1</v>
      </c>
      <c r="D930" s="5" t="n">
        <v>1</v>
      </c>
      <c r="E930" s="13" t="n">
        <v>30000</v>
      </c>
      <c r="F930" s="13" t="n">
        <v>30000</v>
      </c>
      <c r="G930" s="13" t="n">
        <v>30000</v>
      </c>
      <c r="H930" t="inlineStr">
        <is>
          <t>Intel (1)</t>
        </is>
      </c>
    </row>
    <row r="931">
      <c r="A931" t="inlineStr">
        <is>
          <t>Придбання монітора</t>
        </is>
      </c>
      <c r="B931" s="5" t="n">
        <v>1</v>
      </c>
      <c r="C931" s="5" t="n">
        <v>1</v>
      </c>
      <c r="D931" s="5" t="n">
        <v>1</v>
      </c>
      <c r="E931" s="13" t="n">
        <v>5750</v>
      </c>
      <c r="F931" s="13" t="n">
        <v>5750</v>
      </c>
      <c r="G931" s="13" t="n">
        <v>5750</v>
      </c>
      <c r="H931" t="inlineStr"/>
    </row>
    <row r="932">
      <c r="A932" t="inlineStr">
        <is>
          <t>Пристрій введення даних</t>
        </is>
      </c>
      <c r="B932" s="5" t="n">
        <v>1</v>
      </c>
      <c r="C932" s="5" t="n">
        <v>1</v>
      </c>
      <c r="D932" s="5" t="n">
        <v>1</v>
      </c>
      <c r="E932" s="13" t="n">
        <v>14999</v>
      </c>
      <c r="F932" s="13" t="n">
        <v>14999</v>
      </c>
      <c r="G932" s="13" t="n">
        <v>14999</v>
      </c>
      <c r="H932" t="inlineStr"/>
    </row>
    <row r="933">
      <c r="A933" t="inlineStr">
        <is>
          <t>Чорнило до принтера</t>
        </is>
      </c>
      <c r="B933" s="5" t="n">
        <v>1</v>
      </c>
      <c r="C933" s="5" t="n">
        <v>1</v>
      </c>
      <c r="D933" s="5" t="n">
        <v>1</v>
      </c>
      <c r="E933" s="13" t="n">
        <v>6434</v>
      </c>
      <c r="F933" s="13" t="n">
        <v>6434</v>
      </c>
      <c r="G933" s="13" t="n">
        <v>6434</v>
      </c>
      <c r="H933" t="inlineStr"/>
    </row>
    <row r="934">
      <c r="A934" t="inlineStr">
        <is>
          <t>Комплект чорнил</t>
        </is>
      </c>
      <c r="B934" s="5" t="n">
        <v>1</v>
      </c>
      <c r="C934" s="5" t="n">
        <v>1</v>
      </c>
      <c r="D934" s="5" t="n">
        <v>2</v>
      </c>
      <c r="E934" s="13" t="n">
        <v>3217</v>
      </c>
      <c r="F934" s="13" t="n">
        <v>3217</v>
      </c>
      <c r="G934" s="13" t="n">
        <v>3217</v>
      </c>
      <c r="H934" t="inlineStr"/>
    </row>
    <row r="935">
      <c r="A935" t="inlineStr">
        <is>
          <t>Ноутбук в комплекті</t>
        </is>
      </c>
      <c r="B935" s="5" t="n">
        <v>1</v>
      </c>
      <c r="C935" s="5" t="n">
        <v>1</v>
      </c>
      <c r="D935" s="5" t="n">
        <v>1</v>
      </c>
      <c r="E935" s="13" t="n">
        <v>43422</v>
      </c>
      <c r="F935" s="13" t="n">
        <v>43422</v>
      </c>
      <c r="G935" s="13" t="n">
        <v>43422</v>
      </c>
      <c r="H935" t="inlineStr"/>
    </row>
    <row r="936">
      <c r="A936" t="inlineStr">
        <is>
          <t>Жосткий диск ззо-накопичувач</t>
        </is>
      </c>
      <c r="B936" s="5" t="n">
        <v>1</v>
      </c>
      <c r="C936" s="5" t="n">
        <v>1</v>
      </c>
      <c r="D936" s="5" t="n">
        <v>1</v>
      </c>
      <c r="E936" s="13" t="n">
        <v>1200</v>
      </c>
      <c r="F936" s="13" t="n">
        <v>1200</v>
      </c>
      <c r="G936" s="13" t="n">
        <v>1200</v>
      </c>
      <c r="H936" t="inlineStr"/>
    </row>
    <row r="937">
      <c r="A937" t="inlineStr">
        <is>
          <t>Персональні комп'ютери з</t>
        </is>
      </c>
      <c r="B937" s="5" t="n">
        <v>1</v>
      </c>
      <c r="C937" s="5" t="n">
        <v>1</v>
      </c>
      <c r="D937" s="5" t="n">
        <v>4</v>
      </c>
      <c r="E937" s="13" t="n">
        <v>31450</v>
      </c>
      <c r="F937" s="13" t="n">
        <v>31450</v>
      </c>
      <c r="G937" s="13" t="n">
        <v>31450</v>
      </c>
      <c r="H937" t="inlineStr"/>
    </row>
    <row r="938">
      <c r="A938" t="inlineStr">
        <is>
          <t>Сенсорний</t>
        </is>
      </c>
      <c r="B938" s="5" t="n">
        <v>1</v>
      </c>
      <c r="C938" s="5" t="n">
        <v>1</v>
      </c>
      <c r="D938" s="5" t="n">
        <v>1</v>
      </c>
      <c r="E938" s="13" t="n">
        <v>30000</v>
      </c>
      <c r="F938" s="13" t="n">
        <v>30000</v>
      </c>
      <c r="G938" s="13" t="n">
        <v>30000</v>
      </c>
      <c r="H938" t="inlineStr">
        <is>
          <t>Microsoft (1), Vector (1)</t>
        </is>
      </c>
    </row>
    <row r="939">
      <c r="A939" t="inlineStr">
        <is>
          <t>Сканер документів книжковий</t>
        </is>
      </c>
      <c r="B939" s="5" t="n">
        <v>1</v>
      </c>
      <c r="C939" s="5" t="n">
        <v>1</v>
      </c>
      <c r="D939" s="5" t="n">
        <v>1</v>
      </c>
      <c r="E939" s="13" t="n">
        <v>29000</v>
      </c>
      <c r="F939" s="13" t="n">
        <v>29000</v>
      </c>
      <c r="G939" s="13" t="n">
        <v>29000</v>
      </c>
      <c r="H939" t="inlineStr"/>
    </row>
    <row r="940">
      <c r="A940" t="inlineStr">
        <is>
          <t>Зовнішній пристрій</t>
        </is>
      </c>
      <c r="B940" s="5" t="n">
        <v>1</v>
      </c>
      <c r="C940" s="5" t="n">
        <v>1</v>
      </c>
      <c r="D940" s="5" t="n">
        <v>3</v>
      </c>
      <c r="E940" s="13" t="n">
        <v>1715.33</v>
      </c>
      <c r="F940" s="13" t="n">
        <v>1715.33</v>
      </c>
      <c r="G940" s="13" t="n">
        <v>1715.33</v>
      </c>
      <c r="H940" t="inlineStr"/>
    </row>
    <row r="941">
      <c r="A941" t="inlineStr">
        <is>
          <t>Клавіатура миша дк</t>
        </is>
      </c>
      <c r="B941" s="5" t="n">
        <v>1</v>
      </c>
      <c r="C941" s="5" t="n">
        <v>1</v>
      </c>
      <c r="D941" s="5" t="n">
        <v>2</v>
      </c>
      <c r="E941" s="13" t="n">
        <v>300</v>
      </c>
      <c r="F941" s="13" t="n">
        <v>300</v>
      </c>
      <c r="G941" s="13" t="n">
        <v>300</v>
      </c>
      <c r="H941" t="inlineStr"/>
    </row>
    <row r="942">
      <c r="A942" t="inlineStr">
        <is>
          <t>Комплект клавіатура та</t>
        </is>
      </c>
      <c r="B942" s="5" t="n">
        <v>1</v>
      </c>
      <c r="C942" s="5" t="n">
        <v>1</v>
      </c>
      <c r="D942" s="5" t="n">
        <v>10</v>
      </c>
      <c r="E942" s="13" t="n">
        <v>1615.9</v>
      </c>
      <c r="F942" s="13" t="n">
        <v>1615.9</v>
      </c>
      <c r="G942" s="13" t="n">
        <v>1615.9</v>
      </c>
      <c r="H942" t="inlineStr">
        <is>
          <t>A4Tech (1)</t>
        </is>
      </c>
    </row>
    <row r="943">
      <c r="A943" t="inlineStr">
        <is>
          <t>Комп ютер персональний</t>
        </is>
      </c>
      <c r="B943" s="5" t="n">
        <v>1</v>
      </c>
      <c r="C943" s="5" t="n">
        <v>1</v>
      </c>
      <c r="D943" s="5" t="n">
        <v>5</v>
      </c>
      <c r="E943" s="13" t="n">
        <v>33813</v>
      </c>
      <c r="F943" s="13" t="n">
        <v>33813</v>
      </c>
      <c r="G943" s="13" t="n">
        <v>33813</v>
      </c>
      <c r="H943" t="inlineStr"/>
    </row>
    <row r="944">
      <c r="A944" t="inlineStr">
        <is>
          <t>Usb флеш-накопичувач</t>
        </is>
      </c>
      <c r="B944" s="5" t="n">
        <v>1</v>
      </c>
      <c r="C944" s="5" t="n">
        <v>1</v>
      </c>
      <c r="D944" s="5" t="n">
        <v>600</v>
      </c>
      <c r="E944" s="13" t="n">
        <v>150</v>
      </c>
      <c r="F944" s="13" t="n">
        <v>150</v>
      </c>
      <c r="G944" s="13" t="n">
        <v>150</v>
      </c>
      <c r="H944" t="inlineStr"/>
    </row>
    <row r="945">
      <c r="A945" t="inlineStr">
        <is>
          <t>Багатофункціональні пристрої нуш</t>
        </is>
      </c>
      <c r="B945" s="5" t="n">
        <v>1</v>
      </c>
      <c r="C945" s="5" t="n">
        <v>1</v>
      </c>
      <c r="D945" s="5" t="n">
        <v>1</v>
      </c>
      <c r="E945" s="13" t="n">
        <v>15856</v>
      </c>
      <c r="F945" s="13" t="n">
        <v>15856</v>
      </c>
      <c r="G945" s="13" t="n">
        <v>15856</v>
      </c>
      <c r="H945" t="inlineStr"/>
    </row>
    <row r="946">
      <c r="A946" t="inlineStr">
        <is>
          <t>Автоматизоване робоче місце</t>
        </is>
      </c>
      <c r="B946" s="5" t="n">
        <v>1</v>
      </c>
      <c r="C946" s="5" t="n">
        <v>1</v>
      </c>
      <c r="D946" s="5" t="n">
        <v>1</v>
      </c>
      <c r="E946" s="13" t="n">
        <v>298128</v>
      </c>
      <c r="F946" s="13" t="n">
        <v>298128</v>
      </c>
      <c r="G946" s="13" t="n">
        <v>298128</v>
      </c>
      <c r="H946" t="inlineStr"/>
    </row>
    <row r="947">
      <c r="A947" t="inlineStr">
        <is>
          <t>Системний блок з</t>
        </is>
      </c>
      <c r="B947" s="5" t="n">
        <v>1</v>
      </c>
      <c r="C947" s="5" t="n">
        <v>1</v>
      </c>
      <c r="D947" s="5" t="n">
        <v>1</v>
      </c>
      <c r="E947" s="13" t="n">
        <v>29927</v>
      </c>
      <c r="F947" s="13" t="n">
        <v>29927</v>
      </c>
      <c r="G947" s="13" t="n">
        <v>29927</v>
      </c>
      <c r="H947" t="inlineStr"/>
    </row>
    <row r="948">
      <c r="A948" t="inlineStr">
        <is>
          <t>Комп'ютерне обладнання моноблок</t>
        </is>
      </c>
      <c r="B948" s="5" t="n">
        <v>1</v>
      </c>
      <c r="C948" s="5" t="n">
        <v>1</v>
      </c>
      <c r="D948" s="5" t="n">
        <v>2</v>
      </c>
      <c r="E948" s="13" t="n">
        <v>38500</v>
      </c>
      <c r="F948" s="13" t="n">
        <v>38500</v>
      </c>
      <c r="G948" s="13" t="n">
        <v>38500</v>
      </c>
      <c r="H948" t="inlineStr"/>
    </row>
    <row r="949">
      <c r="A949" t="inlineStr">
        <is>
          <t>Ч б друку</t>
        </is>
      </c>
      <c r="B949" s="5" t="n">
        <v>1</v>
      </c>
      <c r="C949" s="5" t="n">
        <v>1</v>
      </c>
      <c r="D949" s="5" t="n">
        <v>1</v>
      </c>
      <c r="E949" s="13" t="n">
        <v>18000</v>
      </c>
      <c r="F949" s="13" t="n">
        <v>18000</v>
      </c>
      <c r="G949" s="13" t="n">
        <v>18000</v>
      </c>
      <c r="H949" t="inlineStr">
        <is>
          <t>Canon (1)</t>
        </is>
      </c>
    </row>
    <row r="950">
      <c r="A950" t="inlineStr">
        <is>
          <t>Флеш пам’ять</t>
        </is>
      </c>
      <c r="B950" s="5" t="n">
        <v>1</v>
      </c>
      <c r="C950" s="5" t="n">
        <v>1</v>
      </c>
      <c r="D950" s="5" t="n">
        <v>10</v>
      </c>
      <c r="E950" s="13" t="n">
        <v>390</v>
      </c>
      <c r="F950" s="13" t="n">
        <v>390</v>
      </c>
      <c r="G950" s="13" t="n">
        <v>390</v>
      </c>
      <c r="H950" t="inlineStr"/>
    </row>
    <row r="951">
      <c r="A951" t="inlineStr">
        <is>
          <t>Ноутбук асус</t>
        </is>
      </c>
      <c r="B951" s="5" t="n">
        <v>1</v>
      </c>
      <c r="C951" s="5" t="n">
        <v>1</v>
      </c>
      <c r="D951" s="5" t="n">
        <v>1</v>
      </c>
      <c r="E951" s="13" t="n">
        <v>16789</v>
      </c>
      <c r="F951" s="13" t="n">
        <v>16789</v>
      </c>
      <c r="G951" s="13" t="n">
        <v>16789</v>
      </c>
      <c r="H951" t="inlineStr">
        <is>
          <t>ASUS (1)</t>
        </is>
      </c>
    </row>
    <row r="952">
      <c r="A952" t="inlineStr">
        <is>
          <t>Гучномовець</t>
        </is>
      </c>
      <c r="B952" s="5" t="n">
        <v>1</v>
      </c>
      <c r="C952" s="5" t="n">
        <v>1</v>
      </c>
      <c r="D952" s="5" t="n">
        <v>1</v>
      </c>
      <c r="E952" s="13" t="n">
        <v>18762</v>
      </c>
      <c r="F952" s="13" t="n">
        <v>18762</v>
      </c>
      <c r="G952" s="13" t="n">
        <v>18762</v>
      </c>
      <c r="H952" t="inlineStr"/>
    </row>
    <row r="953">
      <c r="A953" t="inlineStr">
        <is>
          <t>3-д принтер</t>
        </is>
      </c>
      <c r="B953" s="5" t="n">
        <v>1</v>
      </c>
      <c r="C953" s="5" t="n">
        <v>1</v>
      </c>
      <c r="D953" s="5" t="n">
        <v>3</v>
      </c>
      <c r="E953" s="13" t="n">
        <v>180000</v>
      </c>
      <c r="F953" s="13" t="n">
        <v>180000</v>
      </c>
      <c r="G953" s="13" t="n">
        <v>180000</v>
      </c>
      <c r="H953" t="inlineStr"/>
    </row>
    <row r="954">
      <c r="A954" t="inlineStr">
        <is>
          <t>Багатофункціональний пристрій бфп</t>
        </is>
      </c>
      <c r="B954" s="5" t="n">
        <v>1</v>
      </c>
      <c r="C954" s="5" t="n">
        <v>1</v>
      </c>
      <c r="D954" s="5" t="n">
        <v>1</v>
      </c>
      <c r="E954" s="13" t="n">
        <v>25060</v>
      </c>
      <c r="F954" s="13" t="n">
        <v>25060</v>
      </c>
      <c r="G954" s="13" t="n">
        <v>25060</v>
      </c>
      <c r="H954" t="inlineStr">
        <is>
          <t>Canon (1)</t>
        </is>
      </c>
    </row>
    <row r="955">
      <c r="A955" t="inlineStr">
        <is>
          <t>Пам ять</t>
        </is>
      </c>
      <c r="B955" s="5" t="n">
        <v>1</v>
      </c>
      <c r="C955" s="5" t="n">
        <v>1</v>
      </c>
      <c r="D955" s="5" t="n">
        <v>1</v>
      </c>
      <c r="E955" s="13" t="n">
        <v>25060</v>
      </c>
      <c r="F955" s="13" t="n">
        <v>25060</v>
      </c>
      <c r="G955" s="13" t="n">
        <v>25060</v>
      </c>
      <c r="H955" t="inlineStr"/>
    </row>
    <row r="956">
      <c r="A956" t="inlineStr">
        <is>
          <t>Процесорний кулер</t>
        </is>
      </c>
      <c r="B956" s="5" t="n">
        <v>1</v>
      </c>
      <c r="C956" s="5" t="n">
        <v>1</v>
      </c>
      <c r="D956" s="5" t="n">
        <v>1</v>
      </c>
      <c r="E956" s="13" t="n">
        <v>25060</v>
      </c>
      <c r="F956" s="13" t="n">
        <v>25060</v>
      </c>
      <c r="G956" s="13" t="n">
        <v>25060</v>
      </c>
      <c r="H956" t="inlineStr">
        <is>
          <t>AMD (1)</t>
        </is>
      </c>
    </row>
    <row r="957">
      <c r="A957" t="inlineStr">
        <is>
          <t>Радіатор</t>
        </is>
      </c>
      <c r="B957" s="5" t="n">
        <v>1</v>
      </c>
      <c r="C957" s="5" t="n">
        <v>1</v>
      </c>
      <c r="D957" s="5" t="n">
        <v>1</v>
      </c>
      <c r="E957" s="13" t="n">
        <v>25060</v>
      </c>
      <c r="F957" s="13" t="n">
        <v>25060</v>
      </c>
      <c r="G957" s="13" t="n">
        <v>25060</v>
      </c>
      <c r="H957" t="inlineStr">
        <is>
          <t>Gembird (1)</t>
        </is>
      </c>
    </row>
    <row r="958">
      <c r="A958" t="inlineStr">
        <is>
          <t>Кулер для корпуса</t>
        </is>
      </c>
      <c r="B958" s="5" t="n">
        <v>1</v>
      </c>
      <c r="C958" s="5" t="n">
        <v>1</v>
      </c>
      <c r="D958" s="5" t="n">
        <v>1</v>
      </c>
      <c r="E958" s="13" t="n">
        <v>25060</v>
      </c>
      <c r="F958" s="13" t="n">
        <v>25060</v>
      </c>
      <c r="G958" s="13" t="n">
        <v>25060</v>
      </c>
      <c r="H958" t="inlineStr">
        <is>
          <t>GAMEMAX (1)</t>
        </is>
      </c>
    </row>
    <row r="959">
      <c r="A959" t="inlineStr">
        <is>
          <t>Системні блоки персональних</t>
        </is>
      </c>
      <c r="B959" s="5" t="n">
        <v>1</v>
      </c>
      <c r="C959" s="5" t="n">
        <v>1</v>
      </c>
      <c r="D959" s="5" t="n">
        <v>2</v>
      </c>
      <c r="E959" s="13" t="n">
        <v>13487</v>
      </c>
      <c r="F959" s="13" t="n">
        <v>13487</v>
      </c>
      <c r="G959" s="13" t="n">
        <v>13487</v>
      </c>
      <c r="H959" t="inlineStr"/>
    </row>
    <row r="960">
      <c r="A960" t="inlineStr">
        <is>
          <t>Бфп багатофункціональний пристрій</t>
        </is>
      </c>
      <c r="B960" s="5" t="n">
        <v>1</v>
      </c>
      <c r="C960" s="5" t="n">
        <v>1</v>
      </c>
      <c r="D960" s="5" t="n">
        <v>2</v>
      </c>
      <c r="E960" s="13" t="n">
        <v>16999</v>
      </c>
      <c r="F960" s="13" t="n">
        <v>16999</v>
      </c>
      <c r="G960" s="13" t="n">
        <v>16999</v>
      </c>
      <c r="H960" t="inlineStr">
        <is>
          <t>Canon (1)</t>
        </is>
      </c>
    </row>
    <row r="961">
      <c r="A961" t="inlineStr">
        <is>
          <t>Аксесуари та приладдя</t>
        </is>
      </c>
      <c r="B961" s="5" t="n">
        <v>1</v>
      </c>
      <c r="C961" s="5" t="n">
        <v>1</v>
      </c>
      <c r="D961" s="5" t="n">
        <v>10</v>
      </c>
      <c r="E961" s="13" t="n">
        <v>500</v>
      </c>
      <c r="F961" s="13" t="n">
        <v>500</v>
      </c>
      <c r="G961" s="13" t="n">
        <v>500</v>
      </c>
      <c r="H961" t="inlineStr"/>
    </row>
    <row r="962">
      <c r="A962" t="inlineStr">
        <is>
          <t>Оригінальна зарядка до</t>
        </is>
      </c>
      <c r="B962" s="5" t="n">
        <v>1</v>
      </c>
      <c r="C962" s="5" t="n">
        <v>1</v>
      </c>
      <c r="D962" s="5" t="n">
        <v>1</v>
      </c>
      <c r="E962" s="13" t="n">
        <v>900</v>
      </c>
      <c r="F962" s="13" t="n">
        <v>900</v>
      </c>
      <c r="G962" s="13" t="n">
        <v>900</v>
      </c>
      <c r="H962" t="inlineStr">
        <is>
          <t>Lenovo (1)</t>
        </is>
      </c>
    </row>
    <row r="963">
      <c r="A963" t="inlineStr">
        <is>
          <t>Конверторp cablexpert 3 dvi-d на vga (30</t>
        </is>
      </c>
      <c r="B963" s="5" t="n">
        <v>1</v>
      </c>
      <c r="C963" s="5" t="n">
        <v>1</v>
      </c>
      <c r="D963" s="5" t="n">
        <v>1</v>
      </c>
      <c r="E963" s="13" t="n">
        <v>1010</v>
      </c>
      <c r="F963" s="13" t="n">
        <v>1010</v>
      </c>
      <c r="G963" s="13" t="n">
        <v>1010</v>
      </c>
      <c r="H963" t="inlineStr">
        <is>
          <t>Cablexpert (1)</t>
        </is>
      </c>
    </row>
    <row r="964">
      <c r="A964" t="inlineStr">
        <is>
          <t>Лазерні принтери</t>
        </is>
      </c>
      <c r="B964" s="5" t="n">
        <v>1</v>
      </c>
      <c r="C964" s="5" t="n">
        <v>1</v>
      </c>
      <c r="D964" s="5" t="n">
        <v>40</v>
      </c>
      <c r="E964" s="13" t="n">
        <v>12000</v>
      </c>
      <c r="F964" s="13" t="n">
        <v>12000</v>
      </c>
      <c r="G964" s="13" t="n">
        <v>12000</v>
      </c>
      <c r="H964" t="inlineStr"/>
    </row>
    <row r="965">
      <c r="A965" t="inlineStr">
        <is>
          <t>Клавіатура з мишкою</t>
        </is>
      </c>
      <c r="B965" s="5" t="n">
        <v>1</v>
      </c>
      <c r="C965" s="5" t="n">
        <v>1</v>
      </c>
      <c r="D965" s="5" t="n">
        <v>1</v>
      </c>
      <c r="E965" s="13" t="n">
        <v>1450</v>
      </c>
      <c r="F965" s="13" t="n">
        <v>1450</v>
      </c>
      <c r="G965" s="13" t="n">
        <v>1450</v>
      </c>
      <c r="H965" t="inlineStr"/>
    </row>
    <row r="966">
      <c r="A966" t="inlineStr">
        <is>
          <t>Сканер протяжний</t>
        </is>
      </c>
      <c r="B966" s="5" t="n">
        <v>1</v>
      </c>
      <c r="C966" s="5" t="n">
        <v>1</v>
      </c>
      <c r="D966" s="5" t="n">
        <v>5</v>
      </c>
      <c r="E966" s="13" t="n">
        <v>23000</v>
      </c>
      <c r="F966" s="13" t="n">
        <v>23000</v>
      </c>
      <c r="G966" s="13" t="n">
        <v>23000</v>
      </c>
      <c r="H966" t="inlineStr"/>
    </row>
    <row r="967">
      <c r="A967" t="inlineStr">
        <is>
          <t>Багатофункціональний пристрій друку</t>
        </is>
      </c>
      <c r="B967" s="5" t="n">
        <v>1</v>
      </c>
      <c r="C967" s="5" t="n">
        <v>1</v>
      </c>
      <c r="D967" s="5" t="n">
        <v>35</v>
      </c>
      <c r="E967" s="13" t="n">
        <v>14000</v>
      </c>
      <c r="F967" s="13" t="n">
        <v>14000</v>
      </c>
      <c r="G967" s="13" t="n">
        <v>14000</v>
      </c>
      <c r="H967" t="inlineStr"/>
    </row>
    <row r="968">
      <c r="A968" t="inlineStr">
        <is>
          <t>Системний блок б</t>
        </is>
      </c>
      <c r="B968" s="5" t="n">
        <v>1</v>
      </c>
      <c r="C968" s="5" t="n">
        <v>1</v>
      </c>
      <c r="D968" s="5" t="n">
        <v>1</v>
      </c>
      <c r="E968" s="13" t="n">
        <v>5060</v>
      </c>
      <c r="F968" s="13" t="n">
        <v>5060</v>
      </c>
      <c r="G968" s="13" t="n">
        <v>5060</v>
      </c>
      <c r="H968" t="inlineStr"/>
    </row>
    <row r="969">
      <c r="A969" t="inlineStr">
        <is>
          <t>Багатафункціональний пристрій</t>
        </is>
      </c>
      <c r="B969" s="5" t="n">
        <v>1</v>
      </c>
      <c r="C969" s="5" t="n">
        <v>1</v>
      </c>
      <c r="D969" s="5" t="n">
        <v>1</v>
      </c>
      <c r="E969" s="13" t="n">
        <v>13099</v>
      </c>
      <c r="F969" s="13" t="n">
        <v>13099</v>
      </c>
      <c r="G969" s="13" t="n">
        <v>13099</v>
      </c>
      <c r="H969" t="inlineStr"/>
    </row>
    <row r="970">
      <c r="A970" t="inlineStr">
        <is>
          <t>Системний блок офісний</t>
        </is>
      </c>
      <c r="B970" s="5" t="n">
        <v>1</v>
      </c>
      <c r="C970" s="5" t="n">
        <v>1</v>
      </c>
      <c r="D970" s="5" t="n">
        <v>1</v>
      </c>
      <c r="E970" s="13" t="n">
        <v>16200</v>
      </c>
      <c r="F970" s="13" t="n">
        <v>16200</v>
      </c>
      <c r="G970" s="13" t="n">
        <v>16200</v>
      </c>
      <c r="H970" t="inlineStr"/>
    </row>
    <row r="971">
      <c r="A971" t="inlineStr">
        <is>
          <t>Флеш-дрвйв</t>
        </is>
      </c>
      <c r="B971" s="5" t="n">
        <v>1</v>
      </c>
      <c r="C971" s="5" t="n">
        <v>1</v>
      </c>
      <c r="D971" s="5" t="n">
        <v>2</v>
      </c>
      <c r="E971" s="13" t="n">
        <v>39500</v>
      </c>
      <c r="F971" s="13" t="n">
        <v>39500</v>
      </c>
      <c r="G971" s="13" t="n">
        <v>39500</v>
      </c>
      <c r="H971" t="inlineStr"/>
    </row>
    <row r="972">
      <c r="A972" t="inlineStr">
        <is>
          <t>Комп'ютер офісний</t>
        </is>
      </c>
      <c r="B972" s="5" t="n">
        <v>1</v>
      </c>
      <c r="C972" s="5" t="n">
        <v>1</v>
      </c>
      <c r="D972" s="5" t="n">
        <v>2</v>
      </c>
      <c r="E972" s="13" t="n">
        <v>32520</v>
      </c>
      <c r="F972" s="13" t="n">
        <v>32520</v>
      </c>
      <c r="G972" s="13" t="n">
        <v>32520</v>
      </c>
      <c r="H972" t="inlineStr">
        <is>
          <t>ASUS (1), Microsoft (1)</t>
        </is>
      </c>
    </row>
    <row r="973">
      <c r="A973" t="inlineStr">
        <is>
          <t>Web-камера canyon</t>
        </is>
      </c>
      <c r="B973" s="5" t="n">
        <v>1</v>
      </c>
      <c r="C973" s="5" t="n">
        <v>1</v>
      </c>
      <c r="D973" s="5" t="n">
        <v>3</v>
      </c>
      <c r="E973" s="13" t="n">
        <v>4808.33</v>
      </c>
      <c r="F973" s="13" t="n">
        <v>4808.33</v>
      </c>
      <c r="G973" s="13" t="n">
        <v>4808.33</v>
      </c>
      <c r="H973" t="inlineStr"/>
    </row>
    <row r="974">
      <c r="A974" t="inlineStr">
        <is>
          <t>Лабораторія</t>
        </is>
      </c>
      <c r="B974" s="5" t="n">
        <v>1</v>
      </c>
      <c r="C974" s="5" t="n">
        <v>1</v>
      </c>
      <c r="D974" s="5" t="n">
        <v>1</v>
      </c>
      <c r="E974" s="13" t="n">
        <v>207900</v>
      </c>
      <c r="F974" s="13" t="n">
        <v>207900</v>
      </c>
      <c r="G974" s="13" t="n">
        <v>207900</v>
      </c>
      <c r="H974" t="inlineStr"/>
    </row>
    <row r="975">
      <c r="A975" t="inlineStr">
        <is>
          <t>Придбано мишку</t>
        </is>
      </c>
      <c r="B975" s="5" t="n">
        <v>1</v>
      </c>
      <c r="C975" s="5" t="n">
        <v>1</v>
      </c>
      <c r="D975" s="5" t="n">
        <v>1</v>
      </c>
      <c r="E975" s="13" t="n">
        <v>550</v>
      </c>
      <c r="F975" s="13" t="n">
        <v>550</v>
      </c>
      <c r="G975" s="13" t="n">
        <v>550</v>
      </c>
      <c r="H975" t="inlineStr">
        <is>
          <t>Logitech (1)</t>
        </is>
      </c>
    </row>
    <row r="976">
      <c r="A976" t="inlineStr">
        <is>
          <t>Плотер струменевий</t>
        </is>
      </c>
      <c r="B976" s="5" t="n">
        <v>1</v>
      </c>
      <c r="C976" s="5" t="n">
        <v>1</v>
      </c>
      <c r="D976" s="5" t="n">
        <v>1</v>
      </c>
      <c r="E976" s="13" t="n">
        <v>78000</v>
      </c>
      <c r="F976" s="13" t="n">
        <v>78000</v>
      </c>
      <c r="G976" s="13" t="n">
        <v>78000</v>
      </c>
      <c r="H976" t="inlineStr"/>
    </row>
    <row r="977">
      <c r="A977" t="inlineStr">
        <is>
          <t>Дата кабель</t>
        </is>
      </c>
      <c r="B977" s="5" t="n">
        <v>1</v>
      </c>
      <c r="C977" s="5" t="n">
        <v>1</v>
      </c>
      <c r="D977" s="5" t="n">
        <v>2</v>
      </c>
      <c r="E977" s="13" t="n">
        <v>135</v>
      </c>
      <c r="F977" s="13" t="n">
        <v>135</v>
      </c>
      <c r="G977" s="13" t="n">
        <v>135</v>
      </c>
      <c r="H977" t="inlineStr"/>
    </row>
    <row r="978">
      <c r="A978" t="inlineStr">
        <is>
          <t>Ssd накопичувач mibrand</t>
        </is>
      </c>
      <c r="B978" s="5" t="n">
        <v>1</v>
      </c>
      <c r="C978" s="5" t="n">
        <v>1</v>
      </c>
      <c r="D978" s="5" t="n">
        <v>1</v>
      </c>
      <c r="E978" s="13" t="n">
        <v>2120</v>
      </c>
      <c r="F978" s="13" t="n">
        <v>2120</v>
      </c>
      <c r="G978" s="13" t="n">
        <v>2120</v>
      </c>
      <c r="H978" t="inlineStr"/>
    </row>
    <row r="979">
      <c r="A979" t="inlineStr">
        <is>
          <t>Багатофункціональні пристрій</t>
        </is>
      </c>
      <c r="B979" s="5" t="n">
        <v>1</v>
      </c>
      <c r="C979" s="5" t="n">
        <v>1</v>
      </c>
      <c r="D979" s="5" t="n">
        <v>1</v>
      </c>
      <c r="E979" s="13" t="n">
        <v>19900</v>
      </c>
      <c r="F979" s="13" t="n">
        <v>19900</v>
      </c>
      <c r="G979" s="13" t="n">
        <v>19900</v>
      </c>
      <c r="H979" t="inlineStr">
        <is>
          <t>Canon (1)</t>
        </is>
      </c>
    </row>
    <row r="980">
      <c r="A980" t="inlineStr">
        <is>
          <t>3d принтер типу k2 plus combo</t>
        </is>
      </c>
      <c r="B980" s="5" t="n">
        <v>1</v>
      </c>
      <c r="C980" s="5" t="n">
        <v>1</v>
      </c>
      <c r="D980" s="5" t="n">
        <v>1</v>
      </c>
      <c r="E980" s="13" t="n">
        <v>100000</v>
      </c>
      <c r="F980" s="13" t="n">
        <v>100000</v>
      </c>
      <c r="G980" s="13" t="n">
        <v>100000</v>
      </c>
      <c r="H980" t="inlineStr"/>
    </row>
    <row r="981">
      <c r="A981" t="inlineStr">
        <is>
          <t>Закупівля ноутбуку</t>
        </is>
      </c>
      <c r="B981" s="5" t="n">
        <v>1</v>
      </c>
      <c r="C981" s="5" t="n">
        <v>1</v>
      </c>
      <c r="D981" s="5" t="n">
        <v>1</v>
      </c>
      <c r="E981" s="13" t="n">
        <v>15000</v>
      </c>
      <c r="F981" s="13" t="n">
        <v>15000</v>
      </c>
      <c r="G981" s="13" t="n">
        <v>15000</v>
      </c>
      <c r="H981" t="inlineStr"/>
    </row>
    <row r="982">
      <c r="A982" t="inlineStr">
        <is>
          <t>Апаратна частина для</t>
        </is>
      </c>
      <c r="B982" s="5" t="n">
        <v>1</v>
      </c>
      <c r="C982" s="5" t="n">
        <v>1</v>
      </c>
      <c r="D982" s="5" t="n">
        <v>1</v>
      </c>
      <c r="E982" s="13" t="n">
        <v>51370</v>
      </c>
      <c r="F982" s="13" t="n">
        <v>51370</v>
      </c>
      <c r="G982" s="13" t="n">
        <v>51370</v>
      </c>
      <c r="H982" t="inlineStr"/>
    </row>
    <row r="983">
      <c r="A983" t="inlineStr">
        <is>
          <t>Процесор материнська плата</t>
        </is>
      </c>
      <c r="B983" s="5" t="n">
        <v>1</v>
      </c>
      <c r="C983" s="5" t="n">
        <v>1</v>
      </c>
      <c r="D983" s="5" t="n">
        <v>6</v>
      </c>
      <c r="E983" s="13" t="n">
        <v>2749.17</v>
      </c>
      <c r="F983" s="13" t="n">
        <v>2749.17</v>
      </c>
      <c r="G983" s="13" t="n">
        <v>2749.17</v>
      </c>
      <c r="H983" t="inlineStr"/>
    </row>
    <row r="984">
      <c r="A984" t="inlineStr">
        <is>
          <t xml:space="preserve">Ssd-накопичувач usb 4tb samsung t7 (шв. </t>
        </is>
      </c>
      <c r="B984" s="5" t="n">
        <v>1</v>
      </c>
      <c r="C984" s="5" t="n">
        <v>1</v>
      </c>
      <c r="D984" s="5" t="n">
        <v>1</v>
      </c>
      <c r="E984" s="13" t="n">
        <v>1373999.91</v>
      </c>
      <c r="F984" s="13" t="n">
        <v>1373999.91</v>
      </c>
      <c r="G984" s="13" t="n">
        <v>1373999.91</v>
      </c>
      <c r="H984" t="inlineStr">
        <is>
          <t>Samsung (1)</t>
        </is>
      </c>
    </row>
    <row r="985">
      <c r="A985" t="inlineStr">
        <is>
          <t>Комп’ютер в комплектації</t>
        </is>
      </c>
      <c r="B985" s="5" t="n">
        <v>1</v>
      </c>
      <c r="C985" s="5" t="n">
        <v>1</v>
      </c>
      <c r="D985" s="5" t="n">
        <v>46</v>
      </c>
      <c r="E985" s="13" t="n">
        <v>32304.35</v>
      </c>
      <c r="F985" s="13" t="n">
        <v>32304.35</v>
      </c>
      <c r="G985" s="13" t="n">
        <v>32304.35</v>
      </c>
      <c r="H985" t="inlineStr"/>
    </row>
    <row r="986">
      <c r="A986" t="inlineStr">
        <is>
          <t>Товар - моноблоки</t>
        </is>
      </c>
      <c r="B986" s="5" t="n">
        <v>1</v>
      </c>
      <c r="C986" s="5" t="n">
        <v>1</v>
      </c>
      <c r="D986" s="5" t="n">
        <v>3</v>
      </c>
      <c r="E986" s="13" t="n">
        <v>33300</v>
      </c>
      <c r="F986" s="13" t="n">
        <v>33300</v>
      </c>
      <c r="G986" s="13" t="n">
        <v>33300</v>
      </c>
      <c r="H986" t="inlineStr"/>
    </row>
    <row r="987">
      <c r="A987" t="inlineStr">
        <is>
          <t>Комп'ютерне обладнання флешнакопичувач</t>
        </is>
      </c>
      <c r="B987" s="5" t="n">
        <v>1</v>
      </c>
      <c r="C987" s="5" t="n">
        <v>1</v>
      </c>
      <c r="D987" s="5" t="n">
        <v>3</v>
      </c>
      <c r="E987" s="13" t="n">
        <v>299</v>
      </c>
      <c r="F987" s="13" t="n">
        <v>299</v>
      </c>
      <c r="G987" s="13" t="n">
        <v>299</v>
      </c>
      <c r="H987" t="inlineStr"/>
    </row>
    <row r="988">
      <c r="A988" t="inlineStr">
        <is>
          <t>Монітори комп'ютерні</t>
        </is>
      </c>
      <c r="B988" s="5" t="n">
        <v>1</v>
      </c>
      <c r="C988" s="5" t="n">
        <v>1</v>
      </c>
      <c r="D988" s="5" t="n">
        <v>2</v>
      </c>
      <c r="E988" s="13" t="n">
        <v>4784.5</v>
      </c>
      <c r="F988" s="13" t="n">
        <v>4784.5</v>
      </c>
      <c r="G988" s="13" t="n">
        <v>4784.5</v>
      </c>
      <c r="H988" t="inlineStr"/>
    </row>
    <row r="989">
      <c r="A989" t="inlineStr">
        <is>
          <t>Usb mouse</t>
        </is>
      </c>
      <c r="B989" s="5" t="n">
        <v>1</v>
      </c>
      <c r="C989" s="5" t="n">
        <v>1</v>
      </c>
      <c r="D989" s="5" t="n">
        <v>1</v>
      </c>
      <c r="E989" s="13" t="n">
        <v>220</v>
      </c>
      <c r="F989" s="13" t="n">
        <v>220</v>
      </c>
      <c r="G989" s="13" t="n">
        <v>220</v>
      </c>
      <c r="H989" t="inlineStr"/>
    </row>
    <row r="990">
      <c r="A990" t="inlineStr">
        <is>
          <t>Мишка.</t>
        </is>
      </c>
      <c r="B990" s="5" t="n">
        <v>1</v>
      </c>
      <c r="C990" s="5" t="n">
        <v>1</v>
      </c>
      <c r="D990" s="5" t="n">
        <v>3</v>
      </c>
      <c r="E990" s="13" t="n">
        <v>1000.33</v>
      </c>
      <c r="F990" s="13" t="n">
        <v>1000.33</v>
      </c>
      <c r="G990" s="13" t="n">
        <v>1000.33</v>
      </c>
      <c r="H990" t="inlineStr"/>
    </row>
    <row r="991">
      <c r="A991" t="inlineStr">
        <is>
          <t>Кабель для</t>
        </is>
      </c>
      <c r="B991" s="5" t="n">
        <v>1</v>
      </c>
      <c r="C991" s="5" t="n">
        <v>1</v>
      </c>
      <c r="D991" s="5" t="n">
        <v>2</v>
      </c>
      <c r="E991" s="13" t="n">
        <v>1500.5</v>
      </c>
      <c r="F991" s="13" t="n">
        <v>1500.5</v>
      </c>
      <c r="G991" s="13" t="n">
        <v>1500.5</v>
      </c>
      <c r="H991" t="inlineStr"/>
    </row>
    <row r="992">
      <c r="A992" t="inlineStr">
        <is>
          <t>Маршрутизатор.</t>
        </is>
      </c>
      <c r="B992" s="5" t="n">
        <v>1</v>
      </c>
      <c r="C992" s="5" t="n">
        <v>1</v>
      </c>
      <c r="D992" s="5" t="n">
        <v>1</v>
      </c>
      <c r="E992" s="13" t="n">
        <v>3001</v>
      </c>
      <c r="F992" s="13" t="n">
        <v>3001</v>
      </c>
      <c r="G992" s="13" t="n">
        <v>3001</v>
      </c>
      <c r="H992" t="inlineStr"/>
    </row>
    <row r="993">
      <c r="A993" t="inlineStr">
        <is>
          <t>Бортовий комп'ютер</t>
        </is>
      </c>
      <c r="B993" s="5" t="n">
        <v>1</v>
      </c>
      <c r="C993" s="5" t="n">
        <v>1</v>
      </c>
      <c r="D993" s="5" t="n">
        <v>1</v>
      </c>
      <c r="E993" s="13" t="n">
        <v>11796</v>
      </c>
      <c r="F993" s="13" t="n">
        <v>11796</v>
      </c>
      <c r="G993" s="13" t="n">
        <v>11796</v>
      </c>
      <c r="H993" t="inlineStr"/>
    </row>
    <row r="994">
      <c r="A994" t="inlineStr">
        <is>
          <t>Комп’ютер системний блок</t>
        </is>
      </c>
      <c r="B994" s="5" t="n">
        <v>1</v>
      </c>
      <c r="C994" s="5" t="n">
        <v>1</v>
      </c>
      <c r="D994" s="5" t="n">
        <v>25</v>
      </c>
      <c r="E994" s="13" t="n">
        <v>16345</v>
      </c>
      <c r="F994" s="13" t="n">
        <v>16345</v>
      </c>
      <c r="G994" s="13" t="n">
        <v>16345</v>
      </c>
      <c r="H994" t="inlineStr"/>
    </row>
    <row r="995">
      <c r="A995" t="inlineStr">
        <is>
          <t>Клавіатура до пк</t>
        </is>
      </c>
      <c r="B995" s="5" t="n">
        <v>1</v>
      </c>
      <c r="C995" s="5" t="n">
        <v>1</v>
      </c>
      <c r="D995" s="5" t="n">
        <v>2</v>
      </c>
      <c r="E995" s="13" t="n">
        <v>380</v>
      </c>
      <c r="F995" s="13" t="n">
        <v>380</v>
      </c>
      <c r="G995" s="13" t="n">
        <v>380</v>
      </c>
      <c r="H995" t="inlineStr"/>
    </row>
    <row r="996">
      <c r="A996" t="inlineStr">
        <is>
          <t>Мишки до пк</t>
        </is>
      </c>
      <c r="B996" s="5" t="n">
        <v>1</v>
      </c>
      <c r="C996" s="5" t="n">
        <v>1</v>
      </c>
      <c r="D996" s="5" t="n">
        <v>2</v>
      </c>
      <c r="E996" s="13" t="n">
        <v>380</v>
      </c>
      <c r="F996" s="13" t="n">
        <v>380</v>
      </c>
      <c r="G996" s="13" t="n">
        <v>380</v>
      </c>
      <c r="H996" t="inlineStr"/>
    </row>
    <row r="997">
      <c r="A997" t="inlineStr">
        <is>
          <t>Комп'ютерна техніка ноутбук</t>
        </is>
      </c>
      <c r="B997" s="5" t="n">
        <v>1</v>
      </c>
      <c r="C997" s="5" t="n">
        <v>1</v>
      </c>
      <c r="D997" s="5" t="n">
        <v>1</v>
      </c>
      <c r="E997" s="13" t="n">
        <v>21843</v>
      </c>
      <c r="F997" s="13" t="n">
        <v>21843</v>
      </c>
      <c r="G997" s="13" t="n">
        <v>21843</v>
      </c>
      <c r="H997" t="inlineStr">
        <is>
          <t>Acer (1)</t>
        </is>
      </c>
    </row>
    <row r="998">
      <c r="A998" t="inlineStr">
        <is>
          <t>Конектор.</t>
        </is>
      </c>
      <c r="B998" s="5" t="n">
        <v>1</v>
      </c>
      <c r="C998" s="5" t="n">
        <v>1</v>
      </c>
      <c r="D998" s="5" t="n">
        <v>1</v>
      </c>
      <c r="E998" s="13" t="n">
        <v>2994</v>
      </c>
      <c r="F998" s="13" t="n">
        <v>2994</v>
      </c>
      <c r="G998" s="13" t="n">
        <v>2994</v>
      </c>
      <c r="H998" t="inlineStr"/>
    </row>
    <row r="999">
      <c r="A999" t="inlineStr">
        <is>
          <t>Ковпачок</t>
        </is>
      </c>
      <c r="B999" s="5" t="n">
        <v>1</v>
      </c>
      <c r="C999" s="5" t="n">
        <v>1</v>
      </c>
      <c r="D999" s="5" t="n">
        <v>1</v>
      </c>
      <c r="E999" s="13" t="n">
        <v>2994</v>
      </c>
      <c r="F999" s="13" t="n">
        <v>2994</v>
      </c>
      <c r="G999" s="13" t="n">
        <v>2994</v>
      </c>
      <c r="H999" t="inlineStr"/>
    </row>
    <row r="1000">
      <c r="A1000" t="inlineStr">
        <is>
          <t>Процесор накопичувач системна</t>
        </is>
      </c>
      <c r="B1000" s="5" t="n">
        <v>1</v>
      </c>
      <c r="C1000" s="5" t="n">
        <v>1</v>
      </c>
      <c r="D1000" s="5" t="n">
        <v>11</v>
      </c>
      <c r="E1000" s="13" t="n">
        <v>9064.809999999999</v>
      </c>
      <c r="F1000" s="13" t="n">
        <v>9064.809999999999</v>
      </c>
      <c r="G1000" s="13" t="n">
        <v>9064.809999999999</v>
      </c>
      <c r="H1000" t="inlineStr"/>
    </row>
    <row r="1001">
      <c r="A1001" t="inlineStr">
        <is>
          <t>Ssd 480gb sataiii 2.5</t>
        </is>
      </c>
      <c r="B1001" s="5" t="n">
        <v>1</v>
      </c>
      <c r="C1001" s="5" t="n">
        <v>1</v>
      </c>
      <c r="D1001" s="5" t="n">
        <v>1</v>
      </c>
      <c r="E1001" s="13" t="n">
        <v>2888</v>
      </c>
      <c r="F1001" s="13" t="n">
        <v>2888</v>
      </c>
      <c r="G1001" s="13" t="n">
        <v>2888</v>
      </c>
      <c r="H1001" t="inlineStr"/>
    </row>
    <row r="1002">
      <c r="A1002" t="inlineStr">
        <is>
          <t>Cd-r</t>
        </is>
      </c>
      <c r="B1002" s="5" t="n">
        <v>1</v>
      </c>
      <c r="C1002" s="5" t="n">
        <v>1</v>
      </c>
      <c r="D1002" s="5" t="n">
        <v>1500</v>
      </c>
      <c r="E1002" s="13" t="n">
        <v>8.73</v>
      </c>
      <c r="F1002" s="13" t="n">
        <v>8.73</v>
      </c>
      <c r="G1002" s="13" t="n">
        <v>8.73</v>
      </c>
      <c r="H1002" t="inlineStr"/>
    </row>
    <row r="1003">
      <c r="A1003" t="inlineStr">
        <is>
          <t>Персональний комп'ютер у</t>
        </is>
      </c>
      <c r="B1003" s="5" t="n">
        <v>1</v>
      </c>
      <c r="C1003" s="5" t="n">
        <v>1</v>
      </c>
      <c r="D1003" s="5" t="n">
        <v>3</v>
      </c>
      <c r="E1003" s="13" t="n">
        <v>16650</v>
      </c>
      <c r="F1003" s="13" t="n">
        <v>16650</v>
      </c>
      <c r="G1003" s="13" t="n">
        <v>16650</v>
      </c>
      <c r="H1003" t="inlineStr">
        <is>
          <t>Intel (1), Vinga (1), Gigabyte (1)</t>
        </is>
      </c>
    </row>
    <row r="1004">
      <c r="A1004" t="inlineStr">
        <is>
          <t>Ноутбука</t>
        </is>
      </c>
      <c r="B1004" s="5" t="n">
        <v>1</v>
      </c>
      <c r="C1004" s="5" t="n">
        <v>1</v>
      </c>
      <c r="D1004" s="5" t="n">
        <v>1</v>
      </c>
      <c r="E1004" s="13" t="n">
        <v>24999</v>
      </c>
      <c r="F1004" s="13" t="n">
        <v>24999</v>
      </c>
      <c r="G1004" s="13" t="n">
        <v>24999</v>
      </c>
      <c r="H1004" t="inlineStr"/>
    </row>
    <row r="1005">
      <c r="A1005" t="inlineStr">
        <is>
          <t>Комп'ютерне обладнання флеш</t>
        </is>
      </c>
      <c r="B1005" s="5" t="n">
        <v>1</v>
      </c>
      <c r="C1005" s="5" t="n">
        <v>1</v>
      </c>
      <c r="D1005" s="5" t="n">
        <v>2</v>
      </c>
      <c r="E1005" s="13" t="n">
        <v>299</v>
      </c>
      <c r="F1005" s="13" t="n">
        <v>299</v>
      </c>
      <c r="G1005" s="13" t="n">
        <v>299</v>
      </c>
      <c r="H1005" t="inlineStr"/>
    </row>
    <row r="1006">
      <c r="A1006" t="inlineStr">
        <is>
          <t>Комп'ютерне обладнання кабель</t>
        </is>
      </c>
      <c r="B1006" s="5" t="n">
        <v>1</v>
      </c>
      <c r="C1006" s="5" t="n">
        <v>1</v>
      </c>
      <c r="D1006" s="5" t="n">
        <v>10</v>
      </c>
      <c r="E1006" s="13" t="n">
        <v>37.9</v>
      </c>
      <c r="F1006" s="13" t="n">
        <v>37.9</v>
      </c>
      <c r="G1006" s="13" t="n">
        <v>37.9</v>
      </c>
      <c r="H1006" t="inlineStr"/>
    </row>
    <row r="1007">
      <c r="A1007" t="inlineStr">
        <is>
          <t>Апаратний ключ безпеки</t>
        </is>
      </c>
      <c r="B1007" s="5" t="n">
        <v>1</v>
      </c>
      <c r="C1007" s="5" t="n">
        <v>1</v>
      </c>
      <c r="D1007" s="5" t="n">
        <v>2</v>
      </c>
      <c r="E1007" s="13" t="n">
        <v>1610</v>
      </c>
      <c r="F1007" s="13" t="n">
        <v>1610</v>
      </c>
      <c r="G1007" s="13" t="n">
        <v>1610</v>
      </c>
      <c r="H1007" t="inlineStr"/>
    </row>
    <row r="1008">
      <c r="A1008" t="inlineStr">
        <is>
          <t>Пристрій</t>
        </is>
      </c>
      <c r="B1008" s="5" t="n">
        <v>1</v>
      </c>
      <c r="C1008" s="5" t="n">
        <v>1</v>
      </c>
      <c r="D1008" s="5" t="n">
        <v>1</v>
      </c>
      <c r="E1008" s="13" t="n">
        <v>18800</v>
      </c>
      <c r="F1008" s="13" t="n">
        <v>18800</v>
      </c>
      <c r="G1008" s="13" t="n">
        <v>18800</v>
      </c>
      <c r="H1008" t="inlineStr">
        <is>
          <t>Canon (1)</t>
        </is>
      </c>
    </row>
    <row r="1009">
      <c r="A1009" t="inlineStr">
        <is>
          <t>Хаб</t>
        </is>
      </c>
      <c r="B1009" s="5" t="n">
        <v>1</v>
      </c>
      <c r="C1009" s="5" t="n">
        <v>1</v>
      </c>
      <c r="D1009" s="5" t="n">
        <v>1</v>
      </c>
      <c r="E1009" s="13" t="n">
        <v>7890</v>
      </c>
      <c r="F1009" s="13" t="n">
        <v>7890</v>
      </c>
      <c r="G1009" s="13" t="n">
        <v>7890</v>
      </c>
      <c r="H1009" t="inlineStr"/>
    </row>
    <row r="1010">
      <c r="A1010" t="inlineStr">
        <is>
          <t>Кабель для принтера</t>
        </is>
      </c>
      <c r="B1010" s="5" t="n">
        <v>1</v>
      </c>
      <c r="C1010" s="5" t="n">
        <v>1</v>
      </c>
      <c r="D1010" s="5" t="n">
        <v>1</v>
      </c>
      <c r="E1010" s="13" t="n">
        <v>7890</v>
      </c>
      <c r="F1010" s="13" t="n">
        <v>7890</v>
      </c>
      <c r="G1010" s="13" t="n">
        <v>7890</v>
      </c>
      <c r="H1010" t="inlineStr"/>
    </row>
    <row r="1011">
      <c r="A1011" t="inlineStr">
        <is>
          <t>Акумулятор</t>
        </is>
      </c>
      <c r="B1011" s="5" t="n">
        <v>1</v>
      </c>
      <c r="C1011" s="5" t="n">
        <v>1</v>
      </c>
      <c r="D1011" s="5" t="n">
        <v>1</v>
      </c>
      <c r="E1011" s="13" t="n">
        <v>7890</v>
      </c>
      <c r="F1011" s="13" t="n">
        <v>7890</v>
      </c>
      <c r="G1011" s="13" t="n">
        <v>7890</v>
      </c>
      <c r="H1011" t="inlineStr"/>
    </row>
    <row r="1012">
      <c r="A1012" t="inlineStr">
        <is>
          <t>Дбж</t>
        </is>
      </c>
      <c r="B1012" s="5" t="n">
        <v>1</v>
      </c>
      <c r="C1012" s="5" t="n">
        <v>1</v>
      </c>
      <c r="D1012" s="5" t="n">
        <v>1</v>
      </c>
      <c r="E1012" s="13" t="n">
        <v>2100</v>
      </c>
      <c r="F1012" s="13" t="n">
        <v>2100</v>
      </c>
      <c r="G1012" s="13" t="n">
        <v>2100</v>
      </c>
      <c r="H1012" t="inlineStr"/>
    </row>
    <row r="1013">
      <c r="A1013" t="inlineStr">
        <is>
          <t>Комп’ютери</t>
        </is>
      </c>
      <c r="B1013" s="5" t="n">
        <v>1</v>
      </c>
      <c r="C1013" s="5" t="n">
        <v>1</v>
      </c>
      <c r="D1013" s="5" t="n">
        <v>3</v>
      </c>
      <c r="E1013" s="13" t="n">
        <v>31383</v>
      </c>
      <c r="F1013" s="13" t="n">
        <v>31383</v>
      </c>
      <c r="G1013" s="13" t="n">
        <v>31383</v>
      </c>
      <c r="H1013" t="inlineStr">
        <is>
          <t>HP (1), Intel (1)</t>
        </is>
      </c>
    </row>
    <row r="1014">
      <c r="A1014" t="inlineStr">
        <is>
          <t>Пристрої флеш-пам'яті</t>
        </is>
      </c>
      <c r="B1014" s="5" t="n">
        <v>1</v>
      </c>
      <c r="C1014" s="5" t="n">
        <v>1</v>
      </c>
      <c r="D1014" s="5" t="n">
        <v>6</v>
      </c>
      <c r="E1014" s="13" t="n">
        <v>307.98</v>
      </c>
      <c r="F1014" s="13" t="n">
        <v>307.98</v>
      </c>
      <c r="G1014" s="13" t="n">
        <v>307.98</v>
      </c>
      <c r="H1014" t="inlineStr"/>
    </row>
    <row r="1015">
      <c r="A1015" t="inlineStr">
        <is>
          <t>Частини аксесуари та</t>
        </is>
      </c>
      <c r="B1015" s="5" t="n">
        <v>1</v>
      </c>
      <c r="C1015" s="5" t="n">
        <v>1</v>
      </c>
      <c r="D1015" s="5" t="n">
        <v>25</v>
      </c>
      <c r="E1015" s="13" t="n">
        <v>224</v>
      </c>
      <c r="F1015" s="13" t="n">
        <v>224</v>
      </c>
      <c r="G1015" s="13" t="n">
        <v>224</v>
      </c>
      <c r="H1015" t="inlineStr"/>
    </row>
    <row r="1016">
      <c r="A1016" t="inlineStr">
        <is>
          <t>Матриця ноутбука</t>
        </is>
      </c>
      <c r="B1016" s="5" t="n">
        <v>1</v>
      </c>
      <c r="C1016" s="5" t="n">
        <v>1</v>
      </c>
      <c r="D1016" s="5" t="n">
        <v>1</v>
      </c>
      <c r="E1016" s="13" t="n">
        <v>2800</v>
      </c>
      <c r="F1016" s="13" t="n">
        <v>2800</v>
      </c>
      <c r="G1016" s="13" t="n">
        <v>2800</v>
      </c>
      <c r="H1016" t="inlineStr">
        <is>
          <t>ASUS (1)</t>
        </is>
      </c>
    </row>
    <row r="1017">
      <c r="A1017" t="inlineStr">
        <is>
          <t>Клавіатура с</t>
        </is>
      </c>
      <c r="B1017" s="5" t="n">
        <v>1</v>
      </c>
      <c r="C1017" s="5" t="n">
        <v>1</v>
      </c>
      <c r="D1017" s="5" t="n">
        <v>1</v>
      </c>
      <c r="E1017" s="13" t="n">
        <v>800</v>
      </c>
      <c r="F1017" s="13" t="n">
        <v>800</v>
      </c>
      <c r="G1017" s="13" t="n">
        <v>800</v>
      </c>
      <c r="H1017" t="inlineStr"/>
    </row>
    <row r="1018">
      <c r="A1018" t="inlineStr">
        <is>
          <t>Відеопроєктор короткофокусний</t>
        </is>
      </c>
      <c r="B1018" s="5" t="n">
        <v>1</v>
      </c>
      <c r="C1018" s="5" t="n">
        <v>1</v>
      </c>
      <c r="D1018" s="5" t="n">
        <v>3</v>
      </c>
      <c r="E1018" s="13" t="n">
        <v>108018.33</v>
      </c>
      <c r="F1018" s="13" t="n">
        <v>108018.33</v>
      </c>
      <c r="G1018" s="13" t="n">
        <v>108018.33</v>
      </c>
      <c r="H1018" t="inlineStr"/>
    </row>
    <row r="1019">
      <c r="A1019" t="inlineStr">
        <is>
          <t>Кріплення для</t>
        </is>
      </c>
      <c r="B1019" s="5" t="n">
        <v>1</v>
      </c>
      <c r="C1019" s="5" t="n">
        <v>1</v>
      </c>
      <c r="D1019" s="5" t="n">
        <v>3</v>
      </c>
      <c r="E1019" s="13" t="n">
        <v>108018.33</v>
      </c>
      <c r="F1019" s="13" t="n">
        <v>108018.33</v>
      </c>
      <c r="G1019" s="13" t="n">
        <v>108018.33</v>
      </c>
      <c r="H1019" t="inlineStr"/>
    </row>
    <row r="1020">
      <c r="A1020" t="inlineStr">
        <is>
          <t>Процесор.</t>
        </is>
      </c>
      <c r="B1020" s="5" t="n">
        <v>1</v>
      </c>
      <c r="C1020" s="5" t="n">
        <v>1</v>
      </c>
      <c r="D1020" s="5" t="n">
        <v>1</v>
      </c>
      <c r="E1020" s="13" t="n">
        <v>324055</v>
      </c>
      <c r="F1020" s="13" t="n">
        <v>324055</v>
      </c>
      <c r="G1020" s="13" t="n">
        <v>324055</v>
      </c>
      <c r="H1020" t="inlineStr"/>
    </row>
    <row r="1021">
      <c r="A1021" t="inlineStr">
        <is>
          <t>Материнська</t>
        </is>
      </c>
      <c r="B1021" s="5" t="n">
        <v>1</v>
      </c>
      <c r="C1021" s="5" t="n">
        <v>1</v>
      </c>
      <c r="D1021" s="5" t="n">
        <v>1</v>
      </c>
      <c r="E1021" s="13" t="n">
        <v>324055</v>
      </c>
      <c r="F1021" s="13" t="n">
        <v>324055</v>
      </c>
      <c r="G1021" s="13" t="n">
        <v>324055</v>
      </c>
      <c r="H1021" t="inlineStr"/>
    </row>
    <row r="1022">
      <c r="A1022" t="inlineStr">
        <is>
          <t>Відеокарта.</t>
        </is>
      </c>
      <c r="B1022" s="5" t="n">
        <v>1</v>
      </c>
      <c r="C1022" s="5" t="n">
        <v>1</v>
      </c>
      <c r="D1022" s="5" t="n">
        <v>1</v>
      </c>
      <c r="E1022" s="13" t="n">
        <v>324055</v>
      </c>
      <c r="F1022" s="13" t="n">
        <v>324055</v>
      </c>
      <c r="G1022" s="13" t="n">
        <v>324055</v>
      </c>
      <c r="H1022" t="inlineStr"/>
    </row>
    <row r="1023">
      <c r="A1023" t="inlineStr">
        <is>
          <t>Оперативна</t>
        </is>
      </c>
      <c r="B1023" s="5" t="n">
        <v>1</v>
      </c>
      <c r="C1023" s="5" t="n">
        <v>1</v>
      </c>
      <c r="D1023" s="5" t="n">
        <v>1</v>
      </c>
      <c r="E1023" s="13" t="n">
        <v>324055</v>
      </c>
      <c r="F1023" s="13" t="n">
        <v>324055</v>
      </c>
      <c r="G1023" s="13" t="n">
        <v>324055</v>
      </c>
      <c r="H1023" t="inlineStr"/>
    </row>
    <row r="1024">
      <c r="A1024" t="inlineStr">
        <is>
          <t>Внутрішній</t>
        </is>
      </c>
      <c r="B1024" s="5" t="n">
        <v>1</v>
      </c>
      <c r="C1024" s="5" t="n">
        <v>1</v>
      </c>
      <c r="D1024" s="5" t="n">
        <v>1</v>
      </c>
      <c r="E1024" s="13" t="n">
        <v>324055</v>
      </c>
      <c r="F1024" s="13" t="n">
        <v>324055</v>
      </c>
      <c r="G1024" s="13" t="n">
        <v>324055</v>
      </c>
      <c r="H1024" t="inlineStr"/>
    </row>
    <row r="1025">
      <c r="A1025" t="inlineStr">
        <is>
          <t>Охолодження</t>
        </is>
      </c>
      <c r="B1025" s="5" t="n">
        <v>1</v>
      </c>
      <c r="C1025" s="5" t="n">
        <v>1</v>
      </c>
      <c r="D1025" s="5" t="n">
        <v>1</v>
      </c>
      <c r="E1025" s="13" t="n">
        <v>324055</v>
      </c>
      <c r="F1025" s="13" t="n">
        <v>324055</v>
      </c>
      <c r="G1025" s="13" t="n">
        <v>324055</v>
      </c>
      <c r="H1025" t="inlineStr"/>
    </row>
    <row r="1026">
      <c r="A1026" t="inlineStr">
        <is>
          <t>Корпус для</t>
        </is>
      </c>
      <c r="B1026" s="5" t="n">
        <v>1</v>
      </c>
      <c r="C1026" s="5" t="n">
        <v>1</v>
      </c>
      <c r="D1026" s="5" t="n">
        <v>1</v>
      </c>
      <c r="E1026" s="13" t="n">
        <v>324055</v>
      </c>
      <c r="F1026" s="13" t="n">
        <v>324055</v>
      </c>
      <c r="G1026" s="13" t="n">
        <v>324055</v>
      </c>
      <c r="H1026" t="inlineStr"/>
    </row>
    <row r="1027">
      <c r="A1027" t="inlineStr">
        <is>
          <t>Багатофункціональний при стрій</t>
        </is>
      </c>
      <c r="B1027" s="5" t="n">
        <v>1</v>
      </c>
      <c r="C1027" s="5" t="n">
        <v>1</v>
      </c>
      <c r="D1027" s="5" t="n">
        <v>1</v>
      </c>
      <c r="E1027" s="13" t="n">
        <v>11790</v>
      </c>
      <c r="F1027" s="13" t="n">
        <v>11790</v>
      </c>
      <c r="G1027" s="13" t="n">
        <v>11790</v>
      </c>
      <c r="H1027" t="inlineStr">
        <is>
          <t>Canon (1)</t>
        </is>
      </c>
    </row>
    <row r="1029">
      <c r="A1029" s="2" t="inlineStr">
        <is>
          <t>Бренди е-каталогу</t>
        </is>
      </c>
    </row>
    <row r="1030">
      <c r="A1030" s="11" t="inlineStr">
        <is>
          <t>Бренд</t>
        </is>
      </c>
      <c r="B1030" s="11" t="inlineStr">
        <is>
          <t>Карток</t>
        </is>
      </c>
      <c r="C1030" s="11" t="inlineStr">
        <is>
          <t>Медіана нижнього квартиля, грн</t>
        </is>
      </c>
      <c r="D1030" s="11" t="inlineStr">
        <is>
          <t>Медіана верхнього квартиля, грн</t>
        </is>
      </c>
      <c r="E1030" s="11" t="inlineStr">
        <is>
          <t>Середньо характеристик</t>
        </is>
      </c>
      <c r="F1030" s="11" t="inlineStr">
        <is>
          <t>Середньо фото</t>
        </is>
      </c>
      <c r="G1030" s="11" t="inlineStr">
        <is>
          <t>Постачальники карток</t>
        </is>
      </c>
    </row>
    <row r="1031">
      <c r="A1031" t="inlineStr">
        <is>
          <t>HP</t>
        </is>
      </c>
      <c r="B1031" s="5" t="n">
        <v>325</v>
      </c>
      <c r="C1031" s="13" t="n">
        <v>22228.5</v>
      </c>
      <c r="D1031" s="13" t="n">
        <v>24071.25</v>
      </c>
      <c r="E1031" s="13" t="n">
        <v>24.6</v>
      </c>
      <c r="F1031" s="5" t="n">
        <v>1</v>
      </c>
      <c r="G1031" t="inlineStr"/>
    </row>
    <row r="1032">
      <c r="A1032" t="inlineStr">
        <is>
          <t>PROLOGIX</t>
        </is>
      </c>
      <c r="B1032" s="5" t="n">
        <v>207</v>
      </c>
      <c r="C1032" s="13" t="n">
        <v>18992</v>
      </c>
      <c r="D1032" s="13" t="n">
        <v>20500</v>
      </c>
      <c r="E1032" s="13" t="n">
        <v>30.5</v>
      </c>
      <c r="F1032" s="5" t="n">
        <v>1</v>
      </c>
      <c r="G1032" t="inlineStr"/>
    </row>
    <row r="1033">
      <c r="A1033" t="inlineStr">
        <is>
          <t>LENOVO</t>
        </is>
      </c>
      <c r="B1033" s="5" t="n">
        <v>188</v>
      </c>
      <c r="C1033" s="13" t="n">
        <v>26125</v>
      </c>
      <c r="D1033" s="13" t="n">
        <v>27875</v>
      </c>
      <c r="E1033" s="13" t="n">
        <v>31.3</v>
      </c>
      <c r="F1033" s="5" t="n">
        <v>1</v>
      </c>
      <c r="G1033" t="inlineStr"/>
    </row>
    <row r="1034">
      <c r="A1034" t="inlineStr">
        <is>
          <t>IMPRESSION</t>
        </is>
      </c>
      <c r="B1034" s="5" t="n">
        <v>158</v>
      </c>
      <c r="C1034" s="13" t="n">
        <v>23191.25</v>
      </c>
      <c r="D1034" s="13" t="n">
        <v>26449</v>
      </c>
      <c r="E1034" s="13" t="n">
        <v>30.5</v>
      </c>
      <c r="F1034" s="5" t="n">
        <v>1</v>
      </c>
      <c r="G1034" t="inlineStr"/>
    </row>
    <row r="1035">
      <c r="A1035" t="inlineStr">
        <is>
          <t>ASUS</t>
        </is>
      </c>
      <c r="B1035" s="5" t="n">
        <v>125</v>
      </c>
      <c r="C1035" s="13" t="n">
        <v>12197.5</v>
      </c>
      <c r="D1035" s="13" t="n">
        <v>12197.5</v>
      </c>
      <c r="E1035" s="13" t="n">
        <v>24.4</v>
      </c>
      <c r="F1035" s="5" t="n">
        <v>1</v>
      </c>
      <c r="G1035" t="inlineStr"/>
    </row>
    <row r="1036">
      <c r="A1036" t="inlineStr">
        <is>
          <t>KINGSTON</t>
        </is>
      </c>
      <c r="B1036" s="5" t="n">
        <v>117</v>
      </c>
      <c r="C1036" s="13" t="n">
        <v>3956.18</v>
      </c>
      <c r="D1036" s="13" t="n">
        <v>3980</v>
      </c>
      <c r="E1036" s="13" t="n">
        <v>8.9</v>
      </c>
      <c r="F1036" s="5" t="n">
        <v>1</v>
      </c>
      <c r="G1036" t="inlineStr"/>
    </row>
    <row r="1037">
      <c r="A1037" t="inlineStr">
        <is>
          <t>2E</t>
        </is>
      </c>
      <c r="B1037" s="5" t="n">
        <v>110</v>
      </c>
      <c r="C1037" s="13" t="n">
        <v>16394.5</v>
      </c>
      <c r="D1037" s="13" t="n">
        <v>17411.5</v>
      </c>
      <c r="E1037" s="13" t="n">
        <v>22.9</v>
      </c>
      <c r="F1037" s="5" t="n">
        <v>1</v>
      </c>
      <c r="G1037" t="inlineStr"/>
    </row>
    <row r="1038">
      <c r="A1038" t="inlineStr">
        <is>
          <t>Creality</t>
        </is>
      </c>
      <c r="B1038" s="5" t="n">
        <v>102</v>
      </c>
      <c r="C1038" s="13" t="n">
        <v>915</v>
      </c>
      <c r="D1038" s="13" t="n">
        <v>915</v>
      </c>
      <c r="E1038" s="13" t="n">
        <v>12.3</v>
      </c>
      <c r="F1038" s="5" t="n">
        <v>1</v>
      </c>
      <c r="G1038" t="inlineStr"/>
    </row>
    <row r="1039">
      <c r="A1039" t="inlineStr">
        <is>
          <t>CANON</t>
        </is>
      </c>
      <c r="B1039" s="5" t="n">
        <v>101</v>
      </c>
      <c r="C1039" s="13" t="n">
        <v>16990</v>
      </c>
      <c r="D1039" s="13" t="n">
        <v>19800</v>
      </c>
      <c r="E1039" s="13" t="n">
        <v>19.6</v>
      </c>
      <c r="F1039" s="5" t="n">
        <v>1</v>
      </c>
      <c r="G1039" t="inlineStr"/>
    </row>
    <row r="1040">
      <c r="A1040" t="inlineStr">
        <is>
          <t>DELL</t>
        </is>
      </c>
      <c r="B1040" s="5" t="n">
        <v>89</v>
      </c>
      <c r="C1040" s="13" t="n">
        <v>13400</v>
      </c>
      <c r="D1040" s="13" t="n">
        <v>14483</v>
      </c>
      <c r="E1040" s="13" t="n">
        <v>26.6</v>
      </c>
      <c r="F1040" s="5" t="n">
        <v>1</v>
      </c>
      <c r="G1040" t="inlineStr"/>
    </row>
    <row r="1041">
      <c r="A1041" t="inlineStr">
        <is>
          <t>SAMSUNG</t>
        </is>
      </c>
      <c r="B1041" s="5" t="n">
        <v>76</v>
      </c>
      <c r="C1041" s="13" t="n">
        <v>12412.5</v>
      </c>
      <c r="D1041" s="13" t="n">
        <v>13625</v>
      </c>
      <c r="E1041" s="13" t="n">
        <v>15.8</v>
      </c>
      <c r="F1041" s="5" t="n">
        <v>1</v>
      </c>
      <c r="G1041" t="inlineStr"/>
    </row>
    <row r="1042">
      <c r="A1042" t="inlineStr">
        <is>
          <t>DIAWEST</t>
        </is>
      </c>
      <c r="B1042" s="5" t="n">
        <v>75</v>
      </c>
      <c r="C1042" s="13" t="n">
        <v>21026.25</v>
      </c>
      <c r="D1042" s="13" t="n">
        <v>22433.75</v>
      </c>
      <c r="E1042" s="13" t="n">
        <v>27.9</v>
      </c>
      <c r="F1042" s="5" t="n">
        <v>1</v>
      </c>
      <c r="G1042" t="inlineStr"/>
    </row>
    <row r="1043">
      <c r="A1043" t="inlineStr">
        <is>
          <t>ARTLINE</t>
        </is>
      </c>
      <c r="B1043" s="5" t="n">
        <v>71</v>
      </c>
      <c r="C1043" s="13" t="n">
        <v>25000</v>
      </c>
      <c r="D1043" s="13" t="n">
        <v>27915</v>
      </c>
      <c r="E1043" s="13" t="n">
        <v>19.7</v>
      </c>
      <c r="F1043" s="5" t="n">
        <v>1</v>
      </c>
      <c r="G1043" t="inlineStr"/>
    </row>
    <row r="1044">
      <c r="A1044" t="inlineStr">
        <is>
          <t>MSI</t>
        </is>
      </c>
      <c r="B1044" s="5" t="n">
        <v>63</v>
      </c>
      <c r="C1044" s="13" t="n">
        <v>6500</v>
      </c>
      <c r="D1044" s="13" t="n">
        <v>7459.15</v>
      </c>
      <c r="E1044" s="13" t="n">
        <v>20.2</v>
      </c>
      <c r="F1044" s="5" t="n">
        <v>1</v>
      </c>
      <c r="G1044" t="inlineStr"/>
    </row>
    <row r="1045">
      <c r="A1045" t="inlineStr">
        <is>
          <t>Lenovo</t>
        </is>
      </c>
      <c r="B1045" s="5" t="n">
        <v>58</v>
      </c>
      <c r="C1045" s="13" t="n"/>
      <c r="D1045" s="13" t="n"/>
      <c r="E1045" s="13" t="n">
        <v>4.7</v>
      </c>
      <c r="F1045" s="5" t="n">
        <v>1</v>
      </c>
      <c r="G1045" t="inlineStr"/>
    </row>
    <row r="1046">
      <c r="A1046" t="inlineStr">
        <is>
          <t>ACER</t>
        </is>
      </c>
      <c r="B1046" s="5" t="n">
        <v>50</v>
      </c>
      <c r="C1046" s="13" t="n">
        <v>22703</v>
      </c>
      <c r="D1046" s="13" t="n">
        <v>23850</v>
      </c>
      <c r="E1046" s="13" t="n">
        <v>31.8</v>
      </c>
      <c r="F1046" s="5" t="n">
        <v>1</v>
      </c>
      <c r="G1046" t="inlineStr"/>
    </row>
    <row r="1047">
      <c r="A1047" t="inlineStr">
        <is>
          <t>LOGITECH</t>
        </is>
      </c>
      <c r="B1047" s="5" t="n">
        <v>49</v>
      </c>
      <c r="C1047" s="13" t="n">
        <v>1202.62</v>
      </c>
      <c r="D1047" s="13" t="n">
        <v>1401.75</v>
      </c>
      <c r="E1047" s="13" t="n">
        <v>10.1</v>
      </c>
      <c r="F1047" s="5" t="n">
        <v>1</v>
      </c>
      <c r="G1047" t="inlineStr"/>
    </row>
    <row r="1048">
      <c r="A1048" t="inlineStr">
        <is>
          <t>A4TECH</t>
        </is>
      </c>
      <c r="B1048" s="5" t="n">
        <v>46</v>
      </c>
      <c r="C1048" s="13" t="n">
        <v>614.88</v>
      </c>
      <c r="D1048" s="13" t="n">
        <v>741</v>
      </c>
      <c r="E1048" s="13" t="n">
        <v>10.1</v>
      </c>
      <c r="F1048" s="5" t="n">
        <v>1</v>
      </c>
      <c r="G1048" t="inlineStr"/>
    </row>
    <row r="1049">
      <c r="A1049" t="inlineStr">
        <is>
          <t>EPSON</t>
        </is>
      </c>
      <c r="B1049" s="5" t="n">
        <v>45</v>
      </c>
      <c r="C1049" s="13" t="n">
        <v>14726.25</v>
      </c>
      <c r="D1049" s="13" t="n">
        <v>15896.9</v>
      </c>
      <c r="E1049" s="13" t="n">
        <v>19.3</v>
      </c>
      <c r="F1049" s="5" t="n">
        <v>1</v>
      </c>
      <c r="G1049" t="inlineStr"/>
    </row>
    <row r="1050">
      <c r="A1050" t="inlineStr">
        <is>
          <t>VERBATIM</t>
        </is>
      </c>
      <c r="B1050" s="5" t="n">
        <v>42</v>
      </c>
      <c r="C1050" s="13" t="n">
        <v>17.2</v>
      </c>
      <c r="D1050" s="13" t="n">
        <v>18.15</v>
      </c>
      <c r="E1050" s="13" t="n">
        <v>6.5</v>
      </c>
      <c r="F1050" s="5" t="n">
        <v>1</v>
      </c>
      <c r="G1050" t="inlineStr"/>
    </row>
    <row r="1051">
      <c r="A1051" t="inlineStr">
        <is>
          <t>не вказано</t>
        </is>
      </c>
      <c r="B1051" s="5" t="n">
        <v>41</v>
      </c>
      <c r="C1051" s="13" t="n">
        <v>2495</v>
      </c>
      <c r="D1051" s="13" t="n">
        <v>2565</v>
      </c>
      <c r="E1051" s="13" t="n">
        <v>7.3</v>
      </c>
      <c r="F1051" s="5" t="n">
        <v>1</v>
      </c>
      <c r="G1051" t="inlineStr"/>
    </row>
    <row r="1052">
      <c r="A1052" t="inlineStr">
        <is>
          <t>Canon</t>
        </is>
      </c>
      <c r="B1052" s="5" t="n">
        <v>41</v>
      </c>
      <c r="C1052" s="13" t="n"/>
      <c r="D1052" s="13" t="n"/>
      <c r="E1052" s="13" t="n">
        <v>8.9</v>
      </c>
      <c r="F1052" s="5" t="n">
        <v>1</v>
      </c>
      <c r="G1052" t="inlineStr"/>
    </row>
    <row r="1053">
      <c r="A1053" t="inlineStr">
        <is>
          <t>WESTERN DIGITAL</t>
        </is>
      </c>
      <c r="B1053" s="5" t="n">
        <v>39</v>
      </c>
      <c r="C1053" s="13" t="n">
        <v>15000</v>
      </c>
      <c r="D1053" s="13" t="n">
        <v>15863</v>
      </c>
      <c r="E1053" s="13" t="n">
        <v>8</v>
      </c>
      <c r="F1053" s="5" t="n">
        <v>1</v>
      </c>
      <c r="G1053" t="inlineStr"/>
    </row>
    <row r="1054">
      <c r="A1054" t="inlineStr">
        <is>
          <t>Dell</t>
        </is>
      </c>
      <c r="B1054" s="5" t="n">
        <v>38</v>
      </c>
      <c r="C1054" s="13" t="n"/>
      <c r="D1054" s="13" t="n"/>
      <c r="E1054" s="13" t="n">
        <v>7.3</v>
      </c>
      <c r="F1054" s="5" t="n">
        <v>1</v>
      </c>
      <c r="G1054" t="inlineStr"/>
    </row>
    <row r="1055">
      <c r="A1055" t="inlineStr">
        <is>
          <t>TRANSCEND</t>
        </is>
      </c>
      <c r="B1055" s="5" t="n">
        <v>36</v>
      </c>
      <c r="C1055" s="13" t="n">
        <v>503</v>
      </c>
      <c r="D1055" s="13" t="n">
        <v>631</v>
      </c>
      <c r="E1055" s="13" t="n">
        <v>7.8</v>
      </c>
      <c r="F1055" s="5" t="n">
        <v>1</v>
      </c>
      <c r="G1055" t="inlineStr"/>
    </row>
    <row r="1056">
      <c r="A1056" t="inlineStr">
        <is>
          <t>AMD</t>
        </is>
      </c>
      <c r="B1056" s="5" t="n">
        <v>34</v>
      </c>
      <c r="C1056" s="13" t="n">
        <v>5733.25</v>
      </c>
      <c r="D1056" s="13" t="n">
        <v>7023.71</v>
      </c>
      <c r="E1056" s="13" t="n">
        <v>12.6</v>
      </c>
      <c r="F1056" s="5" t="n">
        <v>1</v>
      </c>
      <c r="G1056" t="inlineStr"/>
    </row>
    <row r="1057">
      <c r="A1057" t="inlineStr">
        <is>
          <t>APPLE</t>
        </is>
      </c>
      <c r="B1057" s="5" t="n">
        <v>33</v>
      </c>
      <c r="C1057" s="13" t="n">
        <v>62045</v>
      </c>
      <c r="D1057" s="13" t="n">
        <v>64416.5</v>
      </c>
      <c r="E1057" s="13" t="n">
        <v>39.9</v>
      </c>
      <c r="F1057" s="5" t="n">
        <v>1</v>
      </c>
      <c r="G1057" t="inlineStr"/>
    </row>
    <row r="1058">
      <c r="A1058" t="inlineStr">
        <is>
          <t>Huion</t>
        </is>
      </c>
      <c r="B1058" s="5" t="n">
        <v>33</v>
      </c>
      <c r="C1058" s="13" t="n">
        <v>2955</v>
      </c>
      <c r="D1058" s="13" t="n">
        <v>2955</v>
      </c>
      <c r="E1058" s="13" t="n">
        <v>17.4</v>
      </c>
      <c r="F1058" s="5" t="n">
        <v>1</v>
      </c>
      <c r="G1058" t="inlineStr"/>
    </row>
    <row r="1059">
      <c r="A1059" t="inlineStr">
        <is>
          <t>Kingston</t>
        </is>
      </c>
      <c r="B1059" s="5" t="n">
        <v>33</v>
      </c>
      <c r="C1059" s="13" t="n"/>
      <c r="D1059" s="13" t="n"/>
      <c r="E1059" s="13" t="n">
        <v>2.6</v>
      </c>
      <c r="F1059" s="5" t="n">
        <v>1</v>
      </c>
      <c r="G1059" t="inlineStr"/>
    </row>
    <row r="1060">
      <c r="A1060" t="inlineStr">
        <is>
          <t>REAL-EL</t>
        </is>
      </c>
      <c r="B1060" s="5" t="n">
        <v>33</v>
      </c>
      <c r="C1060" s="13" t="n">
        <v>285</v>
      </c>
      <c r="D1060" s="13" t="n">
        <v>300</v>
      </c>
      <c r="E1060" s="13" t="n">
        <v>8.800000000000001</v>
      </c>
      <c r="F1060" s="5" t="n">
        <v>1</v>
      </c>
      <c r="G1060" t="inlineStr"/>
    </row>
    <row r="1061">
      <c r="A1061" t="inlineStr">
        <is>
          <t>-</t>
        </is>
      </c>
      <c r="B1061" s="5" t="n">
        <v>32</v>
      </c>
      <c r="C1061" s="13" t="n"/>
      <c r="D1061" s="13" t="n"/>
      <c r="E1061" s="13" t="n">
        <v>3.8</v>
      </c>
      <c r="F1061" s="5" t="n">
        <v>1</v>
      </c>
      <c r="G1061" t="inlineStr"/>
    </row>
    <row r="1062">
      <c r="A1062" t="inlineStr">
        <is>
          <t>Electrum</t>
        </is>
      </c>
      <c r="B1062" s="5" t="n">
        <v>31</v>
      </c>
      <c r="C1062" s="13" t="n">
        <v>341.5</v>
      </c>
      <c r="D1062" s="13" t="n">
        <v>418.52</v>
      </c>
      <c r="E1062" s="13" t="n">
        <v>8</v>
      </c>
      <c r="F1062" s="5" t="n">
        <v>1</v>
      </c>
      <c r="G1062" t="inlineStr"/>
    </row>
    <row r="1063">
      <c r="A1063" t="inlineStr">
        <is>
          <t>LP</t>
        </is>
      </c>
      <c r="B1063" s="5" t="n">
        <v>30</v>
      </c>
      <c r="C1063" s="13" t="n">
        <v>4925.1</v>
      </c>
      <c r="D1063" s="13" t="n">
        <v>5175</v>
      </c>
      <c r="E1063" s="13" t="n">
        <v>12</v>
      </c>
      <c r="F1063" s="5" t="n">
        <v>1</v>
      </c>
      <c r="G1063" t="inlineStr"/>
    </row>
    <row r="1064">
      <c r="A1064" t="inlineStr">
        <is>
          <t>XEROX</t>
        </is>
      </c>
      <c r="B1064" s="5" t="n">
        <v>30</v>
      </c>
      <c r="C1064" s="13" t="n">
        <v>13345</v>
      </c>
      <c r="D1064" s="13" t="n">
        <v>13900</v>
      </c>
      <c r="E1064" s="13" t="n">
        <v>20.5</v>
      </c>
      <c r="F1064" s="5" t="n">
        <v>1</v>
      </c>
      <c r="G1064" t="inlineStr"/>
    </row>
    <row r="1065">
      <c r="A1065" t="inlineStr">
        <is>
          <t>KSTAR</t>
        </is>
      </c>
      <c r="B1065" s="5" t="n">
        <v>28</v>
      </c>
      <c r="C1065" s="13" t="n">
        <v>16000</v>
      </c>
      <c r="D1065" s="13" t="n">
        <v>16000</v>
      </c>
      <c r="E1065" s="13" t="n">
        <v>10.4</v>
      </c>
      <c r="F1065" s="5" t="n">
        <v>1</v>
      </c>
      <c r="G1065" t="inlineStr"/>
    </row>
    <row r="1066">
      <c r="A1066" t="inlineStr">
        <is>
          <t>Makel</t>
        </is>
      </c>
      <c r="B1066" s="5" t="n">
        <v>28</v>
      </c>
      <c r="C1066" s="13" t="n">
        <v>490</v>
      </c>
      <c r="D1066" s="13" t="n">
        <v>590</v>
      </c>
      <c r="E1066" s="13" t="n">
        <v>10</v>
      </c>
      <c r="F1066" s="5" t="n">
        <v>1</v>
      </c>
      <c r="G1066" t="inlineStr"/>
    </row>
    <row r="1067">
      <c r="A1067" t="inlineStr">
        <is>
          <t>SEAGATE</t>
        </is>
      </c>
      <c r="B1067" s="5" t="n">
        <v>28</v>
      </c>
      <c r="C1067" s="13" t="n">
        <v>9175</v>
      </c>
      <c r="D1067" s="13" t="n">
        <v>10585.33</v>
      </c>
      <c r="E1067" s="13" t="n">
        <v>7.6</v>
      </c>
      <c r="F1067" s="5" t="n">
        <v>1</v>
      </c>
      <c r="G1067" t="inlineStr"/>
    </row>
    <row r="1068">
      <c r="A1068" t="inlineStr">
        <is>
          <t>eSUN</t>
        </is>
      </c>
      <c r="B1068" s="5" t="n">
        <v>28</v>
      </c>
      <c r="C1068" s="13" t="n"/>
      <c r="D1068" s="13" t="n"/>
      <c r="E1068" s="13" t="n">
        <v>11.1</v>
      </c>
      <c r="F1068" s="5" t="n">
        <v>1</v>
      </c>
      <c r="G1068" t="inlineStr"/>
    </row>
    <row r="1069">
      <c r="A1069" t="inlineStr">
        <is>
          <t>ELEGOO</t>
        </is>
      </c>
      <c r="B1069" s="5" t="n">
        <v>27</v>
      </c>
      <c r="C1069" s="13" t="n">
        <v>1100</v>
      </c>
      <c r="D1069" s="13" t="n">
        <v>1100</v>
      </c>
      <c r="E1069" s="13" t="n">
        <v>14</v>
      </c>
      <c r="F1069" s="5" t="n">
        <v>1</v>
      </c>
      <c r="G1069" t="inlineStr"/>
    </row>
    <row r="1070">
      <c r="A1070" t="inlineStr">
        <is>
          <t>GEMBIRD</t>
        </is>
      </c>
      <c r="B1070" s="5" t="n">
        <v>26</v>
      </c>
      <c r="C1070" s="13" t="n">
        <v>205</v>
      </c>
      <c r="D1070" s="13" t="n">
        <v>218</v>
      </c>
      <c r="E1070" s="13" t="n">
        <v>9.1</v>
      </c>
      <c r="F1070" s="5" t="n">
        <v>1</v>
      </c>
      <c r="G1070" t="inlineStr"/>
    </row>
    <row r="1071">
      <c r="A1071" t="inlineStr">
        <is>
          <t>PATRON</t>
        </is>
      </c>
      <c r="B1071" s="5" t="n">
        <v>26</v>
      </c>
      <c r="C1071" s="13" t="n">
        <v>250</v>
      </c>
      <c r="D1071" s="13" t="n">
        <v>269.38</v>
      </c>
      <c r="E1071" s="13" t="n">
        <v>9.9</v>
      </c>
      <c r="F1071" s="5" t="n">
        <v>1</v>
      </c>
      <c r="G1071" t="inlineStr"/>
    </row>
    <row r="1072">
      <c r="A1072" t="inlineStr">
        <is>
          <t>GOODRAM</t>
        </is>
      </c>
      <c r="B1072" s="5" t="n">
        <v>25</v>
      </c>
      <c r="C1072" s="13" t="n">
        <v>864</v>
      </c>
      <c r="D1072" s="13" t="n">
        <v>1178</v>
      </c>
      <c r="E1072" s="13" t="n">
        <v>9.1</v>
      </c>
      <c r="F1072" s="5" t="n">
        <v>1</v>
      </c>
      <c r="G1072" t="inlineStr"/>
    </row>
    <row r="1073">
      <c r="A1073" t="inlineStr">
        <is>
          <t>PATRIOT</t>
        </is>
      </c>
      <c r="B1073" s="5" t="n">
        <v>25</v>
      </c>
      <c r="C1073" s="13" t="n">
        <v>2662</v>
      </c>
      <c r="D1073" s="13" t="n">
        <v>2662</v>
      </c>
      <c r="E1073" s="13" t="n">
        <v>9.699999999999999</v>
      </c>
      <c r="F1073" s="5" t="n">
        <v>1</v>
      </c>
      <c r="G1073" t="inlineStr"/>
    </row>
    <row r="1074">
      <c r="A1074" t="inlineStr">
        <is>
          <t>Verbatim</t>
        </is>
      </c>
      <c r="B1074" s="5" t="n">
        <v>25</v>
      </c>
      <c r="C1074" s="13" t="n"/>
      <c r="D1074" s="13" t="n"/>
      <c r="E1074" s="13" t="n">
        <v>4</v>
      </c>
      <c r="F1074" s="5" t="n">
        <v>1</v>
      </c>
      <c r="G1074" t="inlineStr"/>
    </row>
    <row r="1075">
      <c r="A1075" t="inlineStr">
        <is>
          <t>NJOY</t>
        </is>
      </c>
      <c r="B1075" s="5" t="n">
        <v>24</v>
      </c>
      <c r="C1075" s="13" t="n">
        <v>4615</v>
      </c>
      <c r="D1075" s="13" t="n">
        <v>6134.32</v>
      </c>
      <c r="E1075" s="13" t="n">
        <v>12</v>
      </c>
      <c r="F1075" s="5" t="n">
        <v>1</v>
      </c>
      <c r="G1075" t="inlineStr"/>
    </row>
    <row r="1076">
      <c r="A1076" t="inlineStr">
        <is>
          <t>ENERGENIE</t>
        </is>
      </c>
      <c r="B1076" s="5" t="n">
        <v>22</v>
      </c>
      <c r="C1076" s="13" t="n">
        <v>4185.82</v>
      </c>
      <c r="D1076" s="13" t="n">
        <v>4571.32</v>
      </c>
      <c r="E1076" s="13" t="n">
        <v>11</v>
      </c>
      <c r="F1076" s="5" t="n">
        <v>1</v>
      </c>
      <c r="G1076" t="inlineStr"/>
    </row>
    <row r="1077">
      <c r="A1077" t="inlineStr">
        <is>
          <t>KONICA MINOLTA</t>
        </is>
      </c>
      <c r="B1077" s="5" t="n">
        <v>22</v>
      </c>
      <c r="C1077" s="13" t="n">
        <v>64658.55</v>
      </c>
      <c r="D1077" s="13" t="n">
        <v>67294.5</v>
      </c>
      <c r="E1077" s="13" t="n">
        <v>20.3</v>
      </c>
      <c r="F1077" s="5" t="n">
        <v>1</v>
      </c>
      <c r="G1077" t="inlineStr"/>
    </row>
    <row r="1078">
      <c r="A1078" t="inlineStr">
        <is>
          <t>Patron</t>
        </is>
      </c>
      <c r="B1078" s="5" t="n">
        <v>21</v>
      </c>
      <c r="C1078" s="13" t="n">
        <v>95.27</v>
      </c>
      <c r="D1078" s="13" t="n">
        <v>138.5</v>
      </c>
      <c r="E1078" s="13" t="n">
        <v>6</v>
      </c>
      <c r="F1078" s="5" t="n">
        <v>1</v>
      </c>
      <c r="G1078" t="inlineStr"/>
    </row>
    <row r="1079">
      <c r="A1079" t="inlineStr">
        <is>
          <t>APC</t>
        </is>
      </c>
      <c r="B1079" s="5" t="n">
        <v>20</v>
      </c>
      <c r="C1079" s="13" t="n">
        <v>6447.75</v>
      </c>
      <c r="D1079" s="13" t="n">
        <v>7799.95</v>
      </c>
      <c r="E1079" s="13" t="n">
        <v>11.4</v>
      </c>
      <c r="F1079" s="5" t="n">
        <v>1</v>
      </c>
      <c r="G1079" t="inlineStr"/>
    </row>
    <row r="1080">
      <c r="A1080" t="inlineStr">
        <is>
          <t>GEAR</t>
        </is>
      </c>
      <c r="B1080" s="5" t="n">
        <v>20</v>
      </c>
      <c r="C1080" s="13" t="n">
        <v>3150</v>
      </c>
      <c r="D1080" s="13" t="n">
        <v>3480</v>
      </c>
      <c r="E1080" s="13" t="n">
        <v>11.4</v>
      </c>
      <c r="F1080" s="5" t="n">
        <v>1</v>
      </c>
      <c r="G1080" t="inlineStr"/>
    </row>
    <row r="1081">
      <c r="A1081" t="inlineStr">
        <is>
          <t>INTEL</t>
        </is>
      </c>
      <c r="B1081" s="5" t="n">
        <v>20</v>
      </c>
      <c r="C1081" s="13" t="n">
        <v>7291.16</v>
      </c>
      <c r="D1081" s="13" t="n">
        <v>8435</v>
      </c>
      <c r="E1081" s="13" t="n">
        <v>13</v>
      </c>
      <c r="F1081" s="5" t="n">
        <v>1</v>
      </c>
      <c r="G1081" t="inlineStr"/>
    </row>
    <row r="1082">
      <c r="A1082" t="inlineStr">
        <is>
          <t>Logitech</t>
        </is>
      </c>
      <c r="B1082" s="5" t="n">
        <v>20</v>
      </c>
      <c r="C1082" s="13" t="n"/>
      <c r="D1082" s="13" t="n"/>
      <c r="E1082" s="13" t="n">
        <v>2.1</v>
      </c>
      <c r="F1082" s="5" t="n">
        <v>1</v>
      </c>
      <c r="G1082" t="inlineStr"/>
    </row>
    <row r="1083">
      <c r="A1083" t="inlineStr">
        <is>
          <t>PHILIPS</t>
        </is>
      </c>
      <c r="B1083" s="5" t="n">
        <v>20</v>
      </c>
      <c r="C1083" s="13" t="n">
        <v>4124.5</v>
      </c>
      <c r="D1083" s="13" t="n">
        <v>4800</v>
      </c>
      <c r="E1083" s="13" t="n">
        <v>22</v>
      </c>
      <c r="F1083" s="5" t="n">
        <v>1</v>
      </c>
      <c r="G1083" t="inlineStr"/>
    </row>
    <row r="1084">
      <c r="A1084" t="inlineStr">
        <is>
          <t>Samsung</t>
        </is>
      </c>
      <c r="B1084" s="5" t="n">
        <v>20</v>
      </c>
      <c r="C1084" s="13" t="n">
        <v>1526.16</v>
      </c>
      <c r="D1084" s="13" t="n">
        <v>1735.75</v>
      </c>
      <c r="E1084" s="13" t="n">
        <v>4.7</v>
      </c>
      <c r="F1084" s="5" t="n">
        <v>1</v>
      </c>
      <c r="G1084" t="inlineStr"/>
    </row>
    <row r="1085">
      <c r="A1085" t="inlineStr">
        <is>
          <t>UNICORE</t>
        </is>
      </c>
      <c r="B1085" s="5" t="n">
        <v>19</v>
      </c>
      <c r="C1085" s="13" t="n">
        <v>19970</v>
      </c>
      <c r="D1085" s="13" t="n">
        <v>24660</v>
      </c>
      <c r="E1085" s="13" t="n">
        <v>29.7</v>
      </c>
      <c r="F1085" s="5" t="n">
        <v>1</v>
      </c>
      <c r="G1085" t="inlineStr"/>
    </row>
    <row r="1086">
      <c r="A1086" t="inlineStr">
        <is>
          <t>VINGA</t>
        </is>
      </c>
      <c r="B1086" s="5" t="n">
        <v>19</v>
      </c>
      <c r="C1086" s="13" t="n">
        <v>19800</v>
      </c>
      <c r="D1086" s="13" t="n">
        <v>25000</v>
      </c>
      <c r="E1086" s="13" t="n">
        <v>26.1</v>
      </c>
      <c r="F1086" s="5" t="n">
        <v>1</v>
      </c>
      <c r="G1086" t="inlineStr"/>
    </row>
    <row r="1087">
      <c r="A1087" t="inlineStr">
        <is>
          <t>Xerox</t>
        </is>
      </c>
      <c r="B1087" s="5" t="n">
        <v>19</v>
      </c>
      <c r="C1087" s="13" t="n"/>
      <c r="D1087" s="13" t="n"/>
      <c r="E1087" s="13" t="n">
        <v>9.6</v>
      </c>
      <c r="F1087" s="5" t="n">
        <v>1</v>
      </c>
      <c r="G1087" t="inlineStr"/>
    </row>
    <row r="1088">
      <c r="A1088" t="inlineStr">
        <is>
          <t>SANDISK</t>
        </is>
      </c>
      <c r="B1088" s="5" t="n">
        <v>18</v>
      </c>
      <c r="C1088" s="13" t="n">
        <v>990</v>
      </c>
      <c r="D1088" s="13" t="n">
        <v>990</v>
      </c>
      <c r="E1088" s="13" t="n">
        <v>8.300000000000001</v>
      </c>
      <c r="F1088" s="5" t="n">
        <v>1</v>
      </c>
      <c r="G1088" t="inlineStr"/>
    </row>
    <row r="1089">
      <c r="A1089" t="inlineStr">
        <is>
          <t>APC by Schneider Electric</t>
        </is>
      </c>
      <c r="B1089" s="5" t="n">
        <v>17</v>
      </c>
      <c r="C1089" s="13" t="n"/>
      <c r="D1089" s="13" t="n"/>
      <c r="E1089" s="13" t="n">
        <v>6.8</v>
      </c>
      <c r="F1089" s="5" t="n">
        <v>1</v>
      </c>
      <c r="G1089" t="inlineStr"/>
    </row>
    <row r="1090">
      <c r="A1090" t="inlineStr">
        <is>
          <t>Acer</t>
        </is>
      </c>
      <c r="B1090" s="5" t="n">
        <v>17</v>
      </c>
      <c r="C1090" s="13" t="n"/>
      <c r="D1090" s="13" t="n"/>
      <c r="E1090" s="13" t="n">
        <v>7.9</v>
      </c>
      <c r="F1090" s="5" t="n">
        <v>1</v>
      </c>
      <c r="G1090" t="inlineStr"/>
    </row>
    <row r="1091">
      <c r="A1091" t="inlineStr">
        <is>
          <t>Epson</t>
        </is>
      </c>
      <c r="B1091" s="5" t="n">
        <v>17</v>
      </c>
      <c r="C1091" s="13" t="n"/>
      <c r="D1091" s="13" t="n"/>
      <c r="E1091" s="13" t="n">
        <v>6.8</v>
      </c>
      <c r="F1091" s="5" t="n">
        <v>1</v>
      </c>
      <c r="G1091" t="inlineStr"/>
    </row>
    <row r="1092">
      <c r="A1092" t="inlineStr">
        <is>
          <t>KYOCERA</t>
        </is>
      </c>
      <c r="B1092" s="5" t="n">
        <v>17</v>
      </c>
      <c r="C1092" s="13" t="n">
        <v>21752.5</v>
      </c>
      <c r="D1092" s="13" t="n">
        <v>24037</v>
      </c>
      <c r="E1092" s="13" t="n">
        <v>19.8</v>
      </c>
      <c r="F1092" s="5" t="n">
        <v>1</v>
      </c>
      <c r="G1092" t="inlineStr"/>
    </row>
    <row r="1093">
      <c r="A1093" t="inlineStr">
        <is>
          <t>Parblo</t>
        </is>
      </c>
      <c r="B1093" s="5" t="n">
        <v>16</v>
      </c>
      <c r="C1093" s="13" t="n"/>
      <c r="D1093" s="13" t="n"/>
      <c r="E1093" s="13" t="n">
        <v>16</v>
      </c>
      <c r="F1093" s="5" t="n">
        <v>1</v>
      </c>
      <c r="G1093" t="inlineStr"/>
    </row>
    <row r="1094">
      <c r="A1094" t="inlineStr">
        <is>
          <t>Asus</t>
        </is>
      </c>
      <c r="B1094" s="5" t="n">
        <v>15</v>
      </c>
      <c r="C1094" s="13" t="n"/>
      <c r="D1094" s="13" t="n"/>
      <c r="E1094" s="13" t="n">
        <v>7</v>
      </c>
      <c r="F1094" s="5" t="n">
        <v>1</v>
      </c>
      <c r="G1094" t="inlineStr"/>
    </row>
    <row r="1095">
      <c r="A1095" t="inlineStr">
        <is>
          <t>POWERWALKER</t>
        </is>
      </c>
      <c r="B1095" s="5" t="n">
        <v>15</v>
      </c>
      <c r="C1095" s="13" t="n">
        <v>17500</v>
      </c>
      <c r="D1095" s="13" t="n">
        <v>18870</v>
      </c>
      <c r="E1095" s="13" t="n">
        <v>12</v>
      </c>
      <c r="F1095" s="5" t="n">
        <v>1</v>
      </c>
      <c r="G1095" t="inlineStr"/>
    </row>
    <row r="1096">
      <c r="A1096" t="inlineStr">
        <is>
          <t>MARSRIVA</t>
        </is>
      </c>
      <c r="B1096" s="5" t="n">
        <v>14</v>
      </c>
      <c r="C1096" s="13" t="n">
        <v>4527.11</v>
      </c>
      <c r="D1096" s="13" t="n">
        <v>4725</v>
      </c>
      <c r="E1096" s="13" t="n">
        <v>12</v>
      </c>
      <c r="F1096" s="5" t="n">
        <v>1</v>
      </c>
      <c r="G1096" t="inlineStr"/>
    </row>
    <row r="1097">
      <c r="A1097" t="inlineStr">
        <is>
          <t>R-LINE</t>
        </is>
      </c>
      <c r="B1097" s="5" t="n">
        <v>14</v>
      </c>
      <c r="C1097" s="13" t="n">
        <v>19042.5</v>
      </c>
      <c r="D1097" s="13" t="n">
        <v>19581.25</v>
      </c>
      <c r="E1097" s="13" t="n">
        <v>27.6</v>
      </c>
      <c r="F1097" s="5" t="n">
        <v>1</v>
      </c>
      <c r="G1097" t="inlineStr"/>
    </row>
    <row r="1098">
      <c r="A1098" t="inlineStr">
        <is>
          <t>Blackview</t>
        </is>
      </c>
      <c r="B1098" s="5" t="n">
        <v>13</v>
      </c>
      <c r="C1098" s="13" t="n">
        <v>9611</v>
      </c>
      <c r="D1098" s="13" t="n">
        <v>11500</v>
      </c>
      <c r="E1098" s="13" t="n">
        <v>17.6</v>
      </c>
      <c r="F1098" s="5" t="n">
        <v>1</v>
      </c>
      <c r="G1098" t="inlineStr"/>
    </row>
    <row r="1099">
      <c r="A1099" t="inlineStr">
        <is>
          <t>MAXXTER</t>
        </is>
      </c>
      <c r="B1099" s="5" t="n">
        <v>13</v>
      </c>
      <c r="C1099" s="13" t="n">
        <v>390</v>
      </c>
      <c r="D1099" s="13" t="n">
        <v>390</v>
      </c>
      <c r="E1099" s="13" t="n">
        <v>8.699999999999999</v>
      </c>
      <c r="F1099" s="5" t="n">
        <v>1</v>
      </c>
      <c r="G1099" t="inlineStr"/>
    </row>
    <row r="1100">
      <c r="A1100" t="inlineStr">
        <is>
          <t>PrimePC</t>
        </is>
      </c>
      <c r="B1100" s="5" t="n">
        <v>13</v>
      </c>
      <c r="C1100" s="13" t="n">
        <v>22316</v>
      </c>
      <c r="D1100" s="13" t="n">
        <v>26716.25</v>
      </c>
      <c r="E1100" s="13" t="n">
        <v>9.9</v>
      </c>
      <c r="F1100" s="5" t="n">
        <v>1</v>
      </c>
      <c r="G1100" t="inlineStr"/>
    </row>
    <row r="1101">
      <c r="A1101" t="inlineStr">
        <is>
          <t>XP-Pen</t>
        </is>
      </c>
      <c r="B1101" s="5" t="n">
        <v>13</v>
      </c>
      <c r="C1101" s="13" t="n">
        <v>3012.5</v>
      </c>
      <c r="D1101" s="13" t="n">
        <v>3047.5</v>
      </c>
      <c r="E1101" s="13" t="n">
        <v>16.9</v>
      </c>
      <c r="F1101" s="5" t="n">
        <v>1</v>
      </c>
      <c r="G1101" t="inlineStr"/>
    </row>
    <row r="1102">
      <c r="A1102" t="inlineStr">
        <is>
          <t>ALERUS</t>
        </is>
      </c>
      <c r="B1102" s="5" t="n">
        <v>12</v>
      </c>
      <c r="C1102" s="13" t="n">
        <v>5.58</v>
      </c>
      <c r="D1102" s="13" t="n">
        <v>7.43</v>
      </c>
      <c r="E1102" s="13" t="n">
        <v>4.8</v>
      </c>
      <c r="F1102" s="5" t="n">
        <v>1</v>
      </c>
      <c r="G1102" t="inlineStr"/>
    </row>
    <row r="1103">
      <c r="A1103" t="inlineStr">
        <is>
          <t>Brother</t>
        </is>
      </c>
      <c r="B1103" s="5" t="n">
        <v>11</v>
      </c>
      <c r="C1103" s="13" t="n"/>
      <c r="D1103" s="13" t="n"/>
      <c r="E1103" s="13" t="n">
        <v>9.1</v>
      </c>
      <c r="F1103" s="5" t="n">
        <v>1</v>
      </c>
      <c r="G1103" t="inlineStr"/>
    </row>
    <row r="1104">
      <c r="A1104" t="inlineStr">
        <is>
          <t>CHIEFTEC</t>
        </is>
      </c>
      <c r="B1104" s="5" t="n">
        <v>11</v>
      </c>
      <c r="C1104" s="13" t="n">
        <v>3455.38</v>
      </c>
      <c r="D1104" s="13" t="n">
        <v>4409.99</v>
      </c>
      <c r="E1104" s="13" t="n">
        <v>12.5</v>
      </c>
      <c r="F1104" s="5" t="n">
        <v>1</v>
      </c>
      <c r="G1104" t="inlineStr"/>
    </row>
    <row r="1105">
      <c r="A1105" t="inlineStr">
        <is>
          <t>GIGABYTE</t>
        </is>
      </c>
      <c r="B1105" s="5" t="n">
        <v>11</v>
      </c>
      <c r="C1105" s="13" t="n">
        <v>5264.5</v>
      </c>
      <c r="D1105" s="13" t="n">
        <v>5445</v>
      </c>
      <c r="E1105" s="13" t="n">
        <v>14.7</v>
      </c>
      <c r="F1105" s="5" t="n">
        <v>1</v>
      </c>
      <c r="G1105" t="inlineStr"/>
    </row>
    <row r="1106">
      <c r="A1106" t="inlineStr">
        <is>
          <t>Huawei</t>
        </is>
      </c>
      <c r="B1106" s="5" t="n">
        <v>11</v>
      </c>
      <c r="C1106" s="13" t="n"/>
      <c r="D1106" s="13" t="n"/>
      <c r="E1106" s="13" t="n">
        <v>1</v>
      </c>
      <c r="F1106" s="5" t="n">
        <v>1</v>
      </c>
      <c r="G1106" t="inlineStr"/>
    </row>
    <row r="1107">
      <c r="A1107" t="inlineStr">
        <is>
          <t>Kyocera</t>
        </is>
      </c>
      <c r="B1107" s="5" t="n">
        <v>11</v>
      </c>
      <c r="C1107" s="13" t="n"/>
      <c r="D1107" s="13" t="n"/>
      <c r="E1107" s="13" t="n">
        <v>10.5</v>
      </c>
      <c r="F1107" s="5" t="n">
        <v>1</v>
      </c>
      <c r="G1107" t="inlineStr"/>
    </row>
    <row r="1108">
      <c r="A1108" t="inlineStr">
        <is>
          <t>BENQ</t>
        </is>
      </c>
      <c r="B1108" s="5" t="n">
        <v>10</v>
      </c>
      <c r="C1108" s="13" t="n">
        <v>3586.5</v>
      </c>
      <c r="D1108" s="13" t="n">
        <v>4140</v>
      </c>
      <c r="E1108" s="13" t="n">
        <v>22.7</v>
      </c>
      <c r="F1108" s="5" t="n">
        <v>1</v>
      </c>
      <c r="G1108" t="inlineStr"/>
    </row>
    <row r="1109">
      <c r="A1109" t="inlineStr">
        <is>
          <t>JABRA</t>
        </is>
      </c>
      <c r="B1109" s="5" t="n">
        <v>10</v>
      </c>
      <c r="C1109" s="13" t="n">
        <v>1893.35</v>
      </c>
      <c r="D1109" s="13" t="n">
        <v>2560</v>
      </c>
      <c r="E1109" s="13" t="n">
        <v>11</v>
      </c>
      <c r="F1109" s="5" t="n">
        <v>1</v>
      </c>
      <c r="G1109" t="inlineStr"/>
    </row>
    <row r="1110">
      <c r="A1110" t="inlineStr">
        <is>
          <t>Microsoft</t>
        </is>
      </c>
      <c r="B1110" s="5" t="n">
        <v>10</v>
      </c>
      <c r="C1110" s="13" t="n"/>
      <c r="D1110" s="13" t="n"/>
      <c r="E1110" s="13" t="n">
        <v>1.8</v>
      </c>
      <c r="F1110" s="5" t="n">
        <v>1</v>
      </c>
      <c r="G1110" t="inlineStr"/>
    </row>
    <row r="1111">
      <c r="A1111" t="inlineStr">
        <is>
          <t>Philips</t>
        </is>
      </c>
      <c r="B1111" s="5" t="n">
        <v>10</v>
      </c>
      <c r="C1111" s="13" t="n"/>
      <c r="D1111" s="13" t="n"/>
      <c r="E1111" s="13" t="n">
        <v>6.5</v>
      </c>
      <c r="F1111" s="5" t="n">
        <v>1</v>
      </c>
      <c r="G1111" t="inlineStr"/>
    </row>
    <row r="1112">
      <c r="A1112" t="inlineStr">
        <is>
          <t>Qbox</t>
        </is>
      </c>
      <c r="B1112" s="5" t="n">
        <v>10</v>
      </c>
      <c r="C1112" s="13" t="n"/>
      <c r="D1112" s="13" t="n"/>
      <c r="E1112" s="13" t="n">
        <v>4</v>
      </c>
      <c r="F1112" s="5" t="n">
        <v>1</v>
      </c>
      <c r="G1112" t="inlineStr"/>
    </row>
    <row r="1113">
      <c r="A1113" t="inlineStr">
        <is>
          <t>Western Digital</t>
        </is>
      </c>
      <c r="B1113" s="5" t="n">
        <v>10</v>
      </c>
      <c r="C1113" s="13" t="n"/>
      <c r="D1113" s="13" t="n"/>
      <c r="E1113" s="13" t="n">
        <v>1</v>
      </c>
      <c r="F1113" s="5" t="n">
        <v>1</v>
      </c>
      <c r="G1113" t="inlineStr"/>
    </row>
    <row r="1114">
      <c r="A1114" t="inlineStr">
        <is>
          <t>A4Tech</t>
        </is>
      </c>
      <c r="B1114" s="5" t="n">
        <v>9</v>
      </c>
      <c r="C1114" s="13" t="n"/>
      <c r="D1114" s="13" t="n"/>
      <c r="E1114" s="13" t="n">
        <v>1</v>
      </c>
      <c r="F1114" s="5" t="n">
        <v>1</v>
      </c>
      <c r="G1114" t="inlineStr"/>
    </row>
    <row r="1115">
      <c r="A1115" t="inlineStr">
        <is>
          <t>Cablexpert</t>
        </is>
      </c>
      <c r="B1115" s="5" t="n">
        <v>9</v>
      </c>
      <c r="C1115" s="13" t="n">
        <v>284.25</v>
      </c>
      <c r="D1115" s="13" t="n">
        <v>583.03</v>
      </c>
      <c r="E1115" s="13" t="n">
        <v>6</v>
      </c>
      <c r="F1115" s="5" t="n">
        <v>1</v>
      </c>
      <c r="G1115" t="inlineStr"/>
    </row>
    <row r="1116">
      <c r="A1116" t="inlineStr">
        <is>
          <t>Konica Minolta</t>
        </is>
      </c>
      <c r="B1116" s="5" t="n">
        <v>9</v>
      </c>
      <c r="C1116" s="13" t="n"/>
      <c r="D1116" s="13" t="n"/>
      <c r="E1116" s="13" t="n">
        <v>10.4</v>
      </c>
      <c r="F1116" s="5" t="n">
        <v>1</v>
      </c>
      <c r="G1116" t="inlineStr"/>
    </row>
    <row r="1117">
      <c r="A1117" t="inlineStr">
        <is>
          <t>SMARTDISK</t>
        </is>
      </c>
      <c r="B1117" s="5" t="n">
        <v>9</v>
      </c>
      <c r="C1117" s="13" t="n">
        <v>7.06</v>
      </c>
      <c r="D1117" s="13" t="n">
        <v>7.06</v>
      </c>
      <c r="E1117" s="13" t="n">
        <v>7</v>
      </c>
      <c r="F1117" s="5" t="n">
        <v>1</v>
      </c>
      <c r="G1117" t="inlineStr"/>
    </row>
    <row r="1118">
      <c r="A1118" t="inlineStr">
        <is>
          <t>SVA</t>
        </is>
      </c>
      <c r="B1118" s="5" t="n">
        <v>9</v>
      </c>
      <c r="C1118" s="13" t="n"/>
      <c r="D1118" s="13" t="n"/>
      <c r="E1118" s="13" t="n">
        <v>4</v>
      </c>
      <c r="F1118" s="5" t="n">
        <v>1</v>
      </c>
      <c r="G1118" t="inlineStr"/>
    </row>
    <row r="1119">
      <c r="A1119" t="inlineStr">
        <is>
          <t>Wacom</t>
        </is>
      </c>
      <c r="B1119" s="5" t="n">
        <v>9</v>
      </c>
      <c r="C1119" s="13" t="n"/>
      <c r="D1119" s="13" t="n"/>
      <c r="E1119" s="13" t="n">
        <v>16.1</v>
      </c>
      <c r="F1119" s="5" t="n">
        <v>1</v>
      </c>
      <c r="G1119" t="inlineStr"/>
    </row>
    <row r="1120">
      <c r="A1120" t="inlineStr">
        <is>
          <t>BROTHER</t>
        </is>
      </c>
      <c r="B1120" s="5" t="n">
        <v>8</v>
      </c>
      <c r="C1120" s="13" t="n">
        <v>9725</v>
      </c>
      <c r="D1120" s="13" t="n">
        <v>11764.5</v>
      </c>
      <c r="E1120" s="13" t="n">
        <v>19.1</v>
      </c>
      <c r="F1120" s="5" t="n">
        <v>1</v>
      </c>
      <c r="G1120" t="inlineStr"/>
    </row>
    <row r="1121">
      <c r="A1121" t="inlineStr">
        <is>
          <t>Bambu Lab</t>
        </is>
      </c>
      <c r="B1121" s="5" t="n">
        <v>8</v>
      </c>
      <c r="C1121" s="13" t="n">
        <v>28500</v>
      </c>
      <c r="D1121" s="13" t="n">
        <v>28500</v>
      </c>
      <c r="E1121" s="13" t="n">
        <v>22.8</v>
      </c>
      <c r="F1121" s="5" t="n">
        <v>1</v>
      </c>
      <c r="G1121" t="inlineStr"/>
    </row>
    <row r="1122">
      <c r="A1122" t="inlineStr">
        <is>
          <t>LG</t>
        </is>
      </c>
      <c r="B1122" s="5" t="n">
        <v>8</v>
      </c>
      <c r="C1122" s="13" t="n">
        <v>5500</v>
      </c>
      <c r="D1122" s="13" t="n">
        <v>9000</v>
      </c>
      <c r="E1122" s="13" t="n">
        <v>19</v>
      </c>
      <c r="F1122" s="5" t="n">
        <v>1</v>
      </c>
      <c r="G1122" t="inlineStr"/>
    </row>
    <row r="1123">
      <c r="A1123" t="inlineStr">
        <is>
          <t>ТОВ «АВТОР»</t>
        </is>
      </c>
      <c r="B1123" s="5" t="n">
        <v>8</v>
      </c>
      <c r="C1123" s="13" t="n"/>
      <c r="D1123" s="13" t="n"/>
      <c r="E1123" s="13" t="n">
        <v>3.5</v>
      </c>
      <c r="F1123" s="5" t="n">
        <v>1</v>
      </c>
      <c r="G1123" t="inlineStr"/>
    </row>
    <row r="1124">
      <c r="A1124" t="inlineStr">
        <is>
          <t>Digitus</t>
        </is>
      </c>
      <c r="B1124" s="5" t="n">
        <v>7</v>
      </c>
      <c r="C1124" s="13" t="n"/>
      <c r="D1124" s="13" t="n"/>
      <c r="E1124" s="13" t="n">
        <v>5.1</v>
      </c>
      <c r="F1124" s="5" t="n">
        <v>1</v>
      </c>
      <c r="G1124" t="inlineStr"/>
    </row>
    <row r="1125">
      <c r="A1125" t="inlineStr">
        <is>
          <t>EATON</t>
        </is>
      </c>
      <c r="B1125" s="5" t="n">
        <v>7</v>
      </c>
      <c r="C1125" s="13" t="n">
        <v>4170</v>
      </c>
      <c r="D1125" s="13" t="n">
        <v>4170</v>
      </c>
      <c r="E1125" s="13" t="n">
        <v>12</v>
      </c>
      <c r="F1125" s="5" t="n">
        <v>1</v>
      </c>
      <c r="G1125" t="inlineStr"/>
    </row>
    <row r="1126">
      <c r="A1126" t="inlineStr">
        <is>
          <t>Genius</t>
        </is>
      </c>
      <c r="B1126" s="5" t="n">
        <v>7</v>
      </c>
      <c r="C1126" s="13" t="n"/>
      <c r="D1126" s="13" t="n"/>
      <c r="E1126" s="13" t="n">
        <v>2.1</v>
      </c>
      <c r="F1126" s="5" t="n">
        <v>1</v>
      </c>
      <c r="G1126" t="inlineStr"/>
    </row>
    <row r="1127">
      <c r="A1127" t="inlineStr">
        <is>
          <t>Maxxter</t>
        </is>
      </c>
      <c r="B1127" s="5" t="n">
        <v>7</v>
      </c>
      <c r="C1127" s="13" t="n">
        <v>56.45</v>
      </c>
      <c r="D1127" s="13" t="n">
        <v>94.25</v>
      </c>
      <c r="E1127" s="13" t="n">
        <v>5</v>
      </c>
      <c r="F1127" s="5" t="n">
        <v>1</v>
      </c>
      <c r="G1127" t="inlineStr"/>
    </row>
    <row r="1128">
      <c r="A1128" t="inlineStr">
        <is>
          <t>TOSHIBA</t>
        </is>
      </c>
      <c r="B1128" s="5" t="n">
        <v>7</v>
      </c>
      <c r="C1128" s="13" t="n">
        <v>6400</v>
      </c>
      <c r="D1128" s="13" t="n">
        <v>6400</v>
      </c>
      <c r="E1128" s="13" t="n">
        <v>8</v>
      </c>
      <c r="F1128" s="5" t="n">
        <v>1</v>
      </c>
      <c r="G1128" t="inlineStr"/>
    </row>
    <row r="1129">
      <c r="A1129" t="inlineStr">
        <is>
          <t>ZEBRA</t>
        </is>
      </c>
      <c r="B1129" s="5" t="n">
        <v>7</v>
      </c>
      <c r="C1129" s="13" t="n">
        <v>3150</v>
      </c>
      <c r="D1129" s="13" t="n">
        <v>3150</v>
      </c>
      <c r="E1129" s="13" t="n">
        <v>8</v>
      </c>
      <c r="F1129" s="5" t="n">
        <v>1</v>
      </c>
      <c r="G1129" t="inlineStr"/>
    </row>
    <row r="1130">
      <c r="A1130" t="inlineStr">
        <is>
          <t>АТ «ІІТ»</t>
        </is>
      </c>
      <c r="B1130" s="5" t="n">
        <v>7</v>
      </c>
      <c r="C1130" s="13" t="n"/>
      <c r="D1130" s="13" t="n"/>
      <c r="E1130" s="13" t="n">
        <v>3.6</v>
      </c>
      <c r="F1130" s="5" t="n">
        <v>1</v>
      </c>
      <c r="G1130" t="inlineStr"/>
    </row>
    <row r="1131">
      <c r="A1131" t="inlineStr">
        <is>
          <t>APACER</t>
        </is>
      </c>
      <c r="B1131" s="5" t="n">
        <v>6</v>
      </c>
      <c r="C1131" s="13" t="n">
        <v>403.5</v>
      </c>
      <c r="D1131" s="13" t="n">
        <v>444.48</v>
      </c>
      <c r="E1131" s="13" t="n">
        <v>8.300000000000001</v>
      </c>
      <c r="F1131" s="5" t="n">
        <v>1</v>
      </c>
      <c r="G1131" t="inlineStr"/>
    </row>
    <row r="1132">
      <c r="A1132" t="inlineStr">
        <is>
          <t>AVISION</t>
        </is>
      </c>
      <c r="B1132" s="5" t="n">
        <v>6</v>
      </c>
      <c r="C1132" s="13" t="n">
        <v>20575</v>
      </c>
      <c r="D1132" s="13" t="n">
        <v>23990</v>
      </c>
      <c r="E1132" s="13" t="n">
        <v>11</v>
      </c>
      <c r="F1132" s="5" t="n">
        <v>1</v>
      </c>
      <c r="G1132" t="inlineStr"/>
    </row>
    <row r="1133">
      <c r="A1133" t="inlineStr">
        <is>
          <t>Anycubic</t>
        </is>
      </c>
      <c r="B1133" s="5" t="n">
        <v>6</v>
      </c>
      <c r="C1133" s="13" t="n"/>
      <c r="D1133" s="13" t="n"/>
      <c r="E1133" s="13" t="n">
        <v>19.7</v>
      </c>
      <c r="F1133" s="5" t="n">
        <v>1</v>
      </c>
      <c r="G1133" t="inlineStr"/>
    </row>
    <row r="1134">
      <c r="A1134" t="inlineStr">
        <is>
          <t>CANYON</t>
        </is>
      </c>
      <c r="B1134" s="5" t="n">
        <v>6</v>
      </c>
      <c r="C1134" s="13" t="n"/>
      <c r="D1134" s="13" t="n"/>
      <c r="E1134" s="13" t="n">
        <v>9</v>
      </c>
      <c r="F1134" s="5" t="n">
        <v>1</v>
      </c>
      <c r="G1134" t="inlineStr"/>
    </row>
    <row r="1135">
      <c r="A1135" t="inlineStr">
        <is>
          <t>COBRA</t>
        </is>
      </c>
      <c r="B1135" s="5" t="n">
        <v>6</v>
      </c>
      <c r="C1135" s="13" t="n"/>
      <c r="D1135" s="13" t="n"/>
      <c r="E1135" s="13" t="n">
        <v>7.3</v>
      </c>
      <c r="F1135" s="5" t="n">
        <v>1</v>
      </c>
      <c r="G1135" t="inlineStr"/>
    </row>
    <row r="1136">
      <c r="A1136" t="inlineStr">
        <is>
          <t>EVROMEDIA</t>
        </is>
      </c>
      <c r="B1136" s="5" t="n">
        <v>6</v>
      </c>
      <c r="C1136" s="13" t="n">
        <v>3447.5</v>
      </c>
      <c r="D1136" s="13" t="n">
        <v>3631</v>
      </c>
      <c r="E1136" s="13" t="n">
        <v>19.8</v>
      </c>
      <c r="F1136" s="5" t="n">
        <v>1</v>
      </c>
      <c r="G1136" t="inlineStr"/>
    </row>
    <row r="1137">
      <c r="A1137" t="inlineStr">
        <is>
          <t>ISE</t>
        </is>
      </c>
      <c r="B1137" s="5" t="n">
        <v>6</v>
      </c>
      <c r="C1137" s="13" t="n"/>
      <c r="D1137" s="13" t="n"/>
      <c r="E1137" s="13" t="n">
        <v>31</v>
      </c>
      <c r="F1137" s="5" t="n">
        <v>1</v>
      </c>
      <c r="G1137" t="inlineStr"/>
    </row>
    <row r="1138">
      <c r="A1138" t="inlineStr">
        <is>
          <t>Impression</t>
        </is>
      </c>
      <c r="B1138" s="5" t="n">
        <v>6</v>
      </c>
      <c r="C1138" s="13" t="n"/>
      <c r="D1138" s="13" t="n"/>
      <c r="E1138" s="13" t="n">
        <v>5.3</v>
      </c>
      <c r="F1138" s="5" t="n">
        <v>1</v>
      </c>
      <c r="G1138" t="inlineStr"/>
    </row>
    <row r="1139">
      <c r="A1139" t="inlineStr">
        <is>
          <t>SIGMA MOBILE</t>
        </is>
      </c>
      <c r="B1139" s="5" t="n">
        <v>6</v>
      </c>
      <c r="C1139" s="13" t="n">
        <v>5717.25</v>
      </c>
      <c r="D1139" s="13" t="n">
        <v>6652.5</v>
      </c>
      <c r="E1139" s="13" t="n">
        <v>18.7</v>
      </c>
      <c r="F1139" s="5" t="n">
        <v>1</v>
      </c>
      <c r="G1139" t="inlineStr"/>
    </row>
    <row r="1140">
      <c r="A1140" t="inlineStr">
        <is>
          <t>TECLAST</t>
        </is>
      </c>
      <c r="B1140" s="5" t="n">
        <v>6</v>
      </c>
      <c r="C1140" s="13" t="n">
        <v>5150.5</v>
      </c>
      <c r="D1140" s="13" t="n">
        <v>7025</v>
      </c>
      <c r="E1140" s="13" t="n">
        <v>18.8</v>
      </c>
      <c r="F1140" s="5" t="n">
        <v>1</v>
      </c>
      <c r="G1140" t="inlineStr"/>
    </row>
    <row r="1141">
      <c r="A1141" t="inlineStr">
        <is>
          <t>Transcend</t>
        </is>
      </c>
      <c r="B1141" s="5" t="n">
        <v>6</v>
      </c>
      <c r="C1141" s="13" t="n"/>
      <c r="D1141" s="13" t="n"/>
      <c r="E1141" s="13" t="n">
        <v>4</v>
      </c>
      <c r="F1141" s="5" t="n">
        <v>1</v>
      </c>
      <c r="G1141" t="inlineStr"/>
    </row>
    <row r="1142">
      <c r="A1142" t="inlineStr">
        <is>
          <t>Chieftec</t>
        </is>
      </c>
      <c r="B1142" s="5" t="n">
        <v>5</v>
      </c>
      <c r="C1142" s="13" t="n">
        <v>163</v>
      </c>
      <c r="D1142" s="13" t="n">
        <v>163</v>
      </c>
      <c r="E1142" s="13" t="n">
        <v>2.6</v>
      </c>
      <c r="F1142" s="5" t="n">
        <v>1</v>
      </c>
      <c r="G1142" t="inlineStr"/>
    </row>
    <row r="1143">
      <c r="A1143" t="inlineStr">
        <is>
          <t>IKOS</t>
        </is>
      </c>
      <c r="B1143" s="5" t="n">
        <v>5</v>
      </c>
      <c r="C1143" s="13" t="n">
        <v>495.75</v>
      </c>
      <c r="D1143" s="13" t="n">
        <v>858</v>
      </c>
      <c r="E1143" s="13" t="n">
        <v>10</v>
      </c>
      <c r="F1143" s="5" t="n">
        <v>1</v>
      </c>
      <c r="G1143" t="inlineStr"/>
    </row>
    <row r="1144">
      <c r="A1144" t="inlineStr">
        <is>
          <t>MYMEDIA</t>
        </is>
      </c>
      <c r="B1144" s="5" t="n">
        <v>5</v>
      </c>
      <c r="C1144" s="13" t="n">
        <v>186.35</v>
      </c>
      <c r="D1144" s="13" t="n">
        <v>349.5</v>
      </c>
      <c r="E1144" s="13" t="n">
        <v>6.6</v>
      </c>
      <c r="F1144" s="5" t="n">
        <v>1</v>
      </c>
      <c r="G1144" t="inlineStr"/>
    </row>
    <row r="1145">
      <c r="A1145" t="inlineStr">
        <is>
          <t>OUKITEL</t>
        </is>
      </c>
      <c r="B1145" s="5" t="n">
        <v>5</v>
      </c>
      <c r="C1145" s="13" t="n">
        <v>15630</v>
      </c>
      <c r="D1145" s="13" t="n">
        <v>16600</v>
      </c>
      <c r="E1145" s="13" t="n">
        <v>19.6</v>
      </c>
      <c r="F1145" s="5" t="n">
        <v>1</v>
      </c>
      <c r="G1145" t="inlineStr"/>
    </row>
    <row r="1146">
      <c r="A1146" t="inlineStr">
        <is>
          <t>Prologix</t>
        </is>
      </c>
      <c r="B1146" s="5" t="n">
        <v>5</v>
      </c>
      <c r="C1146" s="13" t="n"/>
      <c r="D1146" s="13" t="n"/>
      <c r="E1146" s="13" t="n">
        <v>5.6</v>
      </c>
      <c r="F1146" s="5" t="n">
        <v>1</v>
      </c>
      <c r="G1146" t="inlineStr"/>
    </row>
    <row r="1147">
      <c r="A1147" t="inlineStr">
        <is>
          <t>SanDisk</t>
        </is>
      </c>
      <c r="B1147" s="5" t="n">
        <v>5</v>
      </c>
      <c r="C1147" s="13" t="n"/>
      <c r="D1147" s="13" t="n"/>
      <c r="E1147" s="13" t="n">
        <v>4.8</v>
      </c>
      <c r="F1147" s="5" t="n">
        <v>1</v>
      </c>
      <c r="G1147" t="inlineStr"/>
    </row>
    <row r="1148">
      <c r="A1148" t="inlineStr">
        <is>
          <t>Seagate</t>
        </is>
      </c>
      <c r="B1148" s="5" t="n">
        <v>5</v>
      </c>
      <c r="C1148" s="13" t="n"/>
      <c r="D1148" s="13" t="n"/>
      <c r="E1148" s="13" t="n">
        <v>1</v>
      </c>
      <c r="F1148" s="5" t="n">
        <v>1</v>
      </c>
      <c r="G1148" t="inlineStr"/>
    </row>
    <row r="1149">
      <c r="A1149" t="inlineStr">
        <is>
          <t>AOC</t>
        </is>
      </c>
      <c r="B1149" s="5" t="n">
        <v>4</v>
      </c>
      <c r="C1149" s="13" t="n">
        <v>6915</v>
      </c>
      <c r="D1149" s="13" t="n">
        <v>8631.5</v>
      </c>
      <c r="E1149" s="13" t="n">
        <v>19.5</v>
      </c>
      <c r="F1149" s="5" t="n">
        <v>1</v>
      </c>
      <c r="G1149" t="inlineStr"/>
    </row>
    <row r="1150">
      <c r="A1150" t="inlineStr">
        <is>
          <t>ASROCK</t>
        </is>
      </c>
      <c r="B1150" s="5" t="n">
        <v>4</v>
      </c>
      <c r="C1150" s="13" t="n">
        <v>3516.88</v>
      </c>
      <c r="D1150" s="13" t="n">
        <v>3904.25</v>
      </c>
      <c r="E1150" s="13" t="n">
        <v>19</v>
      </c>
      <c r="F1150" s="5" t="n">
        <v>1</v>
      </c>
      <c r="G1150" t="inlineStr"/>
    </row>
    <row r="1151">
      <c r="A1151" t="inlineStr">
        <is>
          <t>AXENT</t>
        </is>
      </c>
      <c r="B1151" s="5" t="n">
        <v>4</v>
      </c>
      <c r="C1151" s="13" t="n">
        <v>615</v>
      </c>
      <c r="D1151" s="13" t="n">
        <v>677.5</v>
      </c>
      <c r="E1151" s="13" t="n">
        <v>7</v>
      </c>
      <c r="F1151" s="5" t="n">
        <v>1</v>
      </c>
      <c r="G1151" t="inlineStr"/>
    </row>
    <row r="1152">
      <c r="A1152" t="inlineStr">
        <is>
          <t>FSP</t>
        </is>
      </c>
      <c r="B1152" s="5" t="n">
        <v>4</v>
      </c>
      <c r="C1152" s="13" t="n">
        <v>6147.5</v>
      </c>
      <c r="D1152" s="13" t="n">
        <v>7140</v>
      </c>
      <c r="E1152" s="13" t="n">
        <v>11</v>
      </c>
      <c r="F1152" s="5" t="n">
        <v>1</v>
      </c>
      <c r="G1152" t="inlineStr"/>
    </row>
    <row r="1153">
      <c r="A1153" t="inlineStr">
        <is>
          <t>Hama</t>
        </is>
      </c>
      <c r="B1153" s="5" t="n">
        <v>4</v>
      </c>
      <c r="C1153" s="13" t="n"/>
      <c r="D1153" s="13" t="n"/>
      <c r="E1153" s="13" t="n">
        <v>5</v>
      </c>
      <c r="F1153" s="5" t="n">
        <v>1</v>
      </c>
      <c r="G1153" t="inlineStr"/>
    </row>
    <row r="1154">
      <c r="A1154" t="inlineStr">
        <is>
          <t>ID-Cooling</t>
        </is>
      </c>
      <c r="B1154" s="5" t="n">
        <v>4</v>
      </c>
      <c r="C1154" s="13" t="n">
        <v>132.5</v>
      </c>
      <c r="D1154" s="13" t="n">
        <v>135</v>
      </c>
      <c r="E1154" s="13" t="n">
        <v>10</v>
      </c>
      <c r="F1154" s="5" t="n">
        <v>1</v>
      </c>
      <c r="G1154" t="inlineStr"/>
    </row>
    <row r="1155">
      <c r="A1155" t="inlineStr">
        <is>
          <t>IIYAMA</t>
        </is>
      </c>
      <c r="B1155" s="5" t="n">
        <v>4</v>
      </c>
      <c r="C1155" s="13" t="n">
        <v>8189.06</v>
      </c>
      <c r="D1155" s="13" t="n">
        <v>8564.139999999999</v>
      </c>
      <c r="E1155" s="13" t="n">
        <v>24.5</v>
      </c>
      <c r="F1155" s="5" t="n">
        <v>1</v>
      </c>
      <c r="G1155" t="inlineStr"/>
    </row>
    <row r="1156">
      <c r="A1156" t="inlineStr">
        <is>
          <t>Oscal</t>
        </is>
      </c>
      <c r="B1156" s="5" t="n">
        <v>4</v>
      </c>
      <c r="C1156" s="13" t="n">
        <v>7111</v>
      </c>
      <c r="D1156" s="13" t="n">
        <v>7111</v>
      </c>
      <c r="E1156" s="13" t="n">
        <v>19.5</v>
      </c>
      <c r="F1156" s="5" t="n">
        <v>1</v>
      </c>
      <c r="G1156" t="inlineStr"/>
    </row>
    <row r="1157">
      <c r="A1157" t="inlineStr">
        <is>
          <t>PANTUM</t>
        </is>
      </c>
      <c r="B1157" s="5" t="n">
        <v>4</v>
      </c>
      <c r="C1157" s="13" t="n">
        <v>5400</v>
      </c>
      <c r="D1157" s="13" t="n">
        <v>7175</v>
      </c>
      <c r="E1157" s="13" t="n">
        <v>21</v>
      </c>
      <c r="F1157" s="5" t="n">
        <v>1</v>
      </c>
      <c r="G1157" t="inlineStr"/>
    </row>
    <row r="1158">
      <c r="A1158" t="inlineStr">
        <is>
          <t>RIM2000</t>
        </is>
      </c>
      <c r="B1158" s="5" t="n">
        <v>4</v>
      </c>
      <c r="C1158" s="13" t="n"/>
      <c r="D1158" s="13" t="n"/>
      <c r="E1158" s="13" t="n">
        <v>19.5</v>
      </c>
      <c r="F1158" s="5" t="n">
        <v>1</v>
      </c>
      <c r="G1158" t="inlineStr"/>
    </row>
    <row r="1159">
      <c r="A1159" t="inlineStr">
        <is>
          <t>TECHNIC-PRO</t>
        </is>
      </c>
      <c r="B1159" s="5" t="n">
        <v>4</v>
      </c>
      <c r="C1159" s="13" t="n">
        <v>17366.56</v>
      </c>
      <c r="D1159" s="13" t="n">
        <v>18390</v>
      </c>
      <c r="E1159" s="13" t="n">
        <v>27.8</v>
      </c>
      <c r="F1159" s="5" t="n">
        <v>1</v>
      </c>
      <c r="G1159" t="inlineStr"/>
    </row>
    <row r="1160">
      <c r="A1160" t="inlineStr">
        <is>
          <t>TECNOWARE</t>
        </is>
      </c>
      <c r="B1160" s="5" t="n">
        <v>4</v>
      </c>
      <c r="C1160" s="13" t="n">
        <v>30580</v>
      </c>
      <c r="D1160" s="13" t="n">
        <v>30580</v>
      </c>
      <c r="E1160" s="13" t="n">
        <v>12</v>
      </c>
      <c r="F1160" s="5" t="n">
        <v>1</v>
      </c>
      <c r="G1160" t="inlineStr"/>
    </row>
    <row r="1161">
      <c r="A1161" t="inlineStr">
        <is>
          <t>ІІТ</t>
        </is>
      </c>
      <c r="B1161" s="5" t="n">
        <v>4</v>
      </c>
      <c r="C1161" s="13" t="n">
        <v>1250</v>
      </c>
      <c r="D1161" s="13" t="n">
        <v>1500</v>
      </c>
      <c r="E1161" s="13" t="n">
        <v>5.2</v>
      </c>
      <c r="F1161" s="5" t="n">
        <v>1</v>
      </c>
      <c r="G1161" t="inlineStr"/>
    </row>
    <row r="1162">
      <c r="A1162" t="inlineStr">
        <is>
          <t>АВТОР</t>
        </is>
      </c>
      <c r="B1162" s="5" t="n">
        <v>4</v>
      </c>
      <c r="C1162" s="13" t="n">
        <v>1320</v>
      </c>
      <c r="D1162" s="13" t="n">
        <v>1320</v>
      </c>
      <c r="E1162" s="13" t="n">
        <v>6</v>
      </c>
      <c r="F1162" s="5" t="n">
        <v>1</v>
      </c>
      <c r="G1162" t="inlineStr"/>
    </row>
    <row r="1163">
      <c r="A1163" t="inlineStr">
        <is>
          <t>AVISTAGROUP</t>
        </is>
      </c>
      <c r="B1163" s="5" t="n">
        <v>3</v>
      </c>
      <c r="C1163" s="13" t="n"/>
      <c r="D1163" s="13" t="n"/>
      <c r="E1163" s="13" t="n">
        <v>4</v>
      </c>
      <c r="F1163" s="5" t="n">
        <v>1</v>
      </c>
      <c r="G1163" t="inlineStr"/>
    </row>
    <row r="1164">
      <c r="A1164" t="inlineStr">
        <is>
          <t>Alcatel</t>
        </is>
      </c>
      <c r="B1164" s="5" t="n">
        <v>3</v>
      </c>
      <c r="C1164" s="13" t="n"/>
      <c r="D1164" s="13" t="n"/>
      <c r="E1164" s="13" t="n">
        <v>1</v>
      </c>
      <c r="F1164" s="5" t="n">
        <v>1</v>
      </c>
      <c r="G1164" t="inlineStr"/>
    </row>
    <row r="1165">
      <c r="A1165" t="inlineStr">
        <is>
          <t>BASEUS</t>
        </is>
      </c>
      <c r="B1165" s="5" t="n">
        <v>3</v>
      </c>
      <c r="C1165" s="13" t="n">
        <v>2650</v>
      </c>
      <c r="D1165" s="13" t="n">
        <v>2650</v>
      </c>
      <c r="E1165" s="13" t="n">
        <v>14</v>
      </c>
      <c r="F1165" s="5" t="n">
        <v>1</v>
      </c>
      <c r="G1165" t="inlineStr"/>
    </row>
    <row r="1166">
      <c r="A1166" t="inlineStr">
        <is>
          <t>BELKIN</t>
        </is>
      </c>
      <c r="B1166" s="5" t="n">
        <v>3</v>
      </c>
      <c r="C1166" s="13" t="n">
        <v>2916</v>
      </c>
      <c r="D1166" s="13" t="n">
        <v>2916</v>
      </c>
      <c r="E1166" s="13" t="n">
        <v>10</v>
      </c>
      <c r="F1166" s="5" t="n">
        <v>1</v>
      </c>
      <c r="G1166" t="inlineStr"/>
    </row>
    <row r="1167">
      <c r="A1167" t="inlineStr">
        <is>
          <t>Belkin</t>
        </is>
      </c>
      <c r="B1167" s="5" t="n">
        <v>3</v>
      </c>
      <c r="C1167" s="13" t="n"/>
      <c r="D1167" s="13" t="n"/>
      <c r="E1167" s="13" t="n">
        <v>4</v>
      </c>
      <c r="F1167" s="5" t="n">
        <v>1</v>
      </c>
      <c r="G1167" t="inlineStr"/>
    </row>
    <row r="1168">
      <c r="A1168" t="inlineStr">
        <is>
          <t>DATALOGIC</t>
        </is>
      </c>
      <c r="B1168" s="5" t="n">
        <v>3</v>
      </c>
      <c r="C1168" s="13" t="n">
        <v>2100</v>
      </c>
      <c r="D1168" s="13" t="n">
        <v>2100</v>
      </c>
      <c r="E1168" s="13" t="n">
        <v>8</v>
      </c>
      <c r="F1168" s="5" t="n">
        <v>1</v>
      </c>
      <c r="G1168" t="inlineStr"/>
    </row>
    <row r="1169">
      <c r="A1169" t="inlineStr">
        <is>
          <t>Eaton</t>
        </is>
      </c>
      <c r="B1169" s="5" t="n">
        <v>3</v>
      </c>
      <c r="C1169" s="13" t="n"/>
      <c r="D1169" s="13" t="n"/>
      <c r="E1169" s="13" t="n">
        <v>8</v>
      </c>
      <c r="F1169" s="5" t="n">
        <v>1</v>
      </c>
      <c r="G1169" t="inlineStr"/>
    </row>
    <row r="1170">
      <c r="A1170" t="inlineStr">
        <is>
          <t>H-L Data Storage</t>
        </is>
      </c>
      <c r="B1170" s="5" t="n">
        <v>3</v>
      </c>
      <c r="C1170" s="13" t="n"/>
      <c r="D1170" s="13" t="n"/>
      <c r="E1170" s="13" t="n">
        <v>3</v>
      </c>
      <c r="F1170" s="5" t="n">
        <v>1</v>
      </c>
      <c r="G1170" t="inlineStr"/>
    </row>
    <row r="1171">
      <c r="A1171" t="inlineStr">
        <is>
          <t>LogicPower</t>
        </is>
      </c>
      <c r="B1171" s="5" t="n">
        <v>3</v>
      </c>
      <c r="C1171" s="13" t="n"/>
      <c r="D1171" s="13" t="n"/>
      <c r="E1171" s="13" t="n">
        <v>6.7</v>
      </c>
      <c r="F1171" s="5" t="n">
        <v>1</v>
      </c>
      <c r="G1171" t="inlineStr"/>
    </row>
    <row r="1172">
      <c r="A1172" t="inlineStr">
        <is>
          <t>Pantum</t>
        </is>
      </c>
      <c r="B1172" s="5" t="n">
        <v>3</v>
      </c>
      <c r="C1172" s="13" t="n"/>
      <c r="D1172" s="13" t="n"/>
      <c r="E1172" s="13" t="n">
        <v>8</v>
      </c>
      <c r="F1172" s="5" t="n">
        <v>1</v>
      </c>
      <c r="G1172" t="inlineStr"/>
    </row>
    <row r="1173">
      <c r="A1173" t="inlineStr">
        <is>
          <t>ROMA PC</t>
        </is>
      </c>
      <c r="B1173" s="5" t="n">
        <v>3</v>
      </c>
      <c r="C1173" s="13" t="n">
        <v>18499</v>
      </c>
      <c r="D1173" s="13" t="n">
        <v>19700</v>
      </c>
      <c r="E1173" s="13" t="n">
        <v>30</v>
      </c>
      <c r="F1173" s="5" t="n">
        <v>1</v>
      </c>
      <c r="G1173" t="inlineStr"/>
    </row>
    <row r="1174">
      <c r="A1174" t="inlineStr">
        <is>
          <t>Zalman</t>
        </is>
      </c>
      <c r="B1174" s="5" t="n">
        <v>3</v>
      </c>
      <c r="C1174" s="13" t="n">
        <v>615</v>
      </c>
      <c r="D1174" s="13" t="n">
        <v>615</v>
      </c>
      <c r="E1174" s="13" t="n">
        <v>10</v>
      </c>
      <c r="F1174" s="5" t="n">
        <v>1</v>
      </c>
      <c r="G1174" t="inlineStr"/>
    </row>
    <row r="1175">
      <c r="A1175" t="inlineStr">
        <is>
          <t>everest</t>
        </is>
      </c>
      <c r="B1175" s="5" t="n">
        <v>3</v>
      </c>
      <c r="C1175" s="13" t="n"/>
      <c r="D1175" s="13" t="n"/>
      <c r="E1175" s="13" t="n">
        <v>4</v>
      </c>
      <c r="F1175" s="5" t="n">
        <v>1</v>
      </c>
      <c r="G1175" t="inlineStr"/>
    </row>
    <row r="1176">
      <c r="A1176" t="inlineStr">
        <is>
          <t>AVer</t>
        </is>
      </c>
      <c r="B1176" s="5" t="n">
        <v>2</v>
      </c>
      <c r="C1176" s="13" t="n"/>
      <c r="D1176" s="13" t="n"/>
      <c r="E1176" s="13" t="n">
        <v>1</v>
      </c>
      <c r="F1176" s="5" t="n">
        <v>1</v>
      </c>
      <c r="G1176" t="inlineStr"/>
    </row>
    <row r="1177">
      <c r="A1177" t="inlineStr">
        <is>
          <t>Arctic</t>
        </is>
      </c>
      <c r="B1177" s="5" t="n">
        <v>2</v>
      </c>
      <c r="C1177" s="13" t="n">
        <v>224</v>
      </c>
      <c r="D1177" s="13" t="n">
        <v>224</v>
      </c>
      <c r="E1177" s="13" t="n">
        <v>8</v>
      </c>
      <c r="F1177" s="5" t="n">
        <v>1</v>
      </c>
      <c r="G1177" t="inlineStr"/>
    </row>
    <row r="1178">
      <c r="A1178" t="inlineStr">
        <is>
          <t>DIAMOND</t>
        </is>
      </c>
      <c r="B1178" s="5" t="n">
        <v>2</v>
      </c>
      <c r="C1178" s="13" t="n">
        <v>894</v>
      </c>
      <c r="D1178" s="13" t="n">
        <v>894</v>
      </c>
      <c r="E1178" s="13" t="n">
        <v>6</v>
      </c>
      <c r="F1178" s="5" t="n">
        <v>1</v>
      </c>
      <c r="G1178" t="inlineStr"/>
    </row>
    <row r="1179">
      <c r="A1179" t="inlineStr">
        <is>
          <t>Dynamode</t>
        </is>
      </c>
      <c r="B1179" s="5" t="n">
        <v>2</v>
      </c>
      <c r="C1179" s="13" t="n">
        <v>503.5</v>
      </c>
      <c r="D1179" s="13" t="n">
        <v>620.17</v>
      </c>
      <c r="E1179" s="13" t="n">
        <v>8.5</v>
      </c>
      <c r="F1179" s="5" t="n">
        <v>1</v>
      </c>
      <c r="G1179" t="inlineStr"/>
    </row>
    <row r="1180">
      <c r="A1180" t="inlineStr">
        <is>
          <t>EPOS</t>
        </is>
      </c>
      <c r="B1180" s="5" t="n">
        <v>2</v>
      </c>
      <c r="C1180" s="13" t="n"/>
      <c r="D1180" s="13" t="n"/>
      <c r="E1180" s="13" t="n">
        <v>11</v>
      </c>
      <c r="F1180" s="5" t="n">
        <v>1</v>
      </c>
      <c r="G1180" t="inlineStr"/>
    </row>
    <row r="1181">
      <c r="A1181" t="inlineStr">
        <is>
          <t>G.SKILL</t>
        </is>
      </c>
      <c r="B1181" s="5" t="n">
        <v>2</v>
      </c>
      <c r="C1181" s="13" t="n">
        <v>7901.88</v>
      </c>
      <c r="D1181" s="13" t="n">
        <v>10359.3</v>
      </c>
      <c r="E1181" s="13" t="n">
        <v>11</v>
      </c>
      <c r="F1181" s="5" t="n">
        <v>1</v>
      </c>
      <c r="G1181" t="inlineStr"/>
    </row>
    <row r="1182">
      <c r="A1182" t="inlineStr">
        <is>
          <t>Gamemax</t>
        </is>
      </c>
      <c r="B1182" s="5" t="n">
        <v>2</v>
      </c>
      <c r="C1182" s="13" t="n"/>
      <c r="D1182" s="13" t="n"/>
      <c r="E1182" s="13" t="n">
        <v>1</v>
      </c>
      <c r="F1182" s="5" t="n">
        <v>1</v>
      </c>
      <c r="G1182" t="inlineStr"/>
    </row>
    <row r="1183">
      <c r="A1183" t="inlineStr">
        <is>
          <t>INTELIGENTES</t>
        </is>
      </c>
      <c r="B1183" s="5" t="n">
        <v>2</v>
      </c>
      <c r="C1183" s="13" t="n">
        <v>1408.75</v>
      </c>
      <c r="D1183" s="13" t="n">
        <v>1591.25</v>
      </c>
      <c r="E1183" s="13" t="n">
        <v>11</v>
      </c>
      <c r="F1183" s="5" t="n">
        <v>1</v>
      </c>
      <c r="G1183" t="inlineStr"/>
    </row>
    <row r="1184">
      <c r="A1184" t="inlineStr">
        <is>
          <t>KREDO</t>
        </is>
      </c>
      <c r="B1184" s="5" t="n">
        <v>2</v>
      </c>
      <c r="C1184" s="13" t="n"/>
      <c r="D1184" s="13" t="n"/>
      <c r="E1184" s="13" t="n">
        <v>4</v>
      </c>
      <c r="F1184" s="5" t="n">
        <v>1</v>
      </c>
      <c r="G1184" t="inlineStr"/>
    </row>
    <row r="1185">
      <c r="A1185" t="inlineStr">
        <is>
          <t>Labotrix</t>
        </is>
      </c>
      <c r="B1185" s="5" t="n">
        <v>2</v>
      </c>
      <c r="C1185" s="13" t="n">
        <v>2137.5</v>
      </c>
      <c r="D1185" s="13" t="n">
        <v>2137.5</v>
      </c>
      <c r="E1185" s="13" t="n">
        <v>19.5</v>
      </c>
      <c r="F1185" s="5" t="n">
        <v>1</v>
      </c>
      <c r="G1185" t="inlineStr"/>
    </row>
    <row r="1186">
      <c r="A1186" t="inlineStr">
        <is>
          <t>OKI</t>
        </is>
      </c>
      <c r="B1186" s="5" t="n">
        <v>2</v>
      </c>
      <c r="C1186" s="13" t="n"/>
      <c r="D1186" s="13" t="n"/>
      <c r="E1186" s="13" t="n">
        <v>5.5</v>
      </c>
      <c r="F1186" s="5" t="n">
        <v>1</v>
      </c>
      <c r="G1186" t="inlineStr"/>
    </row>
    <row r="1187">
      <c r="A1187" t="inlineStr">
        <is>
          <t>POWERCOM</t>
        </is>
      </c>
      <c r="B1187" s="5" t="n">
        <v>2</v>
      </c>
      <c r="C1187" s="13" t="n">
        <v>13820.62</v>
      </c>
      <c r="D1187" s="13" t="n">
        <v>16512.5</v>
      </c>
      <c r="E1187" s="13" t="n">
        <v>12</v>
      </c>
      <c r="F1187" s="5" t="n">
        <v>1</v>
      </c>
      <c r="G1187" t="inlineStr"/>
    </row>
    <row r="1188">
      <c r="A1188" t="inlineStr">
        <is>
          <t>Prusa</t>
        </is>
      </c>
      <c r="B1188" s="5" t="n">
        <v>2</v>
      </c>
      <c r="C1188" s="13" t="n">
        <v>149739.5</v>
      </c>
      <c r="D1188" s="13" t="n">
        <v>157270</v>
      </c>
      <c r="E1188" s="13" t="n">
        <v>22</v>
      </c>
      <c r="F1188" s="5" t="n">
        <v>1</v>
      </c>
      <c r="G1188" t="inlineStr"/>
    </row>
    <row r="1189">
      <c r="A1189" t="inlineStr">
        <is>
          <t>RAZER</t>
        </is>
      </c>
      <c r="B1189" s="5" t="n">
        <v>2</v>
      </c>
      <c r="C1189" s="13" t="n">
        <v>1897.5</v>
      </c>
      <c r="D1189" s="13" t="n">
        <v>2552.25</v>
      </c>
      <c r="E1189" s="13" t="n">
        <v>11</v>
      </c>
      <c r="F1189" s="5" t="n">
        <v>1</v>
      </c>
      <c r="G1189" t="inlineStr"/>
    </row>
    <row r="1190">
      <c r="A1190" t="inlineStr">
        <is>
          <t>RICOH</t>
        </is>
      </c>
      <c r="B1190" s="5" t="n">
        <v>2</v>
      </c>
      <c r="C1190" s="13" t="n">
        <v>40833</v>
      </c>
      <c r="D1190" s="13" t="n">
        <v>40990</v>
      </c>
      <c r="E1190" s="13" t="n">
        <v>19.5</v>
      </c>
      <c r="F1190" s="5" t="n">
        <v>1</v>
      </c>
      <c r="G1190" t="inlineStr"/>
    </row>
    <row r="1191">
      <c r="A1191" t="inlineStr">
        <is>
          <t>UGREEN</t>
        </is>
      </c>
      <c r="B1191" s="5" t="n">
        <v>2</v>
      </c>
      <c r="C1191" s="13" t="n">
        <v>176</v>
      </c>
      <c r="D1191" s="13" t="n">
        <v>176</v>
      </c>
      <c r="E1191" s="13" t="n">
        <v>6</v>
      </c>
      <c r="F1191" s="5" t="n">
        <v>1</v>
      </c>
      <c r="G1191" t="inlineStr"/>
    </row>
    <row r="1192">
      <c r="A1192" t="inlineStr">
        <is>
          <t>Vention</t>
        </is>
      </c>
      <c r="B1192" s="5" t="n">
        <v>2</v>
      </c>
      <c r="C1192" s="13" t="n">
        <v>551.25</v>
      </c>
      <c r="D1192" s="13" t="n">
        <v>747.5</v>
      </c>
      <c r="E1192" s="13" t="n">
        <v>10</v>
      </c>
      <c r="F1192" s="5" t="n">
        <v>1</v>
      </c>
      <c r="G1192" t="inlineStr"/>
    </row>
    <row r="1193">
      <c r="A1193" t="inlineStr">
        <is>
          <t>WIBRAND</t>
        </is>
      </c>
      <c r="B1193" s="5" t="n">
        <v>2</v>
      </c>
      <c r="C1193" s="13" t="n">
        <v>2985.73</v>
      </c>
      <c r="D1193" s="13" t="n">
        <v>3191.23</v>
      </c>
      <c r="E1193" s="13" t="n">
        <v>7</v>
      </c>
      <c r="F1193" s="5" t="n">
        <v>1</v>
      </c>
      <c r="G1193" t="inlineStr"/>
    </row>
    <row r="1194">
      <c r="A1194" t="inlineStr">
        <is>
          <t>Xiaomi</t>
        </is>
      </c>
      <c r="B1194" s="5" t="n">
        <v>2</v>
      </c>
      <c r="C1194" s="13" t="n">
        <v>12131.25</v>
      </c>
      <c r="D1194" s="13" t="n">
        <v>13118.75</v>
      </c>
      <c r="E1194" s="13" t="n">
        <v>19.5</v>
      </c>
      <c r="F1194" s="5" t="n">
        <v>1</v>
      </c>
      <c r="G1194" t="inlineStr"/>
    </row>
    <row r="1195">
      <c r="A1195" t="inlineStr">
        <is>
          <t>АВЕСТ-УКРАЇНА</t>
        </is>
      </c>
      <c r="B1195" s="5" t="n">
        <v>2</v>
      </c>
      <c r="C1195" s="13" t="n">
        <v>750</v>
      </c>
      <c r="D1195" s="13" t="n">
        <v>750</v>
      </c>
      <c r="E1195" s="13" t="n">
        <v>5</v>
      </c>
      <c r="F1195" s="5" t="n">
        <v>1</v>
      </c>
      <c r="G1195" t="inlineStr"/>
    </row>
    <row r="1196">
      <c r="A1196" t="inlineStr">
        <is>
          <t>Авест-Україна</t>
        </is>
      </c>
      <c r="B1196" s="5" t="n">
        <v>2</v>
      </c>
      <c r="C1196" s="13" t="n"/>
      <c r="D1196" s="13" t="n"/>
      <c r="E1196" s="13" t="n">
        <v>3.5</v>
      </c>
      <c r="F1196" s="5" t="n">
        <v>1</v>
      </c>
      <c r="G1196" t="inlineStr"/>
    </row>
    <row r="1197">
      <c r="A1197" t="inlineStr">
        <is>
          <t>СolorWay</t>
        </is>
      </c>
      <c r="B1197" s="5" t="n">
        <v>2</v>
      </c>
      <c r="C1197" s="13" t="n">
        <v>707.5</v>
      </c>
      <c r="D1197" s="13" t="n">
        <v>707.5</v>
      </c>
      <c r="E1197" s="13" t="n">
        <v>6.5</v>
      </c>
      <c r="F1197" s="5" t="n">
        <v>1</v>
      </c>
      <c r="G1197" t="inlineStr"/>
    </row>
    <row r="1198">
      <c r="A1198" t="inlineStr">
        <is>
          <t>MyMedia</t>
        </is>
      </c>
      <c r="B1198" s="5" t="n">
        <v>1</v>
      </c>
      <c r="C1198" s="13" t="n"/>
      <c r="D1198" s="13" t="n"/>
      <c r="E1198" s="13" t="n">
        <v>4</v>
      </c>
      <c r="F1198" s="5" t="n">
        <v>1</v>
      </c>
      <c r="G1198" t="inlineStr"/>
    </row>
    <row r="1199">
      <c r="A1199" t="inlineStr">
        <is>
          <t>3Dplast</t>
        </is>
      </c>
      <c r="B1199" s="5" t="n">
        <v>1</v>
      </c>
      <c r="C1199" s="13" t="n">
        <v>793</v>
      </c>
      <c r="D1199" s="13" t="n">
        <v>793</v>
      </c>
      <c r="E1199" s="13" t="n">
        <v>11</v>
      </c>
      <c r="F1199" s="5" t="n">
        <v>1</v>
      </c>
      <c r="G1199" t="inlineStr"/>
    </row>
    <row r="1200">
      <c r="A1200" t="inlineStr">
        <is>
          <t>ADATA</t>
        </is>
      </c>
      <c r="B1200" s="5" t="n">
        <v>1</v>
      </c>
      <c r="C1200" s="13" t="n">
        <v>11000</v>
      </c>
      <c r="D1200" s="13" t="n">
        <v>12330</v>
      </c>
      <c r="E1200" s="13" t="n">
        <v>7</v>
      </c>
      <c r="F1200" s="5" t="n">
        <v>1</v>
      </c>
      <c r="G1200" t="inlineStr"/>
    </row>
    <row r="1201">
      <c r="A1201" t="inlineStr">
        <is>
          <t>ARMAC</t>
        </is>
      </c>
      <c r="B1201" s="5" t="n">
        <v>1</v>
      </c>
      <c r="C1201" s="13" t="n"/>
      <c r="D1201" s="13" t="n"/>
      <c r="E1201" s="13" t="n">
        <v>8</v>
      </c>
      <c r="F1201" s="5" t="n">
        <v>1</v>
      </c>
      <c r="G1201" t="inlineStr"/>
    </row>
    <row r="1202">
      <c r="A1202" t="inlineStr">
        <is>
          <t>ASGARD</t>
        </is>
      </c>
      <c r="B1202" s="5" t="n">
        <v>1</v>
      </c>
      <c r="C1202" s="13" t="n"/>
      <c r="D1202" s="13" t="n"/>
      <c r="E1202" s="13" t="n">
        <v>32</v>
      </c>
      <c r="F1202" s="5" t="n">
        <v>1</v>
      </c>
      <c r="G1202" t="inlineStr"/>
    </row>
    <row r="1203">
      <c r="A1203" t="inlineStr">
        <is>
          <t>ASSMANN group</t>
        </is>
      </c>
      <c r="B1203" s="5" t="n">
        <v>1</v>
      </c>
      <c r="C1203" s="13" t="n"/>
      <c r="D1203" s="13" t="n"/>
      <c r="E1203" s="13" t="n">
        <v>5</v>
      </c>
      <c r="F1203" s="5" t="n">
        <v>1</v>
      </c>
      <c r="G1203" t="inlineStr"/>
    </row>
    <row r="1204">
      <c r="A1204" t="inlineStr">
        <is>
          <t>AZZA</t>
        </is>
      </c>
      <c r="B1204" s="5" t="n">
        <v>1</v>
      </c>
      <c r="C1204" s="13" t="n"/>
      <c r="D1204" s="13" t="n"/>
      <c r="E1204" s="13" t="n">
        <v>13</v>
      </c>
      <c r="F1204" s="5" t="n">
        <v>1</v>
      </c>
      <c r="G1204" t="inlineStr"/>
    </row>
    <row r="1205">
      <c r="A1205" t="inlineStr">
        <is>
          <t>Artline</t>
        </is>
      </c>
      <c r="B1205" s="5" t="n">
        <v>1</v>
      </c>
      <c r="C1205" s="13" t="n"/>
      <c r="D1205" s="13" t="n"/>
      <c r="E1205" s="13" t="n">
        <v>11</v>
      </c>
      <c r="F1205" s="5" t="n">
        <v>1</v>
      </c>
      <c r="G1205" t="inlineStr"/>
    </row>
    <row r="1206">
      <c r="A1206" t="inlineStr">
        <is>
          <t>BenQ</t>
        </is>
      </c>
      <c r="B1206" s="5" t="n">
        <v>1</v>
      </c>
      <c r="C1206" s="13" t="n"/>
      <c r="D1206" s="13" t="n"/>
      <c r="E1206" s="13" t="n">
        <v>14</v>
      </c>
      <c r="F1206" s="5" t="n">
        <v>1</v>
      </c>
      <c r="G1206" t="inlineStr"/>
    </row>
    <row r="1207">
      <c r="A1207" t="inlineStr">
        <is>
          <t>CHALLENGER</t>
        </is>
      </c>
      <c r="B1207" s="5" t="n">
        <v>1</v>
      </c>
      <c r="C1207" s="13" t="n"/>
      <c r="D1207" s="13" t="n"/>
      <c r="E1207" s="13" t="n">
        <v>12</v>
      </c>
      <c r="F1207" s="5" t="n">
        <v>1</v>
      </c>
      <c r="G1207" t="inlineStr"/>
    </row>
    <row r="1208">
      <c r="A1208" t="inlineStr">
        <is>
          <t>CUBE</t>
        </is>
      </c>
      <c r="B1208" s="5" t="n">
        <v>1</v>
      </c>
      <c r="C1208" s="13" t="n">
        <v>5701.49</v>
      </c>
      <c r="D1208" s="13" t="n">
        <v>5701.49</v>
      </c>
      <c r="E1208" s="13" t="n">
        <v>24</v>
      </c>
      <c r="F1208" s="5" t="n">
        <v>1</v>
      </c>
      <c r="G1208" t="inlineStr"/>
    </row>
    <row r="1209">
      <c r="A1209" t="inlineStr">
        <is>
          <t>CyberPower</t>
        </is>
      </c>
      <c r="B1209" s="5" t="n">
        <v>1</v>
      </c>
      <c r="C1209" s="13" t="n"/>
      <c r="D1209" s="13" t="n"/>
      <c r="E1209" s="13" t="n">
        <v>8</v>
      </c>
      <c r="F1209" s="5" t="n">
        <v>1</v>
      </c>
      <c r="G1209" t="inlineStr"/>
    </row>
    <row r="1210">
      <c r="A1210" t="inlineStr">
        <is>
          <t>D-Link</t>
        </is>
      </c>
      <c r="B1210" s="5" t="n">
        <v>1</v>
      </c>
      <c r="C1210" s="13" t="n"/>
      <c r="D1210" s="13" t="n"/>
      <c r="E1210" s="13" t="n">
        <v>1</v>
      </c>
      <c r="F1210" s="5" t="n">
        <v>1</v>
      </c>
      <c r="G1210" t="inlineStr"/>
    </row>
    <row r="1211">
      <c r="A1211" t="inlineStr">
        <is>
          <t>DIGITUS</t>
        </is>
      </c>
      <c r="B1211" s="5" t="n">
        <v>1</v>
      </c>
      <c r="C1211" s="13" t="n">
        <v>35991</v>
      </c>
      <c r="D1211" s="13" t="n">
        <v>45311.75</v>
      </c>
      <c r="E1211" s="13" t="n">
        <v>10</v>
      </c>
      <c r="F1211" s="5" t="n">
        <v>1</v>
      </c>
      <c r="G1211" t="inlineStr"/>
    </row>
    <row r="1212">
      <c r="A1212" t="inlineStr">
        <is>
          <t>Deepcool</t>
        </is>
      </c>
      <c r="B1212" s="5" t="n">
        <v>1</v>
      </c>
      <c r="C1212" s="13" t="n">
        <v>3000</v>
      </c>
      <c r="D1212" s="13" t="n">
        <v>3500</v>
      </c>
      <c r="E1212" s="13" t="n">
        <v>10</v>
      </c>
      <c r="F1212" s="5" t="n">
        <v>1</v>
      </c>
      <c r="G1212" t="inlineStr"/>
    </row>
    <row r="1213">
      <c r="A1213" t="inlineStr">
        <is>
          <t>Defender</t>
        </is>
      </c>
      <c r="B1213" s="5" t="n">
        <v>1</v>
      </c>
      <c r="C1213" s="13" t="n"/>
      <c r="D1213" s="13" t="n"/>
      <c r="E1213" s="13" t="n">
        <v>4</v>
      </c>
      <c r="F1213" s="5" t="n">
        <v>1</v>
      </c>
      <c r="G1213" t="inlineStr"/>
    </row>
    <row r="1214">
      <c r="A1214" t="inlineStr">
        <is>
          <t>EXPERTPC</t>
        </is>
      </c>
      <c r="B1214" s="5" t="n">
        <v>1</v>
      </c>
      <c r="C1214" s="13" t="n"/>
      <c r="D1214" s="13" t="n"/>
      <c r="E1214" s="13" t="n">
        <v>4</v>
      </c>
      <c r="F1214" s="5" t="n">
        <v>1</v>
      </c>
      <c r="G1214" t="inlineStr"/>
    </row>
    <row r="1215">
      <c r="A1215" t="inlineStr">
        <is>
          <t>Epson»</t>
        </is>
      </c>
      <c r="B1215" s="5" t="n">
        <v>1</v>
      </c>
      <c r="C1215" s="13" t="n"/>
      <c r="D1215" s="13" t="n"/>
      <c r="E1215" s="13" t="n">
        <v>10</v>
      </c>
      <c r="F1215" s="5" t="n">
        <v>1</v>
      </c>
      <c r="G1215" t="inlineStr"/>
    </row>
    <row r="1216">
      <c r="A1216" t="inlineStr">
        <is>
          <t>Ferro</t>
        </is>
      </c>
      <c r="B1216" s="5" t="n">
        <v>1</v>
      </c>
      <c r="C1216" s="13" t="n"/>
      <c r="D1216" s="13" t="n"/>
      <c r="E1216" s="13" t="n">
        <v>4</v>
      </c>
      <c r="F1216" s="5" t="n">
        <v>1</v>
      </c>
      <c r="G1216" t="inlineStr"/>
    </row>
    <row r="1217">
      <c r="A1217" t="inlineStr">
        <is>
          <t>Fossibot</t>
        </is>
      </c>
      <c r="B1217" s="5" t="n">
        <v>1</v>
      </c>
      <c r="C1217" s="13" t="n"/>
      <c r="D1217" s="13" t="n"/>
      <c r="E1217" s="13" t="n">
        <v>20</v>
      </c>
      <c r="F1217" s="5" t="n">
        <v>1</v>
      </c>
      <c r="G1217" t="inlineStr"/>
    </row>
    <row r="1218">
      <c r="A1218" t="inlineStr">
        <is>
          <t>Fujitsu</t>
        </is>
      </c>
      <c r="B1218" s="5" t="n">
        <v>1</v>
      </c>
      <c r="C1218" s="13" t="n"/>
      <c r="D1218" s="13" t="n"/>
      <c r="E1218" s="13" t="n">
        <v>1</v>
      </c>
      <c r="F1218" s="5" t="n">
        <v>1</v>
      </c>
      <c r="G1218" t="inlineStr"/>
    </row>
    <row r="1219">
      <c r="A1219" t="inlineStr">
        <is>
          <t>GAMEMAX</t>
        </is>
      </c>
      <c r="B1219" s="5" t="n">
        <v>1</v>
      </c>
      <c r="C1219" s="13" t="n">
        <v>1061.5</v>
      </c>
      <c r="D1219" s="13" t="n">
        <v>1290</v>
      </c>
      <c r="E1219" s="13" t="n">
        <v>11</v>
      </c>
      <c r="F1219" s="5" t="n">
        <v>1</v>
      </c>
      <c r="G1219" t="inlineStr"/>
    </row>
    <row r="1220">
      <c r="A1220" t="inlineStr">
        <is>
          <t>GAMEPRO</t>
        </is>
      </c>
      <c r="B1220" s="5" t="n">
        <v>1</v>
      </c>
      <c r="C1220" s="13" t="n"/>
      <c r="D1220" s="13" t="n"/>
      <c r="E1220" s="13" t="n">
        <v>9</v>
      </c>
      <c r="F1220" s="5" t="n">
        <v>1</v>
      </c>
      <c r="G1220" t="inlineStr"/>
    </row>
    <row r="1221">
      <c r="A1221" t="inlineStr">
        <is>
          <t>GEEKOM</t>
        </is>
      </c>
      <c r="B1221" s="5" t="n">
        <v>1</v>
      </c>
      <c r="C1221" s="13" t="n"/>
      <c r="D1221" s="13" t="n"/>
      <c r="E1221" s="13" t="n">
        <v>31</v>
      </c>
      <c r="F1221" s="5" t="n">
        <v>1</v>
      </c>
      <c r="G1221" t="inlineStr"/>
    </row>
    <row r="1222">
      <c r="A1222" t="inlineStr">
        <is>
          <t>GRUNHELM</t>
        </is>
      </c>
      <c r="B1222" s="5" t="n">
        <v>1</v>
      </c>
      <c r="C1222" s="13" t="n">
        <v>3187</v>
      </c>
      <c r="D1222" s="13" t="n">
        <v>3312</v>
      </c>
      <c r="E1222" s="13" t="n">
        <v>25</v>
      </c>
      <c r="F1222" s="5" t="n">
        <v>1</v>
      </c>
      <c r="G1222" t="inlineStr"/>
    </row>
    <row r="1223">
      <c r="A1223" t="inlineStr">
        <is>
          <t>Gembird</t>
        </is>
      </c>
      <c r="B1223" s="5" t="n">
        <v>1</v>
      </c>
      <c r="C1223" s="13" t="n"/>
      <c r="D1223" s="13" t="n"/>
      <c r="E1223" s="13" t="n">
        <v>4</v>
      </c>
      <c r="F1223" s="5" t="n">
        <v>1</v>
      </c>
      <c r="G1223" t="inlineStr"/>
    </row>
    <row r="1224">
      <c r="A1224" t="inlineStr">
        <is>
          <t>HPE</t>
        </is>
      </c>
      <c r="B1224" s="5" t="n">
        <v>1</v>
      </c>
      <c r="C1224" s="13" t="n">
        <v>19775</v>
      </c>
      <c r="D1224" s="13" t="n">
        <v>49500</v>
      </c>
      <c r="E1224" s="13" t="n">
        <v>8</v>
      </c>
      <c r="F1224" s="5" t="n">
        <v>1</v>
      </c>
      <c r="G1224" t="inlineStr"/>
    </row>
    <row r="1225">
      <c r="A1225" t="inlineStr">
        <is>
          <t>Hama GmbH &amp; Co KG</t>
        </is>
      </c>
      <c r="B1225" s="5" t="n">
        <v>1</v>
      </c>
      <c r="C1225" s="13" t="n"/>
      <c r="D1225" s="13" t="n"/>
      <c r="E1225" s="13" t="n">
        <v>4</v>
      </c>
      <c r="F1225" s="5" t="n">
        <v>1</v>
      </c>
      <c r="G1225" t="inlineStr"/>
    </row>
    <row r="1226">
      <c r="A1226" t="inlineStr">
        <is>
          <t>IКС-МАРКЕТ</t>
        </is>
      </c>
      <c r="B1226" s="5" t="n">
        <v>1</v>
      </c>
      <c r="C1226" s="13" t="n"/>
      <c r="D1226" s="13" t="n"/>
      <c r="E1226" s="13" t="n">
        <v>8</v>
      </c>
      <c r="F1226" s="5" t="n">
        <v>1</v>
      </c>
      <c r="G1226" t="inlineStr"/>
    </row>
    <row r="1227">
      <c r="A1227" t="inlineStr">
        <is>
          <t>LEGRAND</t>
        </is>
      </c>
      <c r="B1227" s="5" t="n">
        <v>1</v>
      </c>
      <c r="C1227" s="13" t="n">
        <v>50533.3</v>
      </c>
      <c r="D1227" s="13" t="n">
        <v>60500</v>
      </c>
      <c r="E1227" s="13" t="n">
        <v>11</v>
      </c>
      <c r="F1227" s="5" t="n">
        <v>1</v>
      </c>
      <c r="G1227" t="inlineStr"/>
    </row>
    <row r="1228">
      <c r="A1228" t="inlineStr">
        <is>
          <t>LOGICPOWER</t>
        </is>
      </c>
      <c r="B1228" s="5" t="n">
        <v>1</v>
      </c>
      <c r="C1228" s="13" t="n"/>
      <c r="D1228" s="13" t="n"/>
      <c r="E1228" s="13" t="n">
        <v>4</v>
      </c>
      <c r="F1228" s="5" t="n">
        <v>1</v>
      </c>
      <c r="G1228" t="inlineStr"/>
    </row>
    <row r="1229">
      <c r="A1229" t="inlineStr">
        <is>
          <t>MAIWO</t>
        </is>
      </c>
      <c r="B1229" s="5" t="n">
        <v>1</v>
      </c>
      <c r="C1229" s="13" t="n">
        <v>570</v>
      </c>
      <c r="D1229" s="13" t="n">
        <v>690</v>
      </c>
      <c r="E1229" s="13" t="n">
        <v>14</v>
      </c>
      <c r="F1229" s="5" t="n">
        <v>1</v>
      </c>
      <c r="G1229" t="inlineStr"/>
    </row>
    <row r="1230">
      <c r="A1230" t="inlineStr">
        <is>
          <t>MIBRAND</t>
        </is>
      </c>
      <c r="B1230" s="5" t="n">
        <v>1</v>
      </c>
      <c r="C1230" s="13" t="n">
        <v>230</v>
      </c>
      <c r="D1230" s="13" t="n">
        <v>230</v>
      </c>
      <c r="E1230" s="13" t="n">
        <v>6</v>
      </c>
      <c r="F1230" s="5" t="n">
        <v>1</v>
      </c>
      <c r="G1230" t="inlineStr"/>
    </row>
    <row r="1231">
      <c r="A1231" t="inlineStr">
        <is>
          <t>PLANTRONICS</t>
        </is>
      </c>
      <c r="B1231" s="5" t="n">
        <v>1</v>
      </c>
      <c r="C1231" s="13" t="n">
        <v>2340</v>
      </c>
      <c r="D1231" s="13" t="n">
        <v>2340</v>
      </c>
      <c r="E1231" s="13" t="n">
        <v>11</v>
      </c>
      <c r="F1231" s="5" t="n">
        <v>1</v>
      </c>
      <c r="G1231" t="inlineStr"/>
    </row>
    <row r="1232">
      <c r="A1232" t="inlineStr">
        <is>
          <t>PRESTIGIO</t>
        </is>
      </c>
      <c r="B1232" s="5" t="n">
        <v>1</v>
      </c>
      <c r="C1232" s="13" t="n"/>
      <c r="D1232" s="13" t="n"/>
      <c r="E1232" s="13" t="n">
        <v>29</v>
      </c>
      <c r="F1232" s="5" t="n">
        <v>1</v>
      </c>
      <c r="G1232" t="inlineStr"/>
    </row>
    <row r="1233">
      <c r="A1233" t="inlineStr">
        <is>
          <t>PROMATE</t>
        </is>
      </c>
      <c r="B1233" s="5" t="n">
        <v>1</v>
      </c>
      <c r="C1233" s="13" t="n">
        <v>949.48</v>
      </c>
      <c r="D1233" s="13" t="n">
        <v>1018.75</v>
      </c>
      <c r="E1233" s="13" t="n">
        <v>14</v>
      </c>
      <c r="F1233" s="5" t="n">
        <v>1</v>
      </c>
      <c r="G1233" t="inlineStr"/>
    </row>
    <row r="1234">
      <c r="A1234" t="inlineStr">
        <is>
          <t>Patriot</t>
        </is>
      </c>
      <c r="B1234" s="5" t="n">
        <v>1</v>
      </c>
      <c r="C1234" s="13" t="n"/>
      <c r="D1234" s="13" t="n"/>
      <c r="E1234" s="13" t="n">
        <v>1</v>
      </c>
      <c r="F1234" s="5" t="n">
        <v>1</v>
      </c>
      <c r="G1234" t="inlineStr"/>
    </row>
    <row r="1235">
      <c r="A1235" t="inlineStr">
        <is>
          <t>Powerplant</t>
        </is>
      </c>
      <c r="B1235" s="5" t="n">
        <v>1</v>
      </c>
      <c r="C1235" s="13" t="n"/>
      <c r="D1235" s="13" t="n"/>
      <c r="E1235" s="13" t="n">
        <v>4</v>
      </c>
      <c r="F1235" s="5" t="n">
        <v>1</v>
      </c>
      <c r="G1235" t="inlineStr"/>
    </row>
    <row r="1236">
      <c r="A1236" t="inlineStr">
        <is>
          <t>QNap</t>
        </is>
      </c>
      <c r="B1236" s="5" t="n">
        <v>1</v>
      </c>
      <c r="C1236" s="13" t="n"/>
      <c r="D1236" s="13" t="n"/>
      <c r="E1236" s="13" t="n">
        <v>8</v>
      </c>
      <c r="F1236" s="5" t="n">
        <v>1</v>
      </c>
      <c r="G1236" t="inlineStr"/>
    </row>
    <row r="1237">
      <c r="A1237" t="inlineStr">
        <is>
          <t>QUBE</t>
        </is>
      </c>
      <c r="B1237" s="5" t="n">
        <v>1</v>
      </c>
      <c r="C1237" s="13" t="n"/>
      <c r="D1237" s="13" t="n"/>
      <c r="E1237" s="13" t="n">
        <v>25</v>
      </c>
      <c r="F1237" s="5" t="n">
        <v>1</v>
      </c>
      <c r="G1237" t="inlineStr"/>
    </row>
    <row r="1238">
      <c r="A1238" t="inlineStr">
        <is>
          <t>RAPOO</t>
        </is>
      </c>
      <c r="B1238" s="5" t="n">
        <v>1</v>
      </c>
      <c r="C1238" s="13" t="n">
        <v>1295</v>
      </c>
      <c r="D1238" s="13" t="n">
        <v>1295</v>
      </c>
      <c r="E1238" s="13" t="n">
        <v>14</v>
      </c>
      <c r="F1238" s="5" t="n">
        <v>1</v>
      </c>
      <c r="G1238" t="inlineStr"/>
    </row>
    <row r="1239">
      <c r="A1239" t="inlineStr">
        <is>
          <t>RYVEN</t>
        </is>
      </c>
      <c r="B1239" s="5" t="n">
        <v>1</v>
      </c>
      <c r="C1239" s="13" t="n">
        <v>18250</v>
      </c>
      <c r="D1239" s="13" t="n">
        <v>21700</v>
      </c>
      <c r="E1239" s="13" t="n">
        <v>38</v>
      </c>
      <c r="F1239" s="5" t="n">
        <v>1</v>
      </c>
      <c r="G1239" t="inlineStr"/>
    </row>
    <row r="1240">
      <c r="A1240" t="inlineStr">
        <is>
          <t>S.M.B</t>
        </is>
      </c>
      <c r="B1240" s="5" t="n">
        <v>1</v>
      </c>
      <c r="C1240" s="13" t="n"/>
      <c r="D1240" s="13" t="n"/>
      <c r="E1240" s="13" t="n">
        <v>4</v>
      </c>
      <c r="F1240" s="5" t="n">
        <v>1</v>
      </c>
      <c r="G1240" t="inlineStr"/>
    </row>
    <row r="1241">
      <c r="A1241" t="inlineStr">
        <is>
          <t>SAPPHIRE</t>
        </is>
      </c>
      <c r="B1241" s="5" t="n">
        <v>1</v>
      </c>
      <c r="C1241" s="13" t="n"/>
      <c r="D1241" s="13" t="n"/>
      <c r="E1241" s="13" t="n">
        <v>15</v>
      </c>
      <c r="F1241" s="5" t="n">
        <v>1</v>
      </c>
      <c r="G1241" t="inlineStr"/>
    </row>
    <row r="1242">
      <c r="A1242" t="inlineStr">
        <is>
          <t>SVC</t>
        </is>
      </c>
      <c r="B1242" s="5" t="n">
        <v>1</v>
      </c>
      <c r="C1242" s="13" t="n">
        <v>2860</v>
      </c>
      <c r="D1242" s="13" t="n">
        <v>3624</v>
      </c>
      <c r="E1242" s="13" t="n">
        <v>12</v>
      </c>
      <c r="F1242" s="5" t="n">
        <v>1</v>
      </c>
      <c r="G1242" t="inlineStr"/>
    </row>
    <row r="1243">
      <c r="A1243" t="inlineStr">
        <is>
          <t>SVEN</t>
        </is>
      </c>
      <c r="B1243" s="5" t="n">
        <v>1</v>
      </c>
      <c r="C1243" s="13" t="n"/>
      <c r="D1243" s="13" t="n"/>
      <c r="E1243" s="13" t="n">
        <v>2</v>
      </c>
      <c r="F1243" s="5" t="n">
        <v>1</v>
      </c>
      <c r="G1243" t="inlineStr"/>
    </row>
    <row r="1244">
      <c r="A1244" t="inlineStr">
        <is>
          <t>SVITTEX</t>
        </is>
      </c>
      <c r="B1244" s="5" t="n">
        <v>1</v>
      </c>
      <c r="C1244" s="13" t="n">
        <v>1970</v>
      </c>
      <c r="D1244" s="13" t="n">
        <v>2420</v>
      </c>
      <c r="E1244" s="13" t="n">
        <v>8</v>
      </c>
      <c r="F1244" s="5" t="n">
        <v>1</v>
      </c>
      <c r="G1244" t="inlineStr"/>
    </row>
    <row r="1245">
      <c r="A1245" t="inlineStr">
        <is>
          <t>Schneider Electric</t>
        </is>
      </c>
      <c r="B1245" s="5" t="n">
        <v>1</v>
      </c>
      <c r="C1245" s="13" t="n"/>
      <c r="D1245" s="13" t="n"/>
      <c r="E1245" s="13" t="n">
        <v>4</v>
      </c>
      <c r="F1245" s="5" t="n">
        <v>1</v>
      </c>
      <c r="G1245" t="inlineStr"/>
    </row>
    <row r="1246">
      <c r="A1246" t="inlineStr">
        <is>
          <t>Sennheiser</t>
        </is>
      </c>
      <c r="B1246" s="5" t="n">
        <v>1</v>
      </c>
      <c r="C1246" s="13" t="n"/>
      <c r="D1246" s="13" t="n"/>
      <c r="E1246" s="13" t="n">
        <v>1</v>
      </c>
      <c r="F1246" s="5" t="n">
        <v>1</v>
      </c>
      <c r="G1246" t="inlineStr"/>
    </row>
    <row r="1247">
      <c r="A1247" t="inlineStr">
        <is>
          <t>Silicon Power</t>
        </is>
      </c>
      <c r="B1247" s="5" t="n">
        <v>1</v>
      </c>
      <c r="C1247" s="13" t="n"/>
      <c r="D1247" s="13" t="n"/>
      <c r="E1247" s="13" t="n">
        <v>11</v>
      </c>
      <c r="F1247" s="5" t="n">
        <v>1</v>
      </c>
      <c r="G1247" t="inlineStr"/>
    </row>
    <row r="1248">
      <c r="A1248" t="inlineStr">
        <is>
          <t>Silverstone</t>
        </is>
      </c>
      <c r="B1248" s="5" t="n">
        <v>1</v>
      </c>
      <c r="C1248" s="13" t="n"/>
      <c r="D1248" s="13" t="n"/>
      <c r="E1248" s="13" t="n">
        <v>10</v>
      </c>
      <c r="F1248" s="5" t="n">
        <v>1</v>
      </c>
      <c r="G1248" t="inlineStr"/>
    </row>
    <row r="1249">
      <c r="A1249" t="inlineStr">
        <is>
          <t>TEAM</t>
        </is>
      </c>
      <c r="B1249" s="5" t="n">
        <v>1</v>
      </c>
      <c r="C1249" s="13" t="n"/>
      <c r="D1249" s="13" t="n"/>
      <c r="E1249" s="13" t="n">
        <v>11</v>
      </c>
      <c r="F1249" s="5" t="n">
        <v>1</v>
      </c>
      <c r="G1249" t="inlineStr"/>
    </row>
    <row r="1250">
      <c r="A1250" t="inlineStr">
        <is>
          <t>UKRMARK</t>
        </is>
      </c>
      <c r="B1250" s="5" t="n">
        <v>1</v>
      </c>
      <c r="C1250" s="13" t="n">
        <v>1707.5</v>
      </c>
      <c r="D1250" s="13" t="n">
        <v>1800</v>
      </c>
      <c r="E1250" s="13" t="n">
        <v>8</v>
      </c>
      <c r="F1250" s="5" t="n">
        <v>1</v>
      </c>
      <c r="G1250" t="inlineStr"/>
    </row>
    <row r="1251">
      <c r="A1251" t="inlineStr">
        <is>
          <t>VIEWSONIC</t>
        </is>
      </c>
      <c r="B1251" s="5" t="n">
        <v>1</v>
      </c>
      <c r="C1251" s="13" t="n"/>
      <c r="D1251" s="13" t="n"/>
      <c r="E1251" s="13" t="n">
        <v>24</v>
      </c>
      <c r="F1251" s="5" t="n">
        <v>1</v>
      </c>
      <c r="G1251" t="inlineStr"/>
    </row>
    <row r="1252">
      <c r="A1252" t="inlineStr">
        <is>
          <t>Vinga</t>
        </is>
      </c>
      <c r="B1252" s="5" t="n">
        <v>1</v>
      </c>
      <c r="C1252" s="13" t="n">
        <v>1250</v>
      </c>
      <c r="D1252" s="13" t="n">
        <v>1250</v>
      </c>
      <c r="E1252" s="13" t="n">
        <v>11</v>
      </c>
      <c r="F1252" s="5" t="n">
        <v>1</v>
      </c>
      <c r="G1252" t="inlineStr"/>
    </row>
    <row r="1253">
      <c r="A1253" t="inlineStr">
        <is>
          <t>XIAOMI</t>
        </is>
      </c>
      <c r="B1253" s="5" t="n">
        <v>1</v>
      </c>
      <c r="C1253" s="13" t="n">
        <v>14235</v>
      </c>
      <c r="D1253" s="13" t="n">
        <v>15833.48</v>
      </c>
      <c r="E1253" s="13" t="n">
        <v>24</v>
      </c>
      <c r="F1253" s="5" t="n">
        <v>1</v>
      </c>
      <c r="G1253" t="inlineStr"/>
    </row>
    <row r="1254">
      <c r="A1254" t="inlineStr">
        <is>
          <t>ZALMAN</t>
        </is>
      </c>
      <c r="B1254" s="5" t="n">
        <v>1</v>
      </c>
      <c r="C1254" s="13" t="n">
        <v>5640</v>
      </c>
      <c r="D1254" s="13" t="n">
        <v>5898</v>
      </c>
      <c r="E1254" s="13" t="n">
        <v>13</v>
      </c>
      <c r="F1254" s="5" t="n">
        <v>1</v>
      </c>
      <c r="G1254" t="inlineStr"/>
    </row>
    <row r="1255">
      <c r="A1255" t="inlineStr">
        <is>
          <t>tid</t>
        </is>
      </c>
      <c r="B1255" s="5" t="n">
        <v>1</v>
      </c>
      <c r="C1255" s="13" t="n"/>
      <c r="D1255" s="13" t="n"/>
      <c r="E1255" s="13" t="n">
        <v>4</v>
      </c>
      <c r="F1255" s="5" t="n">
        <v>1</v>
      </c>
      <c r="G1255" t="inlineStr"/>
    </row>
    <row r="1256">
      <c r="A1256" t="inlineStr">
        <is>
          <t>uleFone</t>
        </is>
      </c>
      <c r="B1256" s="5" t="n">
        <v>1</v>
      </c>
      <c r="C1256" s="13" t="n">
        <v>12625</v>
      </c>
      <c r="D1256" s="13" t="n">
        <v>15766</v>
      </c>
      <c r="E1256" s="13" t="n">
        <v>20</v>
      </c>
      <c r="F1256" s="5" t="n">
        <v>1</v>
      </c>
      <c r="G1256" t="inlineStr"/>
    </row>
    <row r="1257">
      <c r="A1257" t="inlineStr">
        <is>
          <t>ІТ-Блок</t>
        </is>
      </c>
      <c r="B1257" s="5" t="n">
        <v>1</v>
      </c>
      <c r="C1257" s="13" t="n"/>
      <c r="D1257" s="13" t="n"/>
      <c r="E1257" s="13" t="n">
        <v>4</v>
      </c>
      <c r="F1257" s="5" t="n">
        <v>1</v>
      </c>
      <c r="G1257" t="inlineStr"/>
    </row>
    <row r="1258">
      <c r="A1258" t="inlineStr">
        <is>
          <t>ЕПОС</t>
        </is>
      </c>
      <c r="B1258" s="5" t="n">
        <v>1</v>
      </c>
      <c r="C1258" s="13" t="n"/>
      <c r="D1258" s="13" t="n"/>
      <c r="E1258" s="13" t="n">
        <v>4</v>
      </c>
      <c r="F1258" s="5" t="n">
        <v>1</v>
      </c>
      <c r="G1258" t="inlineStr"/>
    </row>
    <row r="1260">
      <c r="A1260" s="2" t="inlineStr">
        <is>
          <t>Кандидати в ТМ</t>
        </is>
      </c>
    </row>
    <row r="1261">
      <c r="A1261" s="11" t="inlineStr">
        <is>
          <t>Слово</t>
        </is>
      </c>
      <c r="B1261" s="11" t="inlineStr">
        <is>
          <t>Згадок</t>
        </is>
      </c>
    </row>
    <row r="1262">
      <c r="A1262" t="inlineStr">
        <is>
          <t>Core</t>
        </is>
      </c>
      <c r="B1262" s="5" t="n">
        <v>151</v>
      </c>
    </row>
    <row r="1263">
      <c r="A1263" t="inlineStr">
        <is>
          <t>i-SENSYS</t>
        </is>
      </c>
      <c r="B1263" s="5" t="n">
        <v>124</v>
      </c>
    </row>
    <row r="1264">
      <c r="A1264" t="inlineStr">
        <is>
          <t>MF3010</t>
        </is>
      </c>
      <c r="B1264" s="5" t="n">
        <v>96</v>
      </c>
    </row>
    <row r="1265">
      <c r="A1265" t="inlineStr">
        <is>
          <t>Gen</t>
        </is>
      </c>
      <c r="B1265" s="5" t="n">
        <v>54</v>
      </c>
    </row>
    <row r="1266">
      <c r="A1266" t="inlineStr">
        <is>
          <t>Tab</t>
        </is>
      </c>
      <c r="B1266" s="5" t="n">
        <v>50</v>
      </c>
    </row>
    <row r="1267">
      <c r="A1267" t="inlineStr">
        <is>
          <t>Apacer</t>
        </is>
      </c>
      <c r="B1267" s="5" t="n">
        <v>38</v>
      </c>
    </row>
    <row r="1268">
      <c r="A1268" t="inlineStr">
        <is>
          <t>Secure</t>
        </is>
      </c>
      <c r="B1268" s="5" t="n">
        <v>35</v>
      </c>
    </row>
    <row r="1269">
      <c r="A1269" t="inlineStr">
        <is>
          <t>i-Sensys</t>
        </is>
      </c>
      <c r="B1269" s="5" t="n">
        <v>31</v>
      </c>
    </row>
    <row r="1270">
      <c r="A1270" t="inlineStr">
        <is>
          <t>G10</t>
        </is>
      </c>
      <c r="B1270" s="5" t="n">
        <v>28</v>
      </c>
    </row>
    <row r="1271">
      <c r="A1271" t="inlineStr">
        <is>
          <t>PIXMA</t>
        </is>
      </c>
      <c r="B1271" s="5" t="n">
        <v>28</v>
      </c>
    </row>
    <row r="1272">
      <c r="A1272" t="inlineStr">
        <is>
          <t>V15</t>
        </is>
      </c>
      <c r="B1272" s="5" t="n">
        <v>27</v>
      </c>
    </row>
    <row r="1273">
      <c r="A1273" t="inlineStr">
        <is>
          <t>Tech</t>
        </is>
      </c>
      <c r="B1273" s="5" t="n">
        <v>25</v>
      </c>
    </row>
    <row r="1274">
      <c r="A1274" t="inlineStr">
        <is>
          <t>A11</t>
        </is>
      </c>
      <c r="B1274" s="5" t="n">
        <v>25</v>
      </c>
    </row>
    <row r="1275">
      <c r="A1275" t="inlineStr">
        <is>
          <t>EcoTank</t>
        </is>
      </c>
      <c r="B1275" s="5" t="n">
        <v>25</v>
      </c>
    </row>
    <row r="1276">
      <c r="A1276" t="inlineStr">
        <is>
          <t>Ethernet</t>
        </is>
      </c>
      <c r="B1276" s="5" t="n">
        <v>22</v>
      </c>
    </row>
    <row r="1277">
      <c r="A1277" t="inlineStr">
        <is>
          <t>Slim</t>
        </is>
      </c>
      <c r="B1277" s="5" t="n">
        <v>22</v>
      </c>
    </row>
    <row r="1278">
      <c r="A1278" t="inlineStr">
        <is>
          <t>DVD-R</t>
        </is>
      </c>
      <c r="B1278" s="5" t="n">
        <v>22</v>
      </c>
    </row>
    <row r="1279">
      <c r="A1279" t="inlineStr">
        <is>
          <t>PLA</t>
        </is>
      </c>
      <c r="B1279" s="5" t="n">
        <v>21</v>
      </c>
    </row>
    <row r="1280">
      <c r="A1280" t="inlineStr">
        <is>
          <t>Wireless</t>
        </is>
      </c>
      <c r="B1280" s="5" t="n">
        <v>21</v>
      </c>
    </row>
    <row r="1281">
      <c r="A1281" t="inlineStr">
        <is>
          <t>DOS</t>
        </is>
      </c>
      <c r="B1281" s="5" t="n">
        <v>20</v>
      </c>
    </row>
    <row r="1282">
      <c r="A1282" t="inlineStr">
        <is>
          <t>Tank</t>
        </is>
      </c>
      <c r="B1282" s="5" t="n">
        <v>19</v>
      </c>
    </row>
    <row r="1283">
      <c r="A1283" t="inlineStr">
        <is>
          <t>B100</t>
        </is>
      </c>
      <c r="B1283" s="5" t="n">
        <v>19</v>
      </c>
    </row>
    <row r="1284">
      <c r="A1284" t="inlineStr">
        <is>
          <t>USB3</t>
        </is>
      </c>
      <c r="B1284" s="5" t="n">
        <v>17</v>
      </c>
    </row>
    <row r="1285">
      <c r="A1285" t="inlineStr">
        <is>
          <t>RT7</t>
        </is>
      </c>
      <c r="B1285" s="5" t="n">
        <v>17</v>
      </c>
    </row>
    <row r="1286">
      <c r="A1286" t="inlineStr">
        <is>
          <t>Graphics</t>
        </is>
      </c>
      <c r="B1286" s="5" t="n">
        <v>16</v>
      </c>
    </row>
    <row r="1287">
      <c r="A1287" t="inlineStr">
        <is>
          <t>x1080</t>
        </is>
      </c>
      <c r="B1287" s="5" t="n">
        <v>16</v>
      </c>
    </row>
    <row r="1288">
      <c r="A1288" t="inlineStr">
        <is>
          <t>IRL</t>
        </is>
      </c>
      <c r="B1288" s="5" t="n">
        <v>16</v>
      </c>
    </row>
    <row r="1289">
      <c r="A1289" t="inlineStr">
        <is>
          <t>Gaming</t>
        </is>
      </c>
      <c r="B1289" s="5" t="n">
        <v>15</v>
      </c>
    </row>
    <row r="1290">
      <c r="A1290" t="inlineStr">
        <is>
          <t>Lite</t>
        </is>
      </c>
      <c r="B1290" s="5" t="n">
        <v>15</v>
      </c>
    </row>
    <row r="1291">
      <c r="A1291" t="inlineStr">
        <is>
          <t>MF237w</t>
        </is>
      </c>
      <c r="B1291" s="5" t="n">
        <v>15</v>
      </c>
    </row>
    <row r="1292">
      <c r="A1292" t="inlineStr">
        <is>
          <t>Token-338S</t>
        </is>
      </c>
      <c r="B1292" s="5" t="n">
        <v>14</v>
      </c>
    </row>
    <row r="1293">
      <c r="A1293" t="inlineStr">
        <is>
          <t>Oukitel</t>
        </is>
      </c>
      <c r="B1293" s="5" t="n">
        <v>14</v>
      </c>
    </row>
    <row r="1294">
      <c r="A1294" t="inlineStr">
        <is>
          <t>Token-338M</t>
        </is>
      </c>
      <c r="B1294" s="5" t="n">
        <v>14</v>
      </c>
    </row>
    <row r="1295">
      <c r="A1295" t="inlineStr">
        <is>
          <t>W11P</t>
        </is>
      </c>
      <c r="B1295" s="5" t="n">
        <v>14</v>
      </c>
    </row>
    <row r="1296">
      <c r="A1296" t="inlineStr">
        <is>
          <t>Advanced</t>
        </is>
      </c>
      <c r="B1296" s="5" t="n">
        <v>14</v>
      </c>
    </row>
    <row r="1297">
      <c r="A1297" t="inlineStr">
        <is>
          <t>UTP</t>
        </is>
      </c>
      <c r="B1297" s="5" t="n">
        <v>14</v>
      </c>
    </row>
    <row r="1298">
      <c r="A1298" t="inlineStr">
        <is>
          <t>Win11Pro</t>
        </is>
      </c>
      <c r="B1298" s="5" t="n">
        <v>14</v>
      </c>
    </row>
    <row r="1299">
      <c r="A1299" t="inlineStr">
        <is>
          <t>Tower</t>
        </is>
      </c>
      <c r="B1299" s="5" t="n">
        <v>14</v>
      </c>
    </row>
    <row r="1300">
      <c r="A1300" t="inlineStr">
        <is>
          <t>H610</t>
        </is>
      </c>
      <c r="B1300" s="5" t="n">
        <v>14</v>
      </c>
    </row>
    <row r="1301">
      <c r="A1301" t="inlineStr">
        <is>
          <t>Atcom</t>
        </is>
      </c>
      <c r="B1301" s="5" t="n">
        <v>13</v>
      </c>
    </row>
    <row r="1302">
      <c r="A1302" t="inlineStr">
        <is>
          <t>Luna</t>
        </is>
      </c>
      <c r="B1302" s="5" t="n">
        <v>13</v>
      </c>
    </row>
    <row r="1303">
      <c r="A1303" t="inlineStr">
        <is>
          <t>Combo</t>
        </is>
      </c>
      <c r="B1303" s="5" t="n">
        <v>13</v>
      </c>
    </row>
    <row r="1304">
      <c r="A1304" t="inlineStr">
        <is>
          <t>Thin</t>
        </is>
      </c>
      <c r="B1304" s="5" t="n">
        <v>12</v>
      </c>
    </row>
    <row r="1305">
      <c r="A1305" t="inlineStr">
        <is>
          <t>G3410</t>
        </is>
      </c>
      <c r="B1305" s="5" t="n">
        <v>12</v>
      </c>
    </row>
    <row r="1306">
      <c r="A1306" t="inlineStr">
        <is>
          <t>III</t>
        </is>
      </c>
      <c r="B1306" s="5" t="n">
        <v>12</v>
      </c>
    </row>
    <row r="1307">
      <c r="A1307" t="inlineStr">
        <is>
          <t>PSU</t>
        </is>
      </c>
      <c r="B1307" s="5" t="n">
        <v>12</v>
      </c>
    </row>
    <row r="1308">
      <c r="A1308" t="inlineStr">
        <is>
          <t>L3250</t>
        </is>
      </c>
      <c r="B1308" s="5" t="n">
        <v>12</v>
      </c>
    </row>
    <row r="1309">
      <c r="A1309" t="inlineStr">
        <is>
          <t>CD-R</t>
        </is>
      </c>
      <c r="B1309" s="5" t="n">
        <v>12</v>
      </c>
    </row>
    <row r="1310">
      <c r="A1310" t="inlineStr">
        <is>
          <t>USB2</t>
        </is>
      </c>
      <c r="B1310" s="5" t="n">
        <v>11</v>
      </c>
    </row>
    <row r="1311">
      <c r="A1311" t="inlineStr">
        <is>
          <t>Wibrand</t>
        </is>
      </c>
      <c r="B1311" s="5" t="n">
        <v>11</v>
      </c>
    </row>
    <row r="1312">
      <c r="A1312" t="inlineStr">
        <is>
          <t>ATX</t>
        </is>
      </c>
      <c r="B1312" s="5" t="n">
        <v>11</v>
      </c>
    </row>
    <row r="1313">
      <c r="A1313" t="inlineStr">
        <is>
          <t>DVD-RW</t>
        </is>
      </c>
      <c r="B1313" s="5" t="n">
        <v>11</v>
      </c>
    </row>
    <row r="1314">
      <c r="A1314" t="inlineStr">
        <is>
          <t>Canyon</t>
        </is>
      </c>
      <c r="B1314" s="5" t="n">
        <v>11</v>
      </c>
    </row>
    <row r="1315">
      <c r="A1315" t="inlineStr">
        <is>
          <t>Bambu</t>
        </is>
      </c>
      <c r="B1315" s="5" t="n">
        <v>11</v>
      </c>
    </row>
    <row r="1316">
      <c r="A1316" t="inlineStr">
        <is>
          <t>Lab</t>
        </is>
      </c>
      <c r="B1316" s="5" t="n">
        <v>11</v>
      </c>
    </row>
    <row r="1317">
      <c r="A1317" t="inlineStr">
        <is>
          <t>M190</t>
        </is>
      </c>
      <c r="B1317" s="5" t="n">
        <v>11</v>
      </c>
    </row>
    <row r="1318">
      <c r="A1318" t="inlineStr">
        <is>
          <t>L3270</t>
        </is>
      </c>
      <c r="B1318" s="5" t="n">
        <v>10</v>
      </c>
    </row>
    <row r="1319">
      <c r="A1319" t="inlineStr">
        <is>
          <t>Ukr</t>
        </is>
      </c>
      <c r="B1319" s="5" t="n">
        <v>10</v>
      </c>
    </row>
    <row r="1320">
      <c r="A1320" t="inlineStr">
        <is>
          <t>LTE</t>
        </is>
      </c>
      <c r="B1320" s="5" t="n">
        <v>10</v>
      </c>
    </row>
    <row r="1321">
      <c r="A1321" t="inlineStr">
        <is>
          <t>TLC</t>
        </is>
      </c>
      <c r="B1321" s="5" t="n">
        <v>10</v>
      </c>
    </row>
  </sheetData>
  <pageMargins left="0.75" right="0.75" top="1" bottom="1" header="0.5" footer="0.5"/>
  <drawing xmlns:r="http://schemas.openxmlformats.org/officeDocument/2006/relationships" r:id="rId1"/>
  <tableParts count="6">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 xmlns:r="http://schemas.openxmlformats.org/officeDocument/2006/relationships" r:id="rId6"/>
    <tablePart xmlns:r="http://schemas.openxmlformats.org/officeDocument/2006/relationships" r:id="rId7"/>
  </tableParts>
</worksheet>
</file>

<file path=xl/worksheets/sheet11.xml><?xml version="1.0" encoding="utf-8"?>
<worksheet xmlns="http://schemas.openxmlformats.org/spreadsheetml/2006/main">
  <sheetPr>
    <outlinePr summaryBelow="1" summaryRight="1"/>
    <pageSetUpPr/>
  </sheetPr>
  <dimension ref="A1:K141"/>
  <sheetViews>
    <sheetView showGridLines="0" workbookViewId="0">
      <selection activeCell="A1" sqref="A1"/>
    </sheetView>
  </sheetViews>
  <sheetFormatPr baseColWidth="8" defaultRowHeight="15"/>
  <cols>
    <col width="39" customWidth="1" min="1" max="1"/>
    <col width="38" customWidth="1" min="2" max="2"/>
    <col width="60" customWidth="1" min="3" max="3"/>
    <col width="35" customWidth="1" min="4" max="4"/>
    <col width="26" customWidth="1" min="5" max="5"/>
    <col width="30" customWidth="1" min="6" max="6"/>
    <col width="23" customWidth="1" min="7" max="7"/>
    <col width="14" customWidth="1" min="8" max="8"/>
    <col width="34" customWidth="1" min="9" max="9"/>
    <col width="27" customWidth="1" min="10" max="10"/>
    <col width="56" customWidth="1" min="11" max="11"/>
  </cols>
  <sheetData>
    <row r="1">
      <c r="A1" s="1" t="inlineStr">
        <is>
          <t>Постачання</t>
        </is>
      </c>
    </row>
    <row r="3">
      <c r="A3" s="7" t="inlineStr">
        <is>
          <t>Канали постачання</t>
        </is>
      </c>
    </row>
    <row r="4">
      <c r="A4" s="6" t="inlineStr">
        <is>
          <t>З відкритих даних закупівлі прямо не видно, у кого гравець бере товар. Але видно сигнали: чи заходить він з ТМ, якої більше ні в кого немає, чи подає авторизаційні листи виробника, і хто веде картку його товару в е-каталозі. З них і складається висновок.</t>
        </is>
      </c>
    </row>
    <row r="6">
      <c r="A6" s="8" t="inlineStr">
        <is>
          <t>Висновки</t>
        </is>
      </c>
    </row>
    <row r="7">
      <c r="A7" t="inlineStr">
        <is>
          <t>•  Конкретний постачальник або дистриб'ютор у закупівельних даних не публікується. Там, де в колонці «Дистриб'ютори» стоїть «Потрібний глибший ШІ аналіз», канал з цифр не виводиться: потрібен розбір змісту документів (авторизаційні листи, специфікації) і ринкових джерел. Відомі вам зв'язки «ТМ → дистриб'ютор» можна внести у data/brands.json — аналіз почне їх показувати.</t>
        </is>
      </c>
    </row>
    <row r="9">
      <c r="A9" s="8" t="inlineStr">
        <is>
          <t>Графіки</t>
        </is>
      </c>
    </row>
    <row r="11">
      <c r="A11" s="2" t="inlineStr">
        <is>
          <t>Що учасники кладуть у пропозиції</t>
        </is>
      </c>
    </row>
    <row r="12">
      <c r="A12" s="6" t="inlineStr">
        <is>
          <t>Класифікація за назвою файлу. Авторизаційні листи й сертифікати — найкорисніші для розуміння каналу.</t>
        </is>
      </c>
    </row>
    <row r="13">
      <c r="A13" s="3" t="inlineStr">
        <is>
          <t>Категорія</t>
        </is>
      </c>
      <c r="B13" s="3" t="inlineStr">
        <is>
          <t>Файлів, шт</t>
        </is>
      </c>
    </row>
    <row r="14">
      <c r="A14" t="inlineStr">
        <is>
          <t>Підпис КЕП</t>
        </is>
      </c>
      <c r="B14" s="5" t="n">
        <v>6851</v>
      </c>
    </row>
    <row r="15">
      <c r="A15" t="inlineStr">
        <is>
          <t>не класифіковано</t>
        </is>
      </c>
      <c r="B15" s="5" t="n">
        <v>3358</v>
      </c>
    </row>
    <row r="16">
      <c r="A16" t="inlineStr">
        <is>
          <t>Установчі та реєстраційні</t>
        </is>
      </c>
      <c r="B16" s="5" t="n">
        <v>1310</v>
      </c>
    </row>
    <row r="17">
      <c r="A17" t="inlineStr">
        <is>
          <t>Лист виробника / авторизація</t>
        </is>
      </c>
      <c r="B17" s="5" t="n">
        <v>940</v>
      </c>
    </row>
    <row r="18">
      <c r="A18" t="inlineStr">
        <is>
          <t>Тендерна документація</t>
        </is>
      </c>
      <c r="B18" s="5" t="n">
        <v>461</v>
      </c>
    </row>
    <row r="19">
      <c r="A19" t="inlineStr">
        <is>
          <t>Сертифікат / декларація відповідності</t>
        </is>
      </c>
      <c r="B19" s="5" t="n">
        <v>399</v>
      </c>
    </row>
    <row r="20">
      <c r="A20" t="inlineStr">
        <is>
          <t>Технічна специфікація</t>
        </is>
      </c>
      <c r="B20" s="5" t="n">
        <v>292</v>
      </c>
    </row>
    <row r="21">
      <c r="A21" t="inlineStr">
        <is>
          <t>Досвід / аналогічні договори</t>
        </is>
      </c>
      <c r="B21" s="5" t="n">
        <v>271</v>
      </c>
    </row>
    <row r="22">
      <c r="A22" t="inlineStr">
        <is>
          <t>Договір</t>
        </is>
      </c>
      <c r="B22" s="5" t="n">
        <v>250</v>
      </c>
    </row>
    <row r="23">
      <c r="A23" t="inlineStr">
        <is>
          <t>Пропозиція учасника</t>
        </is>
      </c>
      <c r="B23" s="5" t="n">
        <v>171</v>
      </c>
    </row>
    <row r="24">
      <c r="A24" t="inlineStr">
        <is>
          <t>Гарантія та сервіс</t>
        </is>
      </c>
      <c r="B24" s="5" t="n">
        <v>165</v>
      </c>
    </row>
    <row r="25">
      <c r="A25" t="inlineStr">
        <is>
          <t>Цінова пропозиція</t>
        </is>
      </c>
      <c r="B25" s="5" t="n">
        <v>103</v>
      </c>
    </row>
    <row r="32">
      <c r="A32" s="8" t="inlineStr">
        <is>
          <t>Таблиці</t>
        </is>
      </c>
    </row>
    <row r="34">
      <c r="A34" s="2" t="inlineStr">
        <is>
          <t>Канали постачання</t>
        </is>
      </c>
    </row>
    <row r="35">
      <c r="A35" s="11" t="inlineStr">
        <is>
          <t>ЄДРПОУ</t>
        </is>
      </c>
      <c r="B35" s="11" t="inlineStr">
        <is>
          <t>Компанія</t>
        </is>
      </c>
      <c r="C35" s="11" t="inlineStr">
        <is>
          <t>Наша</t>
        </is>
      </c>
      <c r="D35" s="11" t="inlineStr">
        <is>
          <t>Основні ТМ</t>
        </is>
      </c>
      <c r="E35" s="11" t="inlineStr">
        <is>
          <t>Ексклюзивні ТМ</t>
        </is>
      </c>
      <c r="F35" s="11" t="inlineStr">
        <is>
          <t>Власна ТМ за довідником</t>
        </is>
      </c>
      <c r="G35" s="11" t="inlineStr">
        <is>
          <t>Авторизаційних листів</t>
        </is>
      </c>
      <c r="H35" s="11" t="inlineStr">
        <is>
          <t>Сертифікатів</t>
        </is>
      </c>
      <c r="I35" s="11" t="inlineStr">
        <is>
          <t>Постачальник картки в е-каталозі</t>
        </is>
      </c>
      <c r="J35" s="11" t="inlineStr">
        <is>
          <t>Дистриб'ютори з довідника</t>
        </is>
      </c>
      <c r="K35" s="11" t="inlineStr">
        <is>
          <t>Висновок про канал</t>
        </is>
      </c>
    </row>
    <row r="36">
      <c r="A36" t="inlineStr">
        <is>
          <t>41263186</t>
        </is>
      </c>
      <c r="B36" t="inlineStr">
        <is>
          <t>ТОВ "ТОРГОВИЙ ДІМ "ПАРТНЕР АЙ ТІ"</t>
        </is>
      </c>
      <c r="C36" t="inlineStr">
        <is>
          <t>так</t>
        </is>
      </c>
      <c r="D36" t="inlineStr">
        <is>
          <t>Vinga, Intel, HP, MSI</t>
        </is>
      </c>
      <c r="E36" t="inlineStr"/>
      <c r="F36" t="inlineStr">
        <is>
          <t>Vinga (КОМЕЛ)</t>
        </is>
      </c>
      <c r="G36" s="5" t="n">
        <v>40</v>
      </c>
      <c r="H36" s="5" t="n">
        <v>16</v>
      </c>
      <c r="I36" t="inlineStr"/>
      <c r="J36" t="inlineStr"/>
      <c r="K36" t="inlineStr">
        <is>
          <t>власна ТМ (Vinga) — товар власного бренду</t>
        </is>
      </c>
    </row>
    <row r="37">
      <c r="A37" t="inlineStr">
        <is>
          <t>44728541</t>
        </is>
      </c>
      <c r="B37" t="inlineStr">
        <is>
          <t>ТОВ "РЕФОРМА СИСТЕМЗ"</t>
        </is>
      </c>
      <c r="C37" t="inlineStr">
        <is>
          <t>так</t>
        </is>
      </c>
      <c r="D37" t="inlineStr"/>
      <c r="E37" t="inlineStr"/>
      <c r="F37" t="inlineStr"/>
      <c r="G37" s="5" t="n">
        <v>7</v>
      </c>
      <c r="H37" s="5" t="n">
        <v>5</v>
      </c>
      <c r="I37" t="inlineStr"/>
      <c r="J37" t="inlineStr"/>
      <c r="K37" t="inlineStr">
        <is>
          <t>є авторизаційні листи виробника (7) — офіційний канал</t>
        </is>
      </c>
    </row>
    <row r="38">
      <c r="A38" t="inlineStr">
        <is>
          <t>19331194</t>
        </is>
      </c>
      <c r="B38" t="inlineStr">
        <is>
          <t>ТОВ "Технології для бізнесу"</t>
        </is>
      </c>
      <c r="C38" t="inlineStr"/>
      <c r="D38" t="inlineStr"/>
      <c r="E38" t="inlineStr"/>
      <c r="F38" t="inlineStr"/>
      <c r="G38" s="5" t="n">
        <v>7</v>
      </c>
      <c r="H38" s="5" t="n">
        <v>3</v>
      </c>
      <c r="I38" t="inlineStr"/>
      <c r="J38" t="inlineStr"/>
      <c r="K38" t="inlineStr">
        <is>
          <t>є авторизаційні листи виробника (7) — офіційний канал</t>
        </is>
      </c>
    </row>
    <row r="39">
      <c r="A39" t="inlineStr">
        <is>
          <t>42647754</t>
        </is>
      </c>
      <c r="B39" t="inlineStr">
        <is>
          <t>ТОВ "ЕМЕНС"</t>
        </is>
      </c>
      <c r="C39" t="inlineStr"/>
      <c r="D39" t="inlineStr">
        <is>
          <t>Intel, Microsoft, AMD</t>
        </is>
      </c>
      <c r="E39" t="inlineStr"/>
      <c r="F39" t="inlineStr"/>
      <c r="G39" s="5" t="n">
        <v>0</v>
      </c>
      <c r="H39" s="5" t="n">
        <v>0</v>
      </c>
      <c r="I39" t="inlineStr"/>
      <c r="J39" t="inlineStr"/>
      <c r="K39" t="inlineStr">
        <is>
          <t>Потрібний глибший ШІ аналіз</t>
        </is>
      </c>
    </row>
    <row r="40">
      <c r="A40" t="inlineStr">
        <is>
          <t>45119322</t>
        </is>
      </c>
      <c r="B40" t="inlineStr">
        <is>
          <t>ТОВ «ПОРТАЛ АРЕНА»</t>
        </is>
      </c>
      <c r="C40" t="inlineStr"/>
      <c r="D40" t="inlineStr">
        <is>
          <t>Microsoft, Intel, AMD, HP</t>
        </is>
      </c>
      <c r="E40" t="inlineStr"/>
      <c r="F40" t="inlineStr"/>
      <c r="G40" s="5" t="n">
        <v>2</v>
      </c>
      <c r="H40" s="5" t="n">
        <v>1</v>
      </c>
      <c r="I40" t="inlineStr"/>
      <c r="J40" t="inlineStr"/>
      <c r="K40" t="inlineStr">
        <is>
          <t>є авторизаційні листи виробника (2) — офіційний канал</t>
        </is>
      </c>
    </row>
    <row r="41">
      <c r="A41" t="inlineStr">
        <is>
          <t>45701274</t>
        </is>
      </c>
      <c r="B41" t="inlineStr">
        <is>
          <t>ТОВ «ПБГ19»</t>
        </is>
      </c>
      <c r="C41" t="inlineStr"/>
      <c r="D41" t="inlineStr">
        <is>
          <t>Dell, Microsoft, Intel, Epson</t>
        </is>
      </c>
      <c r="E41" t="inlineStr"/>
      <c r="F41" t="inlineStr"/>
      <c r="G41" s="5" t="n">
        <v>36</v>
      </c>
      <c r="H41" s="5" t="n">
        <v>16</v>
      </c>
      <c r="I41" t="inlineStr"/>
      <c r="J41" t="inlineStr"/>
      <c r="K41" t="inlineStr">
        <is>
          <t>є авторизаційні листи виробника (36) — офіційний канал</t>
        </is>
      </c>
    </row>
    <row r="42">
      <c r="A42" t="inlineStr">
        <is>
          <t>2381207253</t>
        </is>
      </c>
      <c r="B42" t="inlineStr">
        <is>
          <t>ФОП ДАВИДЕНКО ПАВЛО АНДРІЙОВИЧ</t>
        </is>
      </c>
      <c r="C42" t="inlineStr"/>
      <c r="D42" t="inlineStr"/>
      <c r="E42" t="inlineStr"/>
      <c r="F42" t="inlineStr"/>
      <c r="G42" s="5" t="n">
        <v>5</v>
      </c>
      <c r="H42" s="5" t="n">
        <v>0</v>
      </c>
      <c r="I42" t="inlineStr"/>
      <c r="J42" t="inlineStr"/>
      <c r="K42" t="inlineStr">
        <is>
          <t>є авторизаційні листи виробника (5) — офіційний канал</t>
        </is>
      </c>
    </row>
    <row r="43">
      <c r="A43" t="inlineStr">
        <is>
          <t>42036301</t>
        </is>
      </c>
      <c r="B43" t="inlineStr">
        <is>
          <t>ТОВ «ЮДІТРЕЙД»</t>
        </is>
      </c>
      <c r="C43" t="inlineStr"/>
      <c r="D43" t="inlineStr">
        <is>
          <t>Intel, HP, MSI, Vinga</t>
        </is>
      </c>
      <c r="E43" t="inlineStr"/>
      <c r="F43" t="inlineStr">
        <is>
          <t>Vinga (КОМЕЛ)</t>
        </is>
      </c>
      <c r="G43" s="5" t="n">
        <v>430</v>
      </c>
      <c r="H43" s="5" t="n">
        <v>86</v>
      </c>
      <c r="I43" t="inlineStr"/>
      <c r="J43" t="inlineStr"/>
      <c r="K43" t="inlineStr">
        <is>
          <t>власна ТМ (Vinga) — товар власного бренду</t>
        </is>
      </c>
    </row>
    <row r="44">
      <c r="A44" t="inlineStr">
        <is>
          <t>42289645</t>
        </is>
      </c>
      <c r="B44" t="inlineStr">
        <is>
          <t>ТОВ "ТІНОС-Д"</t>
        </is>
      </c>
      <c r="C44" t="inlineStr"/>
      <c r="D44" t="inlineStr">
        <is>
          <t>Intel, AMD, Microsoft, A4Tech</t>
        </is>
      </c>
      <c r="E44" t="inlineStr"/>
      <c r="F44" t="inlineStr"/>
      <c r="G44" s="5" t="n">
        <v>0</v>
      </c>
      <c r="H44" s="5" t="n">
        <v>0</v>
      </c>
      <c r="I44" t="inlineStr"/>
      <c r="J44" t="inlineStr"/>
      <c r="K44" t="inlineStr">
        <is>
          <t>Потрібний глибший ШІ аналіз</t>
        </is>
      </c>
    </row>
    <row r="45">
      <c r="A45" t="inlineStr">
        <is>
          <t>45884059</t>
        </is>
      </c>
      <c r="B45" t="inlineStr">
        <is>
          <t>ТОВ "ТЕХНО ГАЛАКТИКА"</t>
        </is>
      </c>
      <c r="C45" t="inlineStr"/>
      <c r="D45" t="inlineStr"/>
      <c r="E45" t="inlineStr"/>
      <c r="F45" t="inlineStr"/>
      <c r="G45" s="5" t="n">
        <v>4</v>
      </c>
      <c r="H45" s="5" t="n">
        <v>4</v>
      </c>
      <c r="I45" t="inlineStr"/>
      <c r="J45" t="inlineStr"/>
      <c r="K45" t="inlineStr">
        <is>
          <t>є авторизаційні листи виробника (4) — офіційний канал</t>
        </is>
      </c>
    </row>
    <row r="46">
      <c r="A46" t="inlineStr">
        <is>
          <t>40955533</t>
        </is>
      </c>
      <c r="B46" t="inlineStr">
        <is>
          <t>ТОВ "ДІСТРІ ІНВАЙТ ІТ"</t>
        </is>
      </c>
      <c r="C46" t="inlineStr"/>
      <c r="D46" t="inlineStr">
        <is>
          <t>Intel, AMD, Microsoft, Impression</t>
        </is>
      </c>
      <c r="E46" t="inlineStr"/>
      <c r="F46" t="inlineStr"/>
      <c r="G46" s="5" t="n">
        <v>7</v>
      </c>
      <c r="H46" s="5" t="n">
        <v>37</v>
      </c>
      <c r="I46" t="inlineStr"/>
      <c r="J46" t="inlineStr"/>
      <c r="K46" t="inlineStr">
        <is>
          <t>є авторизаційні листи виробника (7) — офіційний канал</t>
        </is>
      </c>
    </row>
    <row r="47">
      <c r="A47" t="inlineStr">
        <is>
          <t>35893554</t>
        </is>
      </c>
      <c r="B47" t="inlineStr">
        <is>
          <t>ТОВ "ПАРСЕРС"</t>
        </is>
      </c>
      <c r="C47" t="inlineStr"/>
      <c r="D47" t="inlineStr">
        <is>
          <t>NVIDIA, Lenovo, MSI, Samsung</t>
        </is>
      </c>
      <c r="E47" t="inlineStr">
        <is>
          <t>NVIDIA</t>
        </is>
      </c>
      <c r="F47" t="inlineStr"/>
      <c r="G47" s="5" t="n">
        <v>0</v>
      </c>
      <c r="H47" s="5" t="n">
        <v>0</v>
      </c>
      <c r="I47" t="inlineStr"/>
      <c r="J47" t="inlineStr"/>
      <c r="K47" t="inlineStr">
        <is>
          <t>Потрібний глибший ШІ аналіз</t>
        </is>
      </c>
    </row>
    <row r="48">
      <c r="A48" t="inlineStr">
        <is>
          <t>40175293</t>
        </is>
      </c>
      <c r="B48" t="inlineStr">
        <is>
          <t>ТОВ "СИСТЕМАТИКА УКРАЇНА"</t>
        </is>
      </c>
      <c r="C48" t="inlineStr"/>
      <c r="D48" t="inlineStr">
        <is>
          <t>Philips, Intel, AMD, Microsoft</t>
        </is>
      </c>
      <c r="E48" t="inlineStr"/>
      <c r="F48" t="inlineStr"/>
      <c r="G48" s="5" t="n">
        <v>21</v>
      </c>
      <c r="H48" s="5" t="n">
        <v>14</v>
      </c>
      <c r="I48" t="inlineStr"/>
      <c r="J48" t="inlineStr"/>
      <c r="K48" t="inlineStr">
        <is>
          <t>є авторизаційні листи виробника (21) — офіційний канал</t>
        </is>
      </c>
    </row>
    <row r="49">
      <c r="A49" t="inlineStr">
        <is>
          <t>21337459</t>
        </is>
      </c>
      <c r="B49" t="inlineStr">
        <is>
          <t>ТОВ "КОРВЕТ"</t>
        </is>
      </c>
      <c r="C49" t="inlineStr"/>
      <c r="D49" t="inlineStr">
        <is>
          <t>GOODRAM</t>
        </is>
      </c>
      <c r="E49" t="inlineStr"/>
      <c r="F49" t="inlineStr"/>
      <c r="G49" s="5" t="n">
        <v>47</v>
      </c>
      <c r="H49" s="5" t="n">
        <v>23</v>
      </c>
      <c r="I49" t="inlineStr"/>
      <c r="J49" t="inlineStr"/>
      <c r="K49" t="inlineStr">
        <is>
          <t>є авторизаційні листи виробника (47) — офіційний канал</t>
        </is>
      </c>
    </row>
    <row r="50">
      <c r="A50" t="inlineStr">
        <is>
          <t>42216158</t>
        </is>
      </c>
      <c r="B50" t="inlineStr">
        <is>
          <t>ТОВ "ІНТЕРАКТИВНІ СИСТЕМИ НАВЧАННЯ"</t>
        </is>
      </c>
      <c r="C50" t="inlineStr"/>
      <c r="D50" t="inlineStr"/>
      <c r="E50" t="inlineStr"/>
      <c r="F50" t="inlineStr"/>
      <c r="G50" s="5" t="n">
        <v>0</v>
      </c>
      <c r="H50" s="5" t="n">
        <v>5</v>
      </c>
      <c r="I50" t="inlineStr"/>
      <c r="J50" t="inlineStr"/>
      <c r="K50" t="inlineStr">
        <is>
          <t>Потрібний глибший ШІ аналіз</t>
        </is>
      </c>
    </row>
    <row r="51">
      <c r="A51" t="inlineStr">
        <is>
          <t>2235409477</t>
        </is>
      </c>
      <c r="B51" t="inlineStr">
        <is>
          <t>ФОП ІВАНЧЕНКО МИКОЛА ІВАНОВИЧ</t>
        </is>
      </c>
      <c r="C51" t="inlineStr"/>
      <c r="D51" t="inlineStr"/>
      <c r="E51" t="inlineStr"/>
      <c r="F51" t="inlineStr"/>
      <c r="G51" s="5" t="n">
        <v>3</v>
      </c>
      <c r="H51" s="5" t="n">
        <v>2</v>
      </c>
      <c r="I51" t="inlineStr"/>
      <c r="J51" t="inlineStr"/>
      <c r="K51" t="inlineStr">
        <is>
          <t>є авторизаційні листи виробника (3) — офіційний канал</t>
        </is>
      </c>
    </row>
    <row r="52">
      <c r="A52" t="inlineStr">
        <is>
          <t>30126040</t>
        </is>
      </c>
      <c r="B52" t="inlineStr">
        <is>
          <t>ТОВ "САНТАРЕКС"</t>
        </is>
      </c>
      <c r="C52" t="inlineStr"/>
      <c r="D52" t="inlineStr">
        <is>
          <t>Canon</t>
        </is>
      </c>
      <c r="E52" t="inlineStr"/>
      <c r="F52" t="inlineStr"/>
      <c r="G52" s="5" t="n">
        <v>0</v>
      </c>
      <c r="H52" s="5" t="n">
        <v>0</v>
      </c>
      <c r="I52" t="inlineStr"/>
      <c r="J52" t="inlineStr"/>
      <c r="K52" t="inlineStr">
        <is>
          <t>Потрібний глибший ШІ аналіз</t>
        </is>
      </c>
    </row>
    <row r="53">
      <c r="A53" t="inlineStr">
        <is>
          <t>40733799</t>
        </is>
      </c>
      <c r="B53" t="inlineStr">
        <is>
          <t>ТОВ "АРТЛАЙН ІНТЕГРАЦІЯ"</t>
        </is>
      </c>
      <c r="C53" t="inlineStr"/>
      <c r="D53" t="inlineStr">
        <is>
          <t>Artline, HP, AMD, Samsung</t>
        </is>
      </c>
      <c r="E53" t="inlineStr"/>
      <c r="F53" t="inlineStr">
        <is>
          <t>Artline (АРТЛАЙН ІНТЕГРАЦІЯ)</t>
        </is>
      </c>
      <c r="G53" s="5" t="n">
        <v>15</v>
      </c>
      <c r="H53" s="5" t="n">
        <v>22</v>
      </c>
      <c r="I53" t="inlineStr"/>
      <c r="J53" t="inlineStr"/>
      <c r="K53" t="inlineStr">
        <is>
          <t>власна ТМ (Artline) — товар власного бренду</t>
        </is>
      </c>
    </row>
    <row r="54">
      <c r="A54" t="inlineStr">
        <is>
          <t>37570093</t>
        </is>
      </c>
      <c r="B54" t="inlineStr">
        <is>
          <t>ТОВ "СМАРТ ТЕХНОЛОГІЇ В ОСВІТІ"</t>
        </is>
      </c>
      <c r="C54" t="inlineStr"/>
      <c r="D54" t="inlineStr"/>
      <c r="E54" t="inlineStr"/>
      <c r="F54" t="inlineStr"/>
      <c r="G54" s="5" t="n">
        <v>3</v>
      </c>
      <c r="H54" s="5" t="n">
        <v>8</v>
      </c>
      <c r="I54" t="inlineStr"/>
      <c r="J54" t="inlineStr"/>
      <c r="K54" t="inlineStr">
        <is>
          <t>є авторизаційні листи виробника (3) — офіційний канал</t>
        </is>
      </c>
    </row>
    <row r="55">
      <c r="A55" t="inlineStr">
        <is>
          <t>1620205276</t>
        </is>
      </c>
      <c r="B55" t="inlineStr">
        <is>
          <t>ФОП "ВАЙДА ГАВРИЛО ІВАНОВИЧ"</t>
        </is>
      </c>
      <c r="C55" t="inlineStr"/>
      <c r="D55" t="inlineStr"/>
      <c r="E55" t="inlineStr"/>
      <c r="F55" t="inlineStr"/>
      <c r="G55" s="5" t="n">
        <v>8</v>
      </c>
      <c r="H55" s="5" t="n">
        <v>0</v>
      </c>
      <c r="I55" t="inlineStr"/>
      <c r="J55" t="inlineStr"/>
      <c r="K55" t="inlineStr">
        <is>
          <t>є авторизаційні листи виробника (8) — офіційний канал</t>
        </is>
      </c>
    </row>
    <row r="56">
      <c r="A56" t="inlineStr">
        <is>
          <t>2145216995</t>
        </is>
      </c>
      <c r="B56" t="inlineStr">
        <is>
          <t>ФОП Цяк Валерій Михайлович</t>
        </is>
      </c>
      <c r="C56" t="inlineStr"/>
      <c r="D56" t="inlineStr">
        <is>
          <t>ASUS, Canon, Acer, Xerox</t>
        </is>
      </c>
      <c r="E56" t="inlineStr"/>
      <c r="F56" t="inlineStr"/>
      <c r="G56" s="5" t="n">
        <v>0</v>
      </c>
      <c r="H56" s="5" t="n">
        <v>0</v>
      </c>
      <c r="I56" t="inlineStr"/>
      <c r="J56" t="inlineStr"/>
      <c r="K56" t="inlineStr">
        <is>
          <t>Потрібний глибший ШІ аналіз</t>
        </is>
      </c>
    </row>
    <row r="57">
      <c r="A57" t="inlineStr">
        <is>
          <t>42831727</t>
        </is>
      </c>
      <c r="B57" t="inlineStr">
        <is>
          <t>ТОВ "ДИДАКТИКЛАБ"</t>
        </is>
      </c>
      <c r="C57" t="inlineStr"/>
      <c r="D57" t="inlineStr">
        <is>
          <t>Impression, Intel, AMD, Microsoft</t>
        </is>
      </c>
      <c r="E57" t="inlineStr"/>
      <c r="F57" t="inlineStr"/>
      <c r="G57" s="5" t="n">
        <v>0</v>
      </c>
      <c r="H57" s="5" t="n">
        <v>0</v>
      </c>
      <c r="I57" t="inlineStr"/>
      <c r="J57" t="inlineStr"/>
      <c r="K57" t="inlineStr">
        <is>
          <t>Потрібний глибший ШІ аналіз</t>
        </is>
      </c>
    </row>
    <row r="58">
      <c r="A58" t="inlineStr">
        <is>
          <t>42893689</t>
        </is>
      </c>
      <c r="B58" t="inlineStr">
        <is>
          <t>ТОВ "НАВІГАТОР СИСТЕМ"</t>
        </is>
      </c>
      <c r="C58" t="inlineStr"/>
      <c r="D58" t="inlineStr"/>
      <c r="E58" t="inlineStr"/>
      <c r="F58" t="inlineStr"/>
      <c r="G58" s="5" t="n">
        <v>1</v>
      </c>
      <c r="H58" s="5" t="n">
        <v>7</v>
      </c>
      <c r="I58" t="inlineStr"/>
      <c r="J58" t="inlineStr"/>
      <c r="K58" t="inlineStr">
        <is>
          <t>є авторизаційні листи виробника (1) — офіційний канал</t>
        </is>
      </c>
    </row>
    <row r="59">
      <c r="A59" t="inlineStr">
        <is>
          <t>24083083</t>
        </is>
      </c>
      <c r="B59" t="inlineStr">
        <is>
          <t>ТОВ "КОМЕЛ"</t>
        </is>
      </c>
      <c r="C59" t="inlineStr"/>
      <c r="D59" t="inlineStr">
        <is>
          <t>Canon, Vinga, Logitech</t>
        </is>
      </c>
      <c r="E59" t="inlineStr"/>
      <c r="F59" t="inlineStr">
        <is>
          <t>Vinga (КОМЕЛ)</t>
        </is>
      </c>
      <c r="G59" s="5" t="n">
        <v>0</v>
      </c>
      <c r="H59" s="5" t="n">
        <v>0</v>
      </c>
      <c r="I59" t="inlineStr"/>
      <c r="J59" t="inlineStr"/>
      <c r="K59" t="inlineStr">
        <is>
          <t>власна ТМ (Vinga) — товар власного бренду</t>
        </is>
      </c>
    </row>
    <row r="60">
      <c r="A60" t="inlineStr">
        <is>
          <t>43120417</t>
        </is>
      </c>
      <c r="B60" t="inlineStr">
        <is>
          <t>ТОВ "ПАВЕРТРЕЙД"</t>
        </is>
      </c>
      <c r="C60" t="inlineStr"/>
      <c r="D60" t="inlineStr">
        <is>
          <t>Intel, A4Tech, Canon</t>
        </is>
      </c>
      <c r="E60" t="inlineStr"/>
      <c r="F60" t="inlineStr"/>
      <c r="G60" s="5" t="n">
        <v>0</v>
      </c>
      <c r="H60" s="5" t="n">
        <v>0</v>
      </c>
      <c r="I60" t="inlineStr"/>
      <c r="J60" t="inlineStr"/>
      <c r="K60" t="inlineStr">
        <is>
          <t>Потрібний глибший ШІ аналіз</t>
        </is>
      </c>
    </row>
    <row r="61">
      <c r="A61" t="inlineStr">
        <is>
          <t>45596933</t>
        </is>
      </c>
      <c r="B61" t="inlineStr">
        <is>
          <t>ТОВ "КОМПАКОМ"</t>
        </is>
      </c>
      <c r="C61" t="inlineStr"/>
      <c r="D61" t="inlineStr">
        <is>
          <t>Intel, Artline, HP, Samsung</t>
        </is>
      </c>
      <c r="E61" t="inlineStr"/>
      <c r="F61" t="inlineStr">
        <is>
          <t>Artline (АРТЛАЙН ІНТЕГРАЦІЯ)</t>
        </is>
      </c>
      <c r="G61" s="5" t="n">
        <v>18</v>
      </c>
      <c r="H61" s="5" t="n">
        <v>16</v>
      </c>
      <c r="I61" t="inlineStr"/>
      <c r="J61" t="inlineStr"/>
      <c r="K61" t="inlineStr">
        <is>
          <t>власна ТМ (Artline) — товар власного бренду</t>
        </is>
      </c>
    </row>
    <row r="62">
      <c r="A62" t="inlineStr">
        <is>
          <t>2850105825</t>
        </is>
      </c>
      <c r="B62" t="inlineStr">
        <is>
          <t>ФОП "Гріпіч Тетяна Борисівна"</t>
        </is>
      </c>
      <c r="C62" t="inlineStr"/>
      <c r="D62" t="inlineStr">
        <is>
          <t>Intel</t>
        </is>
      </c>
      <c r="E62" t="inlineStr"/>
      <c r="F62" t="inlineStr"/>
      <c r="G62" s="5" t="n">
        <v>0</v>
      </c>
      <c r="H62" s="5" t="n">
        <v>0</v>
      </c>
      <c r="I62" t="inlineStr"/>
      <c r="J62" t="inlineStr"/>
      <c r="K62" t="inlineStr">
        <is>
          <t>Потрібний глибший ШІ аналіз</t>
        </is>
      </c>
    </row>
    <row r="63">
      <c r="A63" t="inlineStr">
        <is>
          <t>2874302850</t>
        </is>
      </c>
      <c r="B63" t="inlineStr">
        <is>
          <t>ФОП "СРИВКІН СЕРГІЙ БОРИСОВИЧ"</t>
        </is>
      </c>
      <c r="C63" t="inlineStr"/>
      <c r="D63" t="inlineStr">
        <is>
          <t>Intel, AMD, Microsoft</t>
        </is>
      </c>
      <c r="E63" t="inlineStr"/>
      <c r="F63" t="inlineStr"/>
      <c r="G63" s="5" t="n">
        <v>0</v>
      </c>
      <c r="H63" s="5" t="n">
        <v>0</v>
      </c>
      <c r="I63" t="inlineStr"/>
      <c r="J63" t="inlineStr"/>
      <c r="K63" t="inlineStr">
        <is>
          <t>Потрібний глибший ШІ аналіз</t>
        </is>
      </c>
    </row>
    <row r="64">
      <c r="A64" t="inlineStr">
        <is>
          <t>3395906995</t>
        </is>
      </c>
      <c r="B64" t="inlineStr">
        <is>
          <t>ФОП СІНЬКЕВИЧ ОЛЕКСАНДР АНАТОЛІЙОВИЧ</t>
        </is>
      </c>
      <c r="C64" t="inlineStr"/>
      <c r="D64" t="inlineStr"/>
      <c r="E64" t="inlineStr"/>
      <c r="F64" t="inlineStr"/>
      <c r="G64" s="5" t="n">
        <v>0</v>
      </c>
      <c r="H64" s="5" t="n">
        <v>0</v>
      </c>
      <c r="I64" t="inlineStr"/>
      <c r="J64" t="inlineStr"/>
      <c r="K64" t="inlineStr">
        <is>
          <t>Потрібний глибший ШІ аналіз</t>
        </is>
      </c>
    </row>
    <row r="65">
      <c r="A65" t="inlineStr">
        <is>
          <t>32490244</t>
        </is>
      </c>
      <c r="B65" t="inlineStr">
        <is>
          <t>ТОВ "Епіцентр К"</t>
        </is>
      </c>
      <c r="C65" t="inlineStr"/>
      <c r="D65" t="inlineStr">
        <is>
          <t>Epson</t>
        </is>
      </c>
      <c r="E65" t="inlineStr"/>
      <c r="F65" t="inlineStr"/>
      <c r="G65" s="5" t="n">
        <v>0</v>
      </c>
      <c r="H65" s="5" t="n">
        <v>0</v>
      </c>
      <c r="I65" t="inlineStr"/>
      <c r="J65" t="inlineStr"/>
      <c r="K65" t="inlineStr">
        <is>
          <t>Потрібний глибший ШІ аналіз</t>
        </is>
      </c>
    </row>
    <row r="66">
      <c r="A66" t="inlineStr">
        <is>
          <t>30256061</t>
        </is>
      </c>
      <c r="B66" t="inlineStr">
        <is>
          <t>ТОВ "ДІАВЕСТЕНД КОМПЛЕКСНІ РІШЕННЯ"</t>
        </is>
      </c>
      <c r="C66" t="inlineStr"/>
      <c r="D66" t="inlineStr">
        <is>
          <t>Intel, Artline, MSI, HP</t>
        </is>
      </c>
      <c r="E66" t="inlineStr"/>
      <c r="F66" t="inlineStr">
        <is>
          <t>Artline (АРТЛАЙН ІНТЕГРАЦІЯ)</t>
        </is>
      </c>
      <c r="G66" s="5" t="n">
        <v>6</v>
      </c>
      <c r="H66" s="5" t="n">
        <v>9</v>
      </c>
      <c r="I66" t="inlineStr"/>
      <c r="J66" t="inlineStr"/>
      <c r="K66" t="inlineStr">
        <is>
          <t>власна ТМ (Artline) — товар власного бренду</t>
        </is>
      </c>
    </row>
    <row r="67">
      <c r="A67" t="inlineStr">
        <is>
          <t>44554976</t>
        </is>
      </c>
      <c r="B67" t="inlineStr">
        <is>
          <t>ТОВ "КУБІК ГРУП"</t>
        </is>
      </c>
      <c r="C67" t="inlineStr"/>
      <c r="D67" t="inlineStr"/>
      <c r="E67" t="inlineStr"/>
      <c r="F67" t="inlineStr"/>
      <c r="G67" s="5" t="n">
        <v>0</v>
      </c>
      <c r="H67" s="5" t="n">
        <v>0</v>
      </c>
      <c r="I67" t="inlineStr"/>
      <c r="J67" t="inlineStr"/>
      <c r="K67" t="inlineStr">
        <is>
          <t>Потрібний глибший ШІ аналіз</t>
        </is>
      </c>
    </row>
    <row r="68">
      <c r="A68" t="inlineStr">
        <is>
          <t>38199744</t>
        </is>
      </c>
      <c r="B68" t="inlineStr">
        <is>
          <t>ТОВ "СІНТ-ДНІПРОПЕТРОВСЬК"</t>
        </is>
      </c>
      <c r="C68" t="inlineStr"/>
      <c r="D68" t="inlineStr"/>
      <c r="E68" t="inlineStr"/>
      <c r="F68" t="inlineStr"/>
      <c r="G68" s="5" t="n">
        <v>0</v>
      </c>
      <c r="H68" s="5" t="n">
        <v>0</v>
      </c>
      <c r="I68" t="inlineStr"/>
      <c r="J68" t="inlineStr"/>
      <c r="K68" t="inlineStr">
        <is>
          <t>Потрібний глибший ШІ аналіз</t>
        </is>
      </c>
    </row>
    <row r="69">
      <c r="A69" t="inlineStr">
        <is>
          <t>41351235</t>
        </is>
      </c>
      <c r="B69" t="inlineStr">
        <is>
          <t>ТОВ "КПІ-МАРКЕТ"</t>
        </is>
      </c>
      <c r="C69" t="inlineStr"/>
      <c r="D69" t="inlineStr"/>
      <c r="E69" t="inlineStr"/>
      <c r="F69" t="inlineStr"/>
      <c r="G69" s="5" t="n">
        <v>0</v>
      </c>
      <c r="H69" s="5" t="n">
        <v>0</v>
      </c>
      <c r="I69" t="inlineStr"/>
      <c r="J69" t="inlineStr"/>
      <c r="K69" t="inlineStr">
        <is>
          <t>Потрібний глибший ШІ аналіз</t>
        </is>
      </c>
    </row>
    <row r="70">
      <c r="A70" t="inlineStr">
        <is>
          <t>2948314313</t>
        </is>
      </c>
      <c r="B70" t="inlineStr">
        <is>
          <t>ФОП Козловський Сергій Павлович</t>
        </is>
      </c>
      <c r="C70" t="inlineStr"/>
      <c r="D70" t="inlineStr">
        <is>
          <t>Western Digital</t>
        </is>
      </c>
      <c r="E70" t="inlineStr"/>
      <c r="F70" t="inlineStr"/>
      <c r="G70" s="5" t="n">
        <v>0</v>
      </c>
      <c r="H70" s="5" t="n">
        <v>1</v>
      </c>
      <c r="I70" t="inlineStr"/>
      <c r="J70" t="inlineStr"/>
      <c r="K70" t="inlineStr">
        <is>
          <t>Потрібний глибший ШІ аналіз</t>
        </is>
      </c>
    </row>
    <row r="71">
      <c r="A71" t="inlineStr">
        <is>
          <t>3248805838</t>
        </is>
      </c>
      <c r="B71" t="inlineStr">
        <is>
          <t>ФОП ПРІСИЧ ДМИТРО МИКОЛАЙОВИЧ</t>
        </is>
      </c>
      <c r="C71" t="inlineStr"/>
      <c r="D71" t="inlineStr">
        <is>
          <t>Intel, AMD, Microsoft</t>
        </is>
      </c>
      <c r="E71" t="inlineStr"/>
      <c r="F71" t="inlineStr"/>
      <c r="G71" s="5" t="n">
        <v>0</v>
      </c>
      <c r="H71" s="5" t="n">
        <v>0</v>
      </c>
      <c r="I71" t="inlineStr"/>
      <c r="J71" t="inlineStr"/>
      <c r="K71" t="inlineStr">
        <is>
          <t>Потрібний глибший ШІ аналіз</t>
        </is>
      </c>
    </row>
    <row r="73">
      <c r="A73" s="2" t="inlineStr">
        <is>
          <t>Хто возить ту саму ТМ</t>
        </is>
      </c>
    </row>
    <row r="74">
      <c r="A74" s="11" t="inlineStr">
        <is>
          <t>Торгова марка</t>
        </is>
      </c>
      <c r="B74" s="11" t="inlineStr">
        <is>
          <t>Компаній</t>
        </is>
      </c>
      <c r="C74" s="11" t="inlineStr">
        <is>
          <t>Гравці (сума угод, грн)</t>
        </is>
      </c>
      <c r="D74" s="11" t="inlineStr">
        <is>
          <t>Ексклюзив</t>
        </is>
      </c>
      <c r="E74" s="11" t="inlineStr">
        <is>
          <t>Власник ТМ за довідником</t>
        </is>
      </c>
    </row>
    <row r="75">
      <c r="A75" t="inlineStr">
        <is>
          <t>Intel</t>
        </is>
      </c>
      <c r="B75" s="5" t="n">
        <v>41</v>
      </c>
      <c r="C75" t="inlineStr">
        <is>
          <t>ТОВ "ЕМЕНС" — 4 116 900; ТОВ "ДІСТРІ ІНВАЙТ ІТ" — 1 098 870; ТОВ "ТОРГОВИЙ ДІМ "ПАРТНЕР АЙ ТІ" — 555 594; ФОП "САВРУК ВІКТОРІЯ ЯРОСЛАВІВНА" — 438 945; ФОП Кушнір Віктор Вікторович — 325 000; ФОП "Гумен Юрій Анатолійович" — 306 470</t>
        </is>
      </c>
      <c r="D75" t="inlineStr"/>
      <c r="E75" t="inlineStr"/>
    </row>
    <row r="76">
      <c r="A76" t="inlineStr">
        <is>
          <t>Canon</t>
        </is>
      </c>
      <c r="B76" s="5" t="n">
        <v>75</v>
      </c>
      <c r="C76" t="inlineStr">
        <is>
          <t>ТОВ «ПОРТАЛ АРЕНА» — 402 480; ТОВ "САНТАРЕКС" — 391 878; ФОП ІВАНЧЕНКО МИКОЛА ІВАНОВИЧ — 357 700; ТОВ "БЕСТТЕХНОПОСТАЧ" — 294 984; ФОП Артюшенко Ірина Миколаївна — 250 132; ТОВ "ІНТЕКС ЦЕНТР" — 229 500</t>
        </is>
      </c>
      <c r="D76" t="inlineStr"/>
      <c r="E76" t="inlineStr"/>
    </row>
    <row r="77">
      <c r="A77" t="inlineStr">
        <is>
          <t>HP</t>
        </is>
      </c>
      <c r="B77" s="5" t="n">
        <v>36</v>
      </c>
      <c r="C77" t="inlineStr">
        <is>
          <t>Полешко Валентина Володимирівна — 755 580; ТОВ «ЮДІТРЕЙД» — 387 623; ТОВ "СИСТЕМАТИКА УКРАЇНА" — 338 544; ТОВ "МАКСИМВІСІМ" — 219 994; ФОП "ІВАНОВ ІГОР ВІКТОРОВИЧ" — 147 900; ТОВ «ПОРТАЛ АРЕНА» — 141 000</t>
        </is>
      </c>
      <c r="D77" t="inlineStr"/>
      <c r="E77" t="inlineStr"/>
    </row>
    <row r="78">
      <c r="A78" t="inlineStr">
        <is>
          <t>Lenovo</t>
        </is>
      </c>
      <c r="B78" s="5" t="n">
        <v>36</v>
      </c>
      <c r="C78" t="inlineStr">
        <is>
          <t>ТОВ "НАДІЙНІ ІТ РІШЕННЯ" — 434 478; ТОВ "ВЕСКО ІНВЕСТ" — 399 240; ФОП "СЕМЕНЮК ОЛЕНА МИКОЛАЇВНА" — 294 800; ТзОВ "Поділля Фінанс" — 257 700; ФОП Артюшенко Ірина Миколаївна — 192 600; ТОВ "ПРИНТ ЕКСПЕРТ" — 180 036</t>
        </is>
      </c>
      <c r="D78" t="inlineStr"/>
      <c r="E78" t="inlineStr"/>
    </row>
    <row r="79">
      <c r="A79" t="inlineStr">
        <is>
          <t>Samsung</t>
        </is>
      </c>
      <c r="B79" s="5" t="n">
        <v>27</v>
      </c>
      <c r="C79" t="inlineStr">
        <is>
          <t>ТОВ "ПАРСЕРС" — 1 374 000; ФОП "ТОНІЄВИЧ ЮЛІЯ СЕРГІЇВНА" — 298 800; ТОВ "ГІГАГЕРЦ" — 294 786; ТОВ «ЮДІТРЕЙД» — 268 680; ТОВ "ВОЛИНЬ ТЕХНОКОМФОРТ" — 246 300; ТОВ "КОРВЕТ" — 120 365</t>
        </is>
      </c>
      <c r="D79" t="inlineStr"/>
      <c r="E79" t="inlineStr"/>
    </row>
    <row r="80">
      <c r="A80" t="inlineStr">
        <is>
          <t>AMD</t>
        </is>
      </c>
      <c r="B80" s="5" t="n">
        <v>17</v>
      </c>
      <c r="C80" t="inlineStr">
        <is>
          <t>ТОВ «ПОРТАЛ АРЕНА» — 1 592 400; ПП КЛІМУК ЮРІЙ ВАЛЕНТИНОВИЧ, Інформація про кінцевого бенефіціарта власника Клімук Юрій Валентинович, громадянство Україна, місцезнакходження 45000 м.Ковель, уиця Затишна буд. 3Б, кв. 4 — 134 750; ФО-П ТАРАСОВ ОЛЕКСАНДР ОЛЕГОВИЧ — 121 300; Оборонний постачальник — 102 800; ФОП Хомич Вікторія Вікторівна — 88 200; ПП «МП СПРАЙТ» — 72 868</t>
        </is>
      </c>
      <c r="D80" t="inlineStr"/>
      <c r="E80" t="inlineStr"/>
    </row>
    <row r="81">
      <c r="A81" t="inlineStr">
        <is>
          <t>ASUS</t>
        </is>
      </c>
      <c r="B81" s="5" t="n">
        <v>26</v>
      </c>
      <c r="C81" t="inlineStr">
        <is>
          <t>ТОВ "НАДІЙНІ ІТ РІШЕННЯ" — 659 466; ФОП Цяк Валерій Михайлович — 322 050; ПП "МЕГАПОРТАЛ ЛУЦЬК" — 175 080; ТОВ "ТІНОС-Д" — 149 400; ФОП Юхно Сніжана Віталіївна — 85 160; ТОВ "СІНТ-ДНІПРОПЕТРОВСЬК" — 83 880</t>
        </is>
      </c>
      <c r="D81" t="inlineStr"/>
      <c r="E81" t="inlineStr"/>
    </row>
    <row r="82">
      <c r="A82" t="inlineStr">
        <is>
          <t>Dell</t>
        </is>
      </c>
      <c r="B82" s="5" t="n">
        <v>13</v>
      </c>
      <c r="C82" t="inlineStr">
        <is>
          <t>ТОВ "КСА 7" — 417 648; ТОВ «ПБГ19» — 381 174; ФОП Данильчук С.Г. — 196 500; ФОП Данильчук Сергій Павлович — 99 990; ФОП Бурнишева Т.Ф. — 90 000; ГАМАЛІЙЧУК СЕРГІЙ АНАТОЛІЙОВИЧ — 88 997</t>
        </is>
      </c>
      <c r="D82" t="inlineStr"/>
      <c r="E82" t="inlineStr"/>
    </row>
    <row r="83">
      <c r="A83" t="inlineStr">
        <is>
          <t>Vinga</t>
        </is>
      </c>
      <c r="B83" s="5" t="n">
        <v>19</v>
      </c>
      <c r="C83" t="inlineStr">
        <is>
          <t>ТОВ "МАКСИМВІСІМ" — 765 414; ФОП Кузьмич Сергій Петрович — 119 324; ФОП Кучмук Євгеній Євгенович — 96 000; ТОВ "КОМЕЛ" — 90 504; ФО-П ТАРАСОВ ОЛЕКСАНДР ОЛЕГОВИЧ — 87 657; ТзОВ "Лафіт" — 77 400</t>
        </is>
      </c>
      <c r="D83" t="inlineStr"/>
      <c r="E83" t="inlineStr">
        <is>
          <t>КОМЕЛ</t>
        </is>
      </c>
    </row>
    <row r="84">
      <c r="A84" t="inlineStr">
        <is>
          <t>Acer</t>
        </is>
      </c>
      <c r="B84" s="5" t="n">
        <v>23</v>
      </c>
      <c r="C84" t="inlineStr">
        <is>
          <t>ТОВ «ЮДІТРЕЙД» — 372 837; ТОВ "ПАРСЕРС" — 195 438; ФОП Артюшенко Ірина Миколаївна — 195 400; Підприємець Борух Микола Миколайович — 93 850; ФОП Цяк Валерій Михайлович — 73 599; ТОВ "ЛІНТУ" — 60 400</t>
        </is>
      </c>
      <c r="D84" t="inlineStr"/>
      <c r="E84" t="inlineStr"/>
    </row>
    <row r="85">
      <c r="A85" t="inlineStr">
        <is>
          <t>Microsoft</t>
        </is>
      </c>
      <c r="B85" s="5" t="n">
        <v>7</v>
      </c>
      <c r="C85" t="inlineStr">
        <is>
          <t>ФОП Атаманська Анастасія Сергіївна — 534 150; ТОВ «ПОРТАЛ АРЕНА» — 231 198; ФОП "ЛОГАЧОВА ЛЮДМИЛА МИКОЛАЇВНА" — 187 987; ФОП Галушкіна Олеся Михайлівна — 67 800; ФО-П Іванів Олександр Олегович — 32 700; ТОВ "САНТАРЕКС" — 14 310</t>
        </is>
      </c>
      <c r="D85" t="inlineStr"/>
      <c r="E85" t="inlineStr"/>
    </row>
    <row r="86">
      <c r="A86" t="inlineStr">
        <is>
          <t>Artline</t>
        </is>
      </c>
      <c r="B86" s="5" t="n">
        <v>7</v>
      </c>
      <c r="C86" t="inlineStr">
        <is>
          <t>ТОВ "АРТЛАЙН ІНТЕГРАЦІЯ" — 477 472; ФОП "ІВАНОВ ІГОР ВІКТОРОВИЧ" — 98 495; ТОВ "ДІАВЕСТЕНД КОМПЛЕКСНІ РІШЕННЯ" — 93 330; ФО-підприємець Пасічник Андрій Володимирович — 84 150; ФОП Придатко Василь Адамович — 78 897; ФОП Томчик Євгеній Вікторович — 35 500</t>
        </is>
      </c>
      <c r="D86" t="inlineStr"/>
      <c r="E86" t="inlineStr">
        <is>
          <t>АРТЛАЙН ІНТЕГРАЦІЯ</t>
        </is>
      </c>
    </row>
    <row r="87">
      <c r="A87" t="inlineStr">
        <is>
          <t>Epson</t>
        </is>
      </c>
      <c r="B87" s="5" t="n">
        <v>31</v>
      </c>
      <c r="C87" t="inlineStr">
        <is>
          <t>ФОП "Храпко Іван Володимирович" — 105 610; ФО-П ТАРАСОВ ОЛЕКСАНДР ОЛЕГОВИЧ — 70 700; ФОП Томчик Євгеній Вікторович — 60 650; Оборонний постачальник — 49 857; ФОП Масюк Володимир Миколайович — 42 497; ТОВ "САНТАРЕКС" — 38 166</t>
        </is>
      </c>
      <c r="D87" t="inlineStr"/>
      <c r="E87" t="inlineStr"/>
    </row>
    <row r="88">
      <c r="A88" t="inlineStr">
        <is>
          <t>MSI</t>
        </is>
      </c>
      <c r="B88" s="5" t="n">
        <v>13</v>
      </c>
      <c r="C88" t="inlineStr">
        <is>
          <t>ТОВ "ПАРСЕРС" — 184 000; ФОП ЗАЛІЗИНСЬКА ЮЛІАНА ДАРІУСІВНА — 113 037; ТОВ "КУБІК ГРУП" — 95 798; ТОВ "ЕКО ДРУК" — 95 310; Оборонний постачальник — 57 200; ФОП Ковальчук Юрій Володимирович — 49 800</t>
        </is>
      </c>
      <c r="D88" t="inlineStr"/>
      <c r="E88" t="inlineStr"/>
    </row>
    <row r="89">
      <c r="A89" t="inlineStr">
        <is>
          <t>Impression</t>
        </is>
      </c>
      <c r="B89" s="5" t="n">
        <v>6</v>
      </c>
      <c r="C89" t="inlineStr">
        <is>
          <t>ТОВ "ДИДАКТИКЛАБ" — 218 167; ТОВ "НАВІГАТОР СИСТЕМ" — 135 420; ТОВ "ДІСТРІ ІНВАЙТ ІТ" — 108 048; ТОВ "ВЕКТОР-СТМ" — 67 300; ТОВ "ДНІПРОБІЗНЕСКОНСАЛТИНГ" — 46 700; ФОП ШВАЙ АНАТОЛІЙ ФЕДОРОВИЧ — 2 100</t>
        </is>
      </c>
      <c r="D89" t="inlineStr"/>
      <c r="E89" t="inlineStr"/>
    </row>
    <row r="90">
      <c r="A90" t="inlineStr">
        <is>
          <t>APC</t>
        </is>
      </c>
      <c r="B90" s="5" t="n">
        <v>3</v>
      </c>
      <c r="C90" t="inlineStr">
        <is>
          <t>ФОП "ФОП ТОМАШЕВСЬКИЙ АРТУР ІВАНОВИЧ" — 148 750; ТОВ "БЕСТТЕХНОПОСТАЧ" — 140 244; ФОП "ГРІНЧЕНКО ЗОЯ ОЛЕКСІЇВНА" — 129 800</t>
        </is>
      </c>
      <c r="D90" t="inlineStr"/>
      <c r="E90" t="inlineStr"/>
    </row>
    <row r="91">
      <c r="A91" t="inlineStr">
        <is>
          <t>Logitech</t>
        </is>
      </c>
      <c r="B91" s="5" t="n">
        <v>28</v>
      </c>
      <c r="C91" t="inlineStr">
        <is>
          <t>ФОП "ІВАНОВ ІГОР ВІКТОРОВИЧ" — 74 188; ФОП Варшик Богдан Анатолійович — 62 440; ФОП Хомич Вікторія Вікторівна — 60 320; ТзОВ "ПРИВАТІНВЕСТ" — 44 911; ТОВ "САНТАРЕКС" — 31 517; ФО-підприємець Пасічник Андрій Володимирович — 26 151</t>
        </is>
      </c>
      <c r="D91" t="inlineStr"/>
      <c r="E91" t="inlineStr"/>
    </row>
    <row r="92">
      <c r="A92" t="inlineStr">
        <is>
          <t>Philips</t>
        </is>
      </c>
      <c r="B92" s="5" t="n">
        <v>9</v>
      </c>
      <c r="C92" t="inlineStr">
        <is>
          <t>ТОВ "МОБАЙЛ АЙТІ" — 150 148; ТОВ "САНТАРЕКС" — 124 776; ФОП Варшик Богдан Анатолійович — 28 200; ФОП Ліпський Анатолій Михайлович — 14 425; ПП "МЕГАПОРТАЛ ЛУЦЬК" — 11 475; ФО-П ТАРАСОВ ОЛЕКСАНДР ОЛЕГОВИЧ — 7 998</t>
        </is>
      </c>
      <c r="D92" t="inlineStr"/>
      <c r="E92" t="inlineStr"/>
    </row>
    <row r="93">
      <c r="A93" t="inlineStr">
        <is>
          <t>Toshiba</t>
        </is>
      </c>
      <c r="B93" s="5" t="n">
        <v>4</v>
      </c>
      <c r="C93" t="inlineStr">
        <is>
          <t>ТОВ "МОБАЙЛ АЙТІ" — 166 824; ФО-підприємець Пасічник Андрій Володимирович — 98 000; ТзОВ "ПРИВАТІНВЕСТ" — 36 620; ФОП Волох Сергій Степанович — 3 100</t>
        </is>
      </c>
      <c r="D93" t="inlineStr"/>
      <c r="E93" t="inlineStr"/>
    </row>
    <row r="94">
      <c r="A94" t="inlineStr">
        <is>
          <t>A4Tech</t>
        </is>
      </c>
      <c r="B94" s="5" t="n">
        <v>11</v>
      </c>
      <c r="C94" t="inlineStr">
        <is>
          <t>ТОВ "Епіцентр К" — 84 067; ТОВ "ІДІДЖІ ГРУП" — 55 522; ТОВ "ПАВЕРТРЕЙД" — 27 585; ФОП Варшик Богдан Анатолійович — 11 090; ФОП Сомик Олександр Іванович — 5 205; ФОП ЛІТКОВИЧ АЛЛА ГРИГОРІВНА — 2 518</t>
        </is>
      </c>
      <c r="D94" t="inlineStr"/>
      <c r="E94" t="inlineStr"/>
    </row>
    <row r="95">
      <c r="A95" t="inlineStr">
        <is>
          <t>Prologix</t>
        </is>
      </c>
      <c r="B95" s="5" t="n">
        <v>6</v>
      </c>
      <c r="C95" t="inlineStr">
        <is>
          <t>ФОП "Гріпіч Тетяна Борисівна" — 60 000; ФОП ШЕВЧУК БОГДАНА ПЕТРІВНА — 57 998; ПП "ФІРМА "МОДУЛЬ" — 28 950; ФОП Сорока Віталій Петрович — 19 000; ФОП Кузьмич Сергій Петрович — 5 086; ФОП Жуковська Марина Миколаївна — 4 300</t>
        </is>
      </c>
      <c r="D95" t="inlineStr"/>
      <c r="E95" t="inlineStr">
        <is>
          <t>РЕФОРМА СИСТЕМЗ</t>
        </is>
      </c>
    </row>
    <row r="96">
      <c r="A96" t="inlineStr">
        <is>
          <t>Patriot</t>
        </is>
      </c>
      <c r="B96" s="5" t="n">
        <v>6</v>
      </c>
      <c r="C96" t="inlineStr">
        <is>
          <t>ФОП Сидняк Костянтин Володимирович — 86 798; Підприємець Борух Микола Миколайович — 43 950; CПД ФО Уласевич Сергій Олександрович — 23 940; ТзОВ "Лафіт" — 12 264; ФОП Кукатов Віталій Юрійович — 6 530; ФОП Масюк Володимир Миколайович — 1 522</t>
        </is>
      </c>
      <c r="D96" t="inlineStr"/>
      <c r="E96" t="inlineStr"/>
    </row>
    <row r="97">
      <c r="A97" t="inlineStr">
        <is>
          <t>Kingston</t>
        </is>
      </c>
      <c r="B97" s="5" t="n">
        <v>15</v>
      </c>
      <c r="C97" t="inlineStr">
        <is>
          <t>ТзОВ "ПРИВАТІНВЕСТ" — 36 556; ФОП Придатко Василь Адамович — 29 865; ФОП "Згоннікова Юлія Станіславівна " — 24 039; ТОВ "КОРВЕТ" — 17 073; ФОП Остапук Андрій Володимирович — 17 050; ТОВ "ФТД-РИТЕЙЛ" — 13 960</t>
        </is>
      </c>
      <c r="D97" t="inlineStr"/>
      <c r="E97" t="inlineStr"/>
    </row>
    <row r="98">
      <c r="A98" t="inlineStr">
        <is>
          <t>NVIDIA</t>
        </is>
      </c>
      <c r="B98" s="5" t="n">
        <v>1</v>
      </c>
      <c r="C98" t="inlineStr">
        <is>
          <t>ТОВ "ПАРСЕРС" — 164 000</t>
        </is>
      </c>
      <c r="D98" t="inlineStr">
        <is>
          <t>так</t>
        </is>
      </c>
      <c r="E98" t="inlineStr"/>
    </row>
    <row r="99">
      <c r="A99" t="inlineStr">
        <is>
          <t>Western Digital</t>
        </is>
      </c>
      <c r="B99" s="5" t="n">
        <v>4</v>
      </c>
      <c r="C99" t="inlineStr">
        <is>
          <t>ФОП МІЩЕНКО ОЛЕНА АНАТОЛІЇВНА — 66 559; ПП "ФІРМА "МОДУЛЬ" — 35 085; ТзОВ "ПРИВАТІНВЕСТ" — 33 082; ГАМАЛІЙЧУК СЕРГІЙ АНАТОЛІЙОВИЧ — 3 535</t>
        </is>
      </c>
      <c r="D99" t="inlineStr"/>
      <c r="E99" t="inlineStr"/>
    </row>
    <row r="100">
      <c r="A100" t="inlineStr">
        <is>
          <t>Verbatim</t>
        </is>
      </c>
      <c r="B100" s="5" t="n">
        <v>4</v>
      </c>
      <c r="C100" t="inlineStr">
        <is>
          <t>ФОП Господенко Олександр Романович — 79 148; ТОВ "СІНТ-ДНІПРОПЕТРОВСЬК" — 23 760; ФОП Данильчук Сергій Павлович — 19 350; ФОП Балух С.В. — 10 700</t>
        </is>
      </c>
      <c r="D100" t="inlineStr"/>
      <c r="E100" t="inlineStr"/>
    </row>
    <row r="101">
      <c r="A101" t="inlineStr">
        <is>
          <t>GOODRAM</t>
        </is>
      </c>
      <c r="B101" s="5" t="n">
        <v>6</v>
      </c>
      <c r="C101" t="inlineStr">
        <is>
          <t>ТОВ "КОМПЛЕКСНІ РІШЕННЯ МЕРЕЖ" — 78 879; ФОП Кіреєва Вікторія Анатоліївна — 22 980; ТзОВ "МАКС ПРІНТ" — 17 990; ФОП ЖИГАЛЛО ВАЛЕНТИНА МАКАРІВНА — 4 500; ФОП ШЕВЧУК БОГДАНА ПЕТРІВНА — 547; ТОВ "КОРВЕТ" — 285</t>
        </is>
      </c>
      <c r="D101" t="inlineStr"/>
      <c r="E101" t="inlineStr"/>
    </row>
    <row r="102">
      <c r="A102" t="inlineStr">
        <is>
          <t>Transcend</t>
        </is>
      </c>
      <c r="B102" s="5" t="n">
        <v>5</v>
      </c>
      <c r="C102" t="inlineStr">
        <is>
          <t>ТОВ "КТС Бізнес" — 75 960; ФОП Зінчук Юлія Федорівна — 6 599; ЦИПЛЮК СЕРГІЙ ВОЛОДИМИРОВИЧ — 3 527; ФО-підприємець Пасічник Андрій Володимирович — 930; ЦИПЛЮК ОЛЬГА ДМИТРІВНА — 631</t>
        </is>
      </c>
      <c r="D102" t="inlineStr"/>
      <c r="E102" t="inlineStr"/>
    </row>
    <row r="103">
      <c r="A103" t="inlineStr">
        <is>
          <t>2E</t>
        </is>
      </c>
      <c r="B103" s="5" t="n">
        <v>6</v>
      </c>
      <c r="C103" t="inlineStr">
        <is>
          <t>ТОВ "ПАРСЕРС" — 41 400; ТОВ "ПАВЕРТРЕЙД" — 14 400; ФОП Томчик Євгеній Вікторович — 4 750; ГРЕК ОЛЕКСАНДР ПЕТРОВИЧ — 3 907; ФОП Сорока Віталій Петрович — 3 700; ФО-підприємець Пасічник Андрій Володимирович — 900</t>
        </is>
      </c>
      <c r="D103" t="inlineStr"/>
      <c r="E103" t="inlineStr"/>
    </row>
    <row r="104">
      <c r="A104" t="inlineStr">
        <is>
          <t>Pantum</t>
        </is>
      </c>
      <c r="B104" s="5" t="n">
        <v>1</v>
      </c>
      <c r="C104" t="inlineStr">
        <is>
          <t>ГАЛКІНА ТАМАРА ІВАНІВНА — 68 580</t>
        </is>
      </c>
      <c r="D104" t="inlineStr">
        <is>
          <t>так</t>
        </is>
      </c>
      <c r="E104" t="inlineStr"/>
    </row>
    <row r="105">
      <c r="A105" t="inlineStr">
        <is>
          <t>Chieftec</t>
        </is>
      </c>
      <c r="B105" s="5" t="n">
        <v>1</v>
      </c>
      <c r="C105" t="inlineStr">
        <is>
          <t>Оборонний постачальник — 65 950</t>
        </is>
      </c>
      <c r="D105" t="inlineStr">
        <is>
          <t>так</t>
        </is>
      </c>
      <c r="E105" t="inlineStr"/>
    </row>
    <row r="106">
      <c r="A106" t="inlineStr">
        <is>
          <t>Seagate</t>
        </is>
      </c>
      <c r="B106" s="5" t="n">
        <v>3</v>
      </c>
      <c r="C106" t="inlineStr">
        <is>
          <t>Оборонний постачальник — 53 350; ФОП Варшик Богдан Анатолійович — 4 500; ТзОВ "КПІ Сервіс Груп" — 3 912</t>
        </is>
      </c>
      <c r="D106" t="inlineStr"/>
      <c r="E106" t="inlineStr"/>
    </row>
    <row r="107">
      <c r="A107" t="inlineStr">
        <is>
          <t>Sandisk</t>
        </is>
      </c>
      <c r="B107" s="5" t="n">
        <v>2</v>
      </c>
      <c r="C107" t="inlineStr">
        <is>
          <t>Кучер Борис Борисович — 59 700; ФОП ШЕВЧУК БОГДАНА ПЕТРІВНА — 697</t>
        </is>
      </c>
      <c r="D107" t="inlineStr"/>
      <c r="E107" t="inlineStr"/>
    </row>
    <row r="108">
      <c r="A108" t="inlineStr">
        <is>
          <t>Micron</t>
        </is>
      </c>
      <c r="B108" s="5" t="n">
        <v>2</v>
      </c>
      <c r="C108" t="inlineStr">
        <is>
          <t>ТОВ "ЛІНТУ" — 57 324; ФОП Бензель Юрій Васильович — 2 900</t>
        </is>
      </c>
      <c r="D108" t="inlineStr"/>
      <c r="E108" t="inlineStr"/>
    </row>
    <row r="109">
      <c r="A109" t="inlineStr">
        <is>
          <t>Brother</t>
        </is>
      </c>
      <c r="B109" s="5" t="n">
        <v>2</v>
      </c>
      <c r="C109" t="inlineStr">
        <is>
          <t>ФОП "Гріпіч Тетяна Борисівна" — 39 000; ПП КЛІМУК ЮРІЙ ВАЛЕНТИНОВИЧ, Інформація про кінцевого бенефіціарта власника Клімук Юрій Валентинович, громадянство Україна, місцезнакходження 45000 м.Ковель, уиця Затишна буд. 3Б, кв. 4 — 21 119</t>
        </is>
      </c>
      <c r="D109" t="inlineStr"/>
      <c r="E109" t="inlineStr"/>
    </row>
    <row r="110">
      <c r="A110" t="inlineStr">
        <is>
          <t>TP-Link</t>
        </is>
      </c>
      <c r="B110" s="5" t="n">
        <v>5</v>
      </c>
      <c r="C110" t="inlineStr">
        <is>
          <t>ФОП Цяк Валерій Михайлович — 21 800; ФОП МУЗИКА ОЛЕНА ГРИГОРІВНА — 13 000; ФОП Варшик Богдан Анатолійович — 7 042; ФОП Масюк Володимир Миколайович — 6 437; ПП КЛІМУК ЮРІЙ ВАЛЕНТИНОВИЧ, Інформація про кінцевого бенефіціарта власника Клімук Юрій Валентинович, громадянство Україна, місцезнакходження 45000 м.Ковель, уиця Затишна буд. 3Б, кв. 4 — 500</t>
        </is>
      </c>
      <c r="D110" t="inlineStr"/>
      <c r="E110" t="inlineStr"/>
    </row>
    <row r="111">
      <c r="A111" t="inlineStr">
        <is>
          <t>Xiaomi</t>
        </is>
      </c>
      <c r="B111" s="5" t="n">
        <v>4</v>
      </c>
      <c r="C111" t="inlineStr">
        <is>
          <t>ФО-П ТАРАСОВ ОЛЕКСАНДР ОЛЕГОВИЧ — 14 948; ФОП "ІВАНОВ ІГОР ВІКТОРОВИЧ" — 13 640; ФОП Жуковська Марина Миколаївна — 9 550; ФО-підприємець Пасічник Андрій Володимирович — 9 025</t>
        </is>
      </c>
      <c r="D111" t="inlineStr"/>
      <c r="E111" t="inlineStr"/>
    </row>
    <row r="112">
      <c r="A112" t="inlineStr">
        <is>
          <t>ADATA</t>
        </is>
      </c>
      <c r="B112" s="5" t="n">
        <v>2</v>
      </c>
      <c r="C112" t="inlineStr">
        <is>
          <t>ФОП Хомич Вікторія Вікторівна — 41 900; ФОП Балух С.В. — 4 820</t>
        </is>
      </c>
      <c r="D112" t="inlineStr"/>
      <c r="E112" t="inlineStr"/>
    </row>
    <row r="113">
      <c r="A113" t="inlineStr">
        <is>
          <t>Crucial</t>
        </is>
      </c>
      <c r="B113" s="5" t="n">
        <v>1</v>
      </c>
      <c r="C113" t="inlineStr">
        <is>
          <t>ФОП Ковальчук Юрій Володимирович — 45 000</t>
        </is>
      </c>
      <c r="D113" t="inlineStr">
        <is>
          <t>так</t>
        </is>
      </c>
      <c r="E113" t="inlineStr"/>
    </row>
    <row r="114">
      <c r="A114" t="inlineStr">
        <is>
          <t>GAMEMAX</t>
        </is>
      </c>
      <c r="B114" s="5" t="n">
        <v>2</v>
      </c>
      <c r="C114" t="inlineStr">
        <is>
          <t>ФОП Сидняк Костянтин Володимирович — 32 450; ФОП МУЗИКА ОЛЕНА ГРИГОРІВНА — 2 300</t>
        </is>
      </c>
      <c r="D114" t="inlineStr"/>
      <c r="E114" t="inlineStr"/>
    </row>
    <row r="115">
      <c r="A115" t="inlineStr">
        <is>
          <t>Gembird</t>
        </is>
      </c>
      <c r="B115" s="5" t="n">
        <v>13</v>
      </c>
      <c r="C115" t="inlineStr">
        <is>
          <t>ФОП Петрощук Сергій Володимирович — 9 600; ПП "МЕГАПОРТАЛ ЛУЦЬК" — 4 860; ФОП Кучмук Євгеній Євгенович — 4 530; Підприємець Король Володимир Михайлович — 3 460; ФОП Кузьмич Сергій Петрович — 2 594; ФОП Хомич Вікторія Вікторівна — 1 940</t>
        </is>
      </c>
      <c r="D115" t="inlineStr"/>
      <c r="E115" t="inlineStr"/>
    </row>
    <row r="116">
      <c r="A116" t="inlineStr">
        <is>
          <t>Xerox</t>
        </is>
      </c>
      <c r="B116" s="5" t="n">
        <v>2</v>
      </c>
      <c r="C116" t="inlineStr">
        <is>
          <t>ФОП Цяк Валерій Михайлович — 20 750; ФОП ІЩУК ФЕДІР ЛЕОНІДОВИЧ — 10 736</t>
        </is>
      </c>
      <c r="D116" t="inlineStr"/>
      <c r="E116" t="inlineStr"/>
    </row>
    <row r="117">
      <c r="A117" t="inlineStr">
        <is>
          <t>Cablexpert</t>
        </is>
      </c>
      <c r="B117" s="5" t="n">
        <v>6</v>
      </c>
      <c r="C117" t="inlineStr">
        <is>
          <t>ФОП Томчик Євгеній Вікторович — 13 736; ФОП Сидняк Костянтин Володимирович — 10 918; ПП КЛІМУК ЮРІЙ ВАЛЕНТИНОВИЧ, Інформація про кінцевого бенефіціарта власника Клімук Юрій Валентинович, громадянство Україна, місцезнакходження 45000 м.Ковель, уиця Затишна буд. 3Б, кв. 4 — 3 380; Оборонний постачальник — 2 010; ФОП Бензель Юрій Васильович — 1 010; ЛЕЛЮХ ВАСИЛЬ ВОЛОДИМИРОВИЧ — 230</t>
        </is>
      </c>
      <c r="D117" t="inlineStr"/>
      <c r="E117" t="inlineStr"/>
    </row>
    <row r="118">
      <c r="A118" t="inlineStr">
        <is>
          <t>Genius</t>
        </is>
      </c>
      <c r="B118" s="5" t="n">
        <v>9</v>
      </c>
      <c r="C118" t="inlineStr">
        <is>
          <t>ФОП Зінчук Юлія Федорівна — 12 000; ФОП ОЧЕНКО МИХАЙЛО МИКОЛАЙОВИЧ — 4 020; ФОП Сорока Віталій Петрович — 2 739; ФОП Жуковська Марина Миколаївна — 2 110; ПП КЛІМУК ЮРІЙ ВАЛЕНТИНОВИЧ, Інформація про кінцевого бенефіціарта власника Клімук Юрій Валентинович, громадянство Україна, місцезнакходження 45000 м.Ковель, уиця Затишна буд. 3Б, кв. 4 — 1 000; ЦИПЛЮК СЕРГІЙ ВОЛОДИМИРОВИЧ — 918</t>
        </is>
      </c>
      <c r="D118" t="inlineStr"/>
      <c r="E118" t="inlineStr"/>
    </row>
    <row r="119">
      <c r="A119" t="inlineStr">
        <is>
          <t>Kyocera</t>
        </is>
      </c>
      <c r="B119" s="5" t="n">
        <v>1</v>
      </c>
      <c r="C119" t="inlineStr">
        <is>
          <t>ТОВ "САНТАРЕКС" — 16 320</t>
        </is>
      </c>
      <c r="D119" t="inlineStr">
        <is>
          <t>так</t>
        </is>
      </c>
      <c r="E119" t="inlineStr"/>
    </row>
    <row r="120">
      <c r="A120" t="inlineStr">
        <is>
          <t>iiyama</t>
        </is>
      </c>
      <c r="B120" s="5" t="n">
        <v>1</v>
      </c>
      <c r="C120" t="inlineStr">
        <is>
          <t>ФОП Томчик Євгеній Вікторович — 14 850</t>
        </is>
      </c>
      <c r="D120" t="inlineStr">
        <is>
          <t>так</t>
        </is>
      </c>
      <c r="E120" t="inlineStr"/>
    </row>
    <row r="121">
      <c r="A121" t="inlineStr">
        <is>
          <t>Maxxter</t>
        </is>
      </c>
      <c r="B121" s="5" t="n">
        <v>4</v>
      </c>
      <c r="C121" t="inlineStr">
        <is>
          <t>ФОП Варшик Богдан Анатолійович — 6 600; ФОП ШЕВЧУК БОГДАНА ПЕТРІВНА — 2 996; ФОП Томчик Євгеній Вікторович — 2 565; ГРЕК ОЛЕКСАНДР ПЕТРОВИЧ — 300</t>
        </is>
      </c>
      <c r="D121" t="inlineStr"/>
      <c r="E121" t="inlineStr"/>
    </row>
    <row r="122">
      <c r="A122" t="inlineStr">
        <is>
          <t>Defender</t>
        </is>
      </c>
      <c r="B122" s="5" t="n">
        <v>5</v>
      </c>
      <c r="C122" t="inlineStr">
        <is>
          <t>Підприємець Борух Микола Миколайович — 5 240; ТОВ "ШПАНОВСЬКИЙ ІМПОРТ-ЕКСПОРТ" (ТОВ "ШПАНОВСЬКИЙ ІМПОРТ-ЕКСПОРТ") — 1 223; ТОВ "ІТ-ОЛІМП" — 800; ФОП Жуковська Марина Миколаївна — 610; УСІК МИКОЛА МИКОЛАЙОВИЧ — 295</t>
        </is>
      </c>
      <c r="D122" t="inlineStr"/>
      <c r="E122" t="inlineStr"/>
    </row>
    <row r="123">
      <c r="A123" t="inlineStr">
        <is>
          <t>Trust</t>
        </is>
      </c>
      <c r="B123" s="5" t="n">
        <v>1</v>
      </c>
      <c r="C123" t="inlineStr">
        <is>
          <t>ФОП Сомик Олександр Іванович — 4 201</t>
        </is>
      </c>
      <c r="D123" t="inlineStr">
        <is>
          <t>так</t>
        </is>
      </c>
      <c r="E123" t="inlineStr"/>
    </row>
    <row r="124">
      <c r="A124" t="inlineStr">
        <is>
          <t>BenQ</t>
        </is>
      </c>
      <c r="B124" s="5" t="n">
        <v>1</v>
      </c>
      <c r="C124" t="inlineStr">
        <is>
          <t>ПП КЛІМУК ЮРІЙ ВАЛЕНТИНОВИЧ, Інформація про кінцевого бенефіціарта власника Клімук Юрій Валентинович, громадянство Україна, місцезнакходження 45000 м.Ковель, уиця Затишна буд. 3Б, кв. 4 — 3 338</t>
        </is>
      </c>
      <c r="D124" t="inlineStr">
        <is>
          <t>так</t>
        </is>
      </c>
      <c r="E124" t="inlineStr"/>
    </row>
    <row r="125">
      <c r="A125" t="inlineStr">
        <is>
          <t>MikroTik</t>
        </is>
      </c>
      <c r="B125" s="5" t="n">
        <v>1</v>
      </c>
      <c r="C125" t="inlineStr">
        <is>
          <t>ФОП ІВАНІВ ОКСАНА ОЛЕКСАНДРІВНА — 450</t>
        </is>
      </c>
      <c r="D125" t="inlineStr">
        <is>
          <t>так</t>
        </is>
      </c>
      <c r="E125" t="inlineStr"/>
    </row>
    <row r="126">
      <c r="A126" t="inlineStr">
        <is>
          <t>REAL-EL</t>
        </is>
      </c>
      <c r="B126" s="5" t="n">
        <v>1</v>
      </c>
      <c r="C126" t="inlineStr">
        <is>
          <t>ФОП Музичук Ніна Валентинівна — 388</t>
        </is>
      </c>
      <c r="D126" t="inlineStr">
        <is>
          <t>так</t>
        </is>
      </c>
      <c r="E126" t="inlineStr"/>
    </row>
    <row r="128">
      <c r="A128" s="2" t="inlineStr">
        <is>
          <t>Типи документів</t>
        </is>
      </c>
    </row>
    <row r="129">
      <c r="A129" s="11" t="inlineStr">
        <is>
          <t>Тип документа</t>
        </is>
      </c>
      <c r="B129" s="11" t="inlineStr">
        <is>
          <t>Файлів</t>
        </is>
      </c>
    </row>
    <row r="130">
      <c r="A130" t="inlineStr">
        <is>
          <t>Підпис КЕП</t>
        </is>
      </c>
      <c r="B130" s="5" t="n">
        <v>6851</v>
      </c>
    </row>
    <row r="131">
      <c r="A131" t="inlineStr">
        <is>
          <t>не класифіковано</t>
        </is>
      </c>
      <c r="B131" s="5" t="n">
        <v>3358</v>
      </c>
    </row>
    <row r="132">
      <c r="A132" t="inlineStr">
        <is>
          <t>Установчі та реєстраційні</t>
        </is>
      </c>
      <c r="B132" s="5" t="n">
        <v>1310</v>
      </c>
    </row>
    <row r="133">
      <c r="A133" t="inlineStr">
        <is>
          <t>Лист виробника / авторизація</t>
        </is>
      </c>
      <c r="B133" s="5" t="n">
        <v>940</v>
      </c>
    </row>
    <row r="134">
      <c r="A134" t="inlineStr">
        <is>
          <t>Тендерна документація</t>
        </is>
      </c>
      <c r="B134" s="5" t="n">
        <v>461</v>
      </c>
    </row>
    <row r="135">
      <c r="A135" t="inlineStr">
        <is>
          <t>Сертифікат / декларація відповідності</t>
        </is>
      </c>
      <c r="B135" s="5" t="n">
        <v>399</v>
      </c>
    </row>
    <row r="136">
      <c r="A136" t="inlineStr">
        <is>
          <t>Технічна специфікація</t>
        </is>
      </c>
      <c r="B136" s="5" t="n">
        <v>292</v>
      </c>
    </row>
    <row r="137">
      <c r="A137" t="inlineStr">
        <is>
          <t>Досвід / аналогічні договори</t>
        </is>
      </c>
      <c r="B137" s="5" t="n">
        <v>271</v>
      </c>
    </row>
    <row r="138">
      <c r="A138" t="inlineStr">
        <is>
          <t>Договір</t>
        </is>
      </c>
      <c r="B138" s="5" t="n">
        <v>250</v>
      </c>
    </row>
    <row r="139">
      <c r="A139" t="inlineStr">
        <is>
          <t>Пропозиція учасника</t>
        </is>
      </c>
      <c r="B139" s="5" t="n">
        <v>171</v>
      </c>
    </row>
    <row r="140">
      <c r="A140" t="inlineStr">
        <is>
          <t>Гарантія та сервіс</t>
        </is>
      </c>
      <c r="B140" s="5" t="n">
        <v>165</v>
      </c>
    </row>
    <row r="141">
      <c r="A141" t="inlineStr">
        <is>
          <t>Цінова пропозиція</t>
        </is>
      </c>
      <c r="B141" s="5" t="n">
        <v>103</v>
      </c>
    </row>
  </sheetData>
  <pageMargins left="0.75" right="0.75" top="1" bottom="1" header="0.5" footer="0.5"/>
  <drawing xmlns:r="http://schemas.openxmlformats.org/officeDocument/2006/relationships" r:id="rId1"/>
  <tableParts count="3">
    <tablePart xmlns:r="http://schemas.openxmlformats.org/officeDocument/2006/relationships" r:id="rId2"/>
    <tablePart xmlns:r="http://schemas.openxmlformats.org/officeDocument/2006/relationships" r:id="rId3"/>
    <tablePart xmlns:r="http://schemas.openxmlformats.org/officeDocument/2006/relationships" r:id="rId4"/>
  </tableParts>
</worksheet>
</file>

<file path=xl/worksheets/sheet12.xml><?xml version="1.0" encoding="utf-8"?>
<worksheet xmlns="http://schemas.openxmlformats.org/spreadsheetml/2006/main">
  <sheetPr>
    <outlinePr summaryBelow="1" summaryRight="1"/>
    <pageSetUpPr/>
  </sheetPr>
  <dimension ref="A1:R119"/>
  <sheetViews>
    <sheetView showGridLines="0" workbookViewId="0">
      <selection activeCell="A1" sqref="A1"/>
    </sheetView>
  </sheetViews>
  <sheetFormatPr baseColWidth="8" defaultRowHeight="15"/>
  <cols>
    <col width="29" customWidth="1" min="1" max="1"/>
    <col width="38" customWidth="1" min="2" max="2"/>
    <col width="17" customWidth="1" min="3" max="3"/>
    <col width="17" customWidth="1" min="4" max="4"/>
    <col width="20" customWidth="1" min="5" max="5"/>
    <col width="15" customWidth="1" min="6" max="6"/>
    <col width="18" customWidth="1" min="7" max="7"/>
    <col width="20" customWidth="1" min="8" max="8"/>
    <col width="14" customWidth="1" min="9" max="9"/>
    <col width="13" customWidth="1" min="10" max="10"/>
    <col width="18" customWidth="1" min="11" max="11"/>
    <col width="10" customWidth="1" min="12" max="12"/>
    <col width="10" customWidth="1" min="13" max="13"/>
    <col width="12" customWidth="1" min="14" max="14"/>
    <col width="20" customWidth="1" min="15" max="15"/>
    <col width="60" customWidth="1" min="16" max="16"/>
    <col width="60" customWidth="1" min="17" max="17"/>
    <col width="29" customWidth="1" min="18" max="18"/>
  </cols>
  <sheetData>
    <row r="1">
      <c r="A1" s="1" t="inlineStr">
        <is>
          <t>Порівняння</t>
        </is>
      </c>
    </row>
    <row r="3">
      <c r="A3" s="7" t="inlineStr">
        <is>
          <t>Порівняння наших ТОВ із конкурентами</t>
        </is>
      </c>
    </row>
    <row r="4">
      <c r="A4" s="6" t="inlineStr">
        <is>
          <t>Сильні та слабкі сторони виводяться з вимірюваних ознак: широти портфеля ТМ, монобрендовості, сертифікатів і авторизацій у поданих файлах, цінової поведінки, результативності, географії та стійкості бази замовників.</t>
        </is>
      </c>
    </row>
    <row r="6">
      <c r="A6" s="8" t="inlineStr">
        <is>
          <t>Висновки</t>
        </is>
      </c>
    </row>
    <row r="7">
      <c r="A7" t="inlineStr">
        <is>
          <t>•  Що з цифр не виводиться взагалі: власне виробництво й локалізація, умови дистрибуції та кредитні ліміти, глибина складу, сервісна мережа, якість передпродажної підтримки, наявність сертифікатів, які подавалися в паперовому вигляді. Потрібний глибший ШІ аналіз — за змістом тендерної документації та зовнішніми джерелами.</t>
        </is>
      </c>
    </row>
    <row r="9">
      <c r="A9" s="8" t="inlineStr">
        <is>
          <t>Графіки</t>
        </is>
      </c>
    </row>
    <row r="11">
      <c r="A11" s="2" t="inlineStr">
        <is>
          <t>Кількість різних товарних марок, проданих компанією з 02.09.2025 до 02.09.2026</t>
        </is>
      </c>
    </row>
    <row r="12">
      <c r="A12" s="6" t="inlineStr">
        <is>
          <t>Рахуються ТМ із виграних закупівель, а не з усіх подань: те, що гравець пропонував і програв, він не продав. ТМ визначається за описом позиції, тож закупівля, де марку не назвали, сюди не потрапляє. Наші ТОВ виділені кольором.</t>
        </is>
      </c>
    </row>
    <row r="13">
      <c r="A13" s="3" t="inlineStr">
        <is>
          <t>Категорія</t>
        </is>
      </c>
      <c r="B13" s="3" t="inlineStr">
        <is>
          <t>Різних ТМ, шт</t>
        </is>
      </c>
    </row>
    <row r="14">
      <c r="A14" t="inlineStr">
        <is>
          <t>ТОРГОВИЙ ДІМ "ПАРТНЕР АЙ ТІ</t>
        </is>
      </c>
      <c r="B14" s="5" t="n">
        <v>15</v>
      </c>
    </row>
    <row r="15">
      <c r="A15" t="inlineStr">
        <is>
          <t>РЕФОРМА СИСТЕМЗ</t>
        </is>
      </c>
      <c r="B15" s="5" t="n">
        <v>0</v>
      </c>
    </row>
    <row r="16">
      <c r="A16" t="inlineStr">
        <is>
          <t>Технології для бізнесу</t>
        </is>
      </c>
      <c r="B16" s="5" t="n">
        <v>0</v>
      </c>
    </row>
    <row r="17">
      <c r="A17" t="inlineStr">
        <is>
          <t>ЕМЕНС</t>
        </is>
      </c>
      <c r="B17" s="5" t="n">
        <v>3</v>
      </c>
    </row>
    <row r="18">
      <c r="A18" t="inlineStr">
        <is>
          <t>ПОРТАЛ АРЕНА</t>
        </is>
      </c>
      <c r="B18" s="5" t="n">
        <v>4</v>
      </c>
    </row>
    <row r="19">
      <c r="A19" t="inlineStr">
        <is>
          <t>ПБГ19</t>
        </is>
      </c>
      <c r="B19" s="5" t="n">
        <v>1</v>
      </c>
    </row>
    <row r="20">
      <c r="A20" t="inlineStr">
        <is>
          <t>ДАВИДЕНКО ПАВЛО АНДРІЙОВИЧ</t>
        </is>
      </c>
      <c r="B20" s="5" t="n">
        <v>0</v>
      </c>
    </row>
    <row r="21">
      <c r="A21" t="inlineStr">
        <is>
          <t>ЮДІТРЕЙД</t>
        </is>
      </c>
      <c r="B21" s="5" t="n">
        <v>8</v>
      </c>
    </row>
    <row r="22">
      <c r="A22" t="inlineStr">
        <is>
          <t>ТІНОС-Д</t>
        </is>
      </c>
      <c r="B22" s="5" t="n">
        <v>6</v>
      </c>
    </row>
    <row r="23">
      <c r="A23" t="inlineStr">
        <is>
          <t>ТЕХНО ГАЛАКТИКА</t>
        </is>
      </c>
      <c r="B23" s="5" t="n">
        <v>0</v>
      </c>
    </row>
    <row r="24">
      <c r="A24" t="inlineStr">
        <is>
          <t>ДІСТРІ ІНВАЙТ ІТ</t>
        </is>
      </c>
      <c r="B24" s="5" t="n">
        <v>5</v>
      </c>
    </row>
    <row r="25">
      <c r="A25" t="inlineStr">
        <is>
          <t>ПАРСЕРС</t>
        </is>
      </c>
      <c r="B25" s="5" t="n">
        <v>11</v>
      </c>
    </row>
    <row r="26">
      <c r="A26" t="inlineStr">
        <is>
          <t>СИСТЕМАТИКА УКРАЇНА</t>
        </is>
      </c>
      <c r="B26" s="5" t="n">
        <v>1</v>
      </c>
    </row>
    <row r="27">
      <c r="A27" t="inlineStr">
        <is>
          <t>КОРВЕТ</t>
        </is>
      </c>
      <c r="B27" s="5" t="n">
        <v>1</v>
      </c>
    </row>
    <row r="34">
      <c r="A34" s="2" t="inlineStr">
        <is>
          <t>Цінова поведінка: медіанний дисконт</t>
        </is>
      </c>
    </row>
    <row r="35">
      <c r="A35" s="6" t="inlineStr">
        <is>
          <t>Наскільки гравець зазвичай опускається від очікуваної вартості.</t>
        </is>
      </c>
    </row>
    <row r="36">
      <c r="A36" s="3" t="inlineStr">
        <is>
          <t>Категорія</t>
        </is>
      </c>
      <c r="B36" s="3" t="inlineStr">
        <is>
          <t>Дисконт, %</t>
        </is>
      </c>
    </row>
    <row r="37">
      <c r="A37" t="inlineStr">
        <is>
          <t>ТОРГОВИЙ ДІМ "ПАРТНЕР АЙ ТІ</t>
        </is>
      </c>
      <c r="B37" s="14" t="n">
        <v>12.21575728619207</v>
      </c>
    </row>
    <row r="38">
      <c r="A38" t="inlineStr">
        <is>
          <t>РЕФОРМА СИСТЕМЗ</t>
        </is>
      </c>
      <c r="B38" s="14" t="n">
        <v>20.67378380106117</v>
      </c>
    </row>
    <row r="39">
      <c r="A39" t="inlineStr">
        <is>
          <t>Технології для бізнесу</t>
        </is>
      </c>
      <c r="B39" s="14" t="n">
        <v>8.688438454228697</v>
      </c>
    </row>
    <row r="40">
      <c r="A40" t="inlineStr">
        <is>
          <t>ЕМЕНС</t>
        </is>
      </c>
      <c r="B40" s="14" t="n">
        <v>0</v>
      </c>
    </row>
    <row r="41">
      <c r="A41" t="inlineStr">
        <is>
          <t>ПОРТАЛ АРЕНА</t>
        </is>
      </c>
      <c r="B41" s="14" t="n">
        <v>9.225258283888715</v>
      </c>
    </row>
    <row r="42">
      <c r="A42" t="inlineStr">
        <is>
          <t>ПБГ19</t>
        </is>
      </c>
      <c r="B42" s="14" t="n">
        <v>4.925053533190582</v>
      </c>
    </row>
    <row r="43">
      <c r="A43" t="inlineStr">
        <is>
          <t>ДАВИДЕНКО ПАВЛО АНДРІЙОВИЧ</t>
        </is>
      </c>
      <c r="B43" s="14" t="n">
        <v>0.09909606044252173</v>
      </c>
    </row>
    <row r="44">
      <c r="A44" t="inlineStr">
        <is>
          <t>ЮДІТРЕЙД</t>
        </is>
      </c>
      <c r="B44" s="14" t="n">
        <v>6.733906226443532</v>
      </c>
    </row>
    <row r="45">
      <c r="A45" t="inlineStr">
        <is>
          <t>ТІНОС-Д</t>
        </is>
      </c>
      <c r="B45" s="14" t="n">
        <v>0.3357914678071117</v>
      </c>
    </row>
    <row r="46">
      <c r="A46" t="inlineStr">
        <is>
          <t>ТЕХНО ГАЛАКТИКА</t>
        </is>
      </c>
      <c r="B46" s="14" t="n">
        <v>0</v>
      </c>
    </row>
    <row r="47">
      <c r="A47" t="inlineStr">
        <is>
          <t>ДІСТРІ ІНВАЙТ ІТ</t>
        </is>
      </c>
      <c r="B47" s="14" t="n">
        <v>0.5872840271710034</v>
      </c>
    </row>
    <row r="48">
      <c r="A48" t="inlineStr">
        <is>
          <t>ПАРСЕРС</t>
        </is>
      </c>
      <c r="B48" s="14" t="n">
        <v>0</v>
      </c>
    </row>
    <row r="49">
      <c r="A49" t="inlineStr">
        <is>
          <t>СИСТЕМАТИКА УКРАЇНА</t>
        </is>
      </c>
      <c r="B49" s="14" t="n">
        <v>2.613510516900735</v>
      </c>
    </row>
    <row r="50">
      <c r="A50" t="inlineStr">
        <is>
          <t>КОРВЕТ</t>
        </is>
      </c>
      <c r="B50" s="14" t="n">
        <v>1.00858050518175</v>
      </c>
    </row>
    <row r="57">
      <c r="A57" s="2" t="inlineStr">
        <is>
          <t>Підтверджувальні документи у пропозиціях</t>
        </is>
      </c>
    </row>
    <row r="58">
      <c r="A58" s="3" t="inlineStr">
        <is>
          <t>Категорія</t>
        </is>
      </c>
      <c r="B58" s="3" t="inlineStr">
        <is>
          <t>Сертифікати, шт</t>
        </is>
      </c>
      <c r="C58" s="3" t="inlineStr">
        <is>
          <t>Авторизації, шт</t>
        </is>
      </c>
    </row>
    <row r="59">
      <c r="A59" t="inlineStr">
        <is>
          <t>ТОРГОВИЙ ДІМ "ПАРТНЕР АЙ ТІ</t>
        </is>
      </c>
      <c r="B59" s="5" t="n">
        <v>16</v>
      </c>
      <c r="C59" s="5" t="n">
        <v>40</v>
      </c>
    </row>
    <row r="60">
      <c r="A60" t="inlineStr">
        <is>
          <t>РЕФОРМА СИСТЕМЗ</t>
        </is>
      </c>
      <c r="B60" s="5" t="n">
        <v>5</v>
      </c>
      <c r="C60" s="5" t="n">
        <v>7</v>
      </c>
    </row>
    <row r="61">
      <c r="A61" t="inlineStr">
        <is>
          <t>Технології для бізнесу</t>
        </is>
      </c>
      <c r="B61" s="5" t="n">
        <v>3</v>
      </c>
      <c r="C61" s="5" t="n">
        <v>7</v>
      </c>
    </row>
    <row r="62">
      <c r="A62" t="inlineStr">
        <is>
          <t>ЕМЕНС</t>
        </is>
      </c>
      <c r="B62" s="5" t="n">
        <v>0</v>
      </c>
      <c r="C62" s="5" t="n">
        <v>0</v>
      </c>
    </row>
    <row r="63">
      <c r="A63" t="inlineStr">
        <is>
          <t>ПОРТАЛ АРЕНА</t>
        </is>
      </c>
      <c r="B63" s="5" t="n">
        <v>1</v>
      </c>
      <c r="C63" s="5" t="n">
        <v>2</v>
      </c>
    </row>
    <row r="64">
      <c r="A64" t="inlineStr">
        <is>
          <t>ПБГ19</t>
        </is>
      </c>
      <c r="B64" s="5" t="n">
        <v>16</v>
      </c>
      <c r="C64" s="5" t="n">
        <v>36</v>
      </c>
    </row>
    <row r="65">
      <c r="A65" t="inlineStr">
        <is>
          <t>ДАВИДЕНКО ПАВЛО АНДРІЙОВИЧ</t>
        </is>
      </c>
      <c r="B65" s="5" t="n">
        <v>0</v>
      </c>
      <c r="C65" s="5" t="n">
        <v>5</v>
      </c>
    </row>
    <row r="66">
      <c r="A66" t="inlineStr">
        <is>
          <t>ЮДІТРЕЙД</t>
        </is>
      </c>
      <c r="B66" s="5" t="n">
        <v>86</v>
      </c>
      <c r="C66" s="5" t="n">
        <v>430</v>
      </c>
    </row>
    <row r="67">
      <c r="A67" t="inlineStr">
        <is>
          <t>ТІНОС-Д</t>
        </is>
      </c>
      <c r="B67" s="5" t="n">
        <v>0</v>
      </c>
      <c r="C67" s="5" t="n">
        <v>0</v>
      </c>
    </row>
    <row r="68">
      <c r="A68" t="inlineStr">
        <is>
          <t>ТЕХНО ГАЛАКТИКА</t>
        </is>
      </c>
      <c r="B68" s="5" t="n">
        <v>4</v>
      </c>
      <c r="C68" s="5" t="n">
        <v>4</v>
      </c>
    </row>
    <row r="69">
      <c r="A69" t="inlineStr">
        <is>
          <t>ДІСТРІ ІНВАЙТ ІТ</t>
        </is>
      </c>
      <c r="B69" s="5" t="n">
        <v>37</v>
      </c>
      <c r="C69" s="5" t="n">
        <v>7</v>
      </c>
    </row>
    <row r="70">
      <c r="A70" t="inlineStr">
        <is>
          <t>ПАРСЕРС</t>
        </is>
      </c>
      <c r="B70" s="5" t="n">
        <v>0</v>
      </c>
      <c r="C70" s="5" t="n">
        <v>0</v>
      </c>
    </row>
    <row r="71">
      <c r="A71" t="inlineStr">
        <is>
          <t>СИСТЕМАТИКА УКРАЇНА</t>
        </is>
      </c>
      <c r="B71" s="5" t="n">
        <v>14</v>
      </c>
      <c r="C71" s="5" t="n">
        <v>21</v>
      </c>
    </row>
    <row r="72">
      <c r="A72" t="inlineStr">
        <is>
          <t>КОРВЕТ</t>
        </is>
      </c>
      <c r="B72" s="5" t="n">
        <v>23</v>
      </c>
      <c r="C72" s="5" t="n">
        <v>47</v>
      </c>
    </row>
    <row r="80">
      <c r="A80" s="8" t="inlineStr">
        <is>
          <t>Таблиці</t>
        </is>
      </c>
    </row>
    <row r="82">
      <c r="A82" s="2" t="inlineStr">
        <is>
          <t>Сильні та слабкі сторони</t>
        </is>
      </c>
    </row>
    <row r="83">
      <c r="A83" s="11" t="inlineStr">
        <is>
          <t>ЄДРПОУ</t>
        </is>
      </c>
      <c r="B83" s="11" t="inlineStr">
        <is>
          <t>Компанія</t>
        </is>
      </c>
      <c r="C83" s="11" t="inlineStr">
        <is>
          <t>Наша</t>
        </is>
      </c>
      <c r="D83" s="11" t="inlineStr">
        <is>
          <t>Основна ТМ</t>
        </is>
      </c>
      <c r="E83" s="11" t="inlineStr">
        <is>
          <t>Частка основної ТМ</t>
        </is>
      </c>
      <c r="F83" s="11" t="inlineStr">
        <is>
          <t>ТМ у портфелі</t>
        </is>
      </c>
      <c r="G83" s="11" t="inlineStr">
        <is>
          <t>З них продано ТМ</t>
        </is>
      </c>
      <c r="H83" s="11" t="inlineStr">
        <is>
          <t>Власна ТМ</t>
        </is>
      </c>
      <c r="I83" s="11" t="inlineStr">
        <is>
          <t>Сертифікатів</t>
        </is>
      </c>
      <c r="J83" s="11" t="inlineStr">
        <is>
          <t>Авторизацій</t>
        </is>
      </c>
      <c r="K83" s="11" t="inlineStr">
        <is>
          <t>Результативність</t>
        </is>
      </c>
      <c r="L83" s="11" t="inlineStr">
        <is>
          <t>Дисконт</t>
        </is>
      </c>
      <c r="M83" s="11" t="inlineStr">
        <is>
          <t>Областей</t>
        </is>
      </c>
      <c r="N83" s="11" t="inlineStr">
        <is>
          <t>Замовників</t>
        </is>
      </c>
      <c r="O83" s="11" t="inlineStr">
        <is>
          <t>Повторні замовники</t>
        </is>
      </c>
      <c r="P83" s="11" t="inlineStr">
        <is>
          <t>Сильні сторони</t>
        </is>
      </c>
      <c r="Q83" s="11" t="inlineStr">
        <is>
          <t>Слабкі сторони</t>
        </is>
      </c>
      <c r="R83" s="11" t="inlineStr">
        <is>
          <t>Що не виводиться з цифр</t>
        </is>
      </c>
    </row>
    <row r="84">
      <c r="A84" t="inlineStr">
        <is>
          <t>41263186</t>
        </is>
      </c>
      <c r="B84" t="inlineStr">
        <is>
          <t>ТОВ "ТОРГОВИЙ ДІМ "ПАРТНЕР АЙ ТІ"</t>
        </is>
      </c>
      <c r="C84" t="inlineStr">
        <is>
          <t>так</t>
        </is>
      </c>
      <c r="D84" t="inlineStr">
        <is>
          <t>Vinga</t>
        </is>
      </c>
      <c r="E84" s="12" t="n">
        <v>0.129</v>
      </c>
      <c r="F84" s="5" t="n">
        <v>16</v>
      </c>
      <c r="G84" s="5" t="n">
        <v>15</v>
      </c>
      <c r="H84" t="inlineStr">
        <is>
          <t>КОМЕЛ</t>
        </is>
      </c>
      <c r="I84" s="5" t="n">
        <v>16</v>
      </c>
      <c r="J84" s="5" t="n">
        <v>40</v>
      </c>
      <c r="K84" s="12" t="n">
        <v>0.3871</v>
      </c>
      <c r="L84" s="12" t="n">
        <v>0.1222</v>
      </c>
      <c r="M84" s="5" t="n">
        <v>1</v>
      </c>
      <c r="N84" s="5" t="n">
        <v>10</v>
      </c>
      <c r="O84" s="12" t="n">
        <v>0.2308</v>
      </c>
      <c r="P84" t="inlineStr">
        <is>
          <t>портфель дистрибуції: 16 ТМ; наявність сертифікатів (16 файлів); авторизація виробника (40 листів); цінова конкурентність: дисконт 12,2% проти 8,3% по ринку; уміє вигравати у відкритих торгах; працює з великими контрактами</t>
        </is>
      </c>
      <c r="Q84" t="inlineStr">
        <is>
          <t>—</t>
        </is>
      </c>
      <c r="R84" t="inlineStr">
        <is>
          <t>Потрібний глибший ШІ аналіз</t>
        </is>
      </c>
    </row>
    <row r="85">
      <c r="A85" t="inlineStr">
        <is>
          <t>44728541</t>
        </is>
      </c>
      <c r="B85" t="inlineStr">
        <is>
          <t>ТОВ "РЕФОРМА СИСТЕМЗ"</t>
        </is>
      </c>
      <c r="C85" t="inlineStr">
        <is>
          <t>так</t>
        </is>
      </c>
      <c r="D85" t="inlineStr"/>
      <c r="E85" s="12" t="n">
        <v>0</v>
      </c>
      <c r="F85" s="5" t="n">
        <v>0</v>
      </c>
      <c r="G85" s="5" t="n">
        <v>0</v>
      </c>
      <c r="H85" t="inlineStr"/>
      <c r="I85" s="5" t="n">
        <v>5</v>
      </c>
      <c r="J85" s="5" t="n">
        <v>7</v>
      </c>
      <c r="K85" s="12" t="n">
        <v>0.5</v>
      </c>
      <c r="L85" s="12" t="n">
        <v>0.2067</v>
      </c>
      <c r="M85" s="5" t="n">
        <v>1</v>
      </c>
      <c r="N85" s="5" t="n">
        <v>1</v>
      </c>
      <c r="O85" s="12" t="n">
        <v>0.5</v>
      </c>
      <c r="P85" t="inlineStr">
        <is>
          <t>наявність сертифікатів (5 файлів); авторизація виробника (7 листів); цінова конкурентність: дисконт 20,7% проти 8,3% по ринку; висока результативність на торгах (50,0%); працює з великими контрактами</t>
        </is>
      </c>
      <c r="Q85" t="inlineStr">
        <is>
          <t>—</t>
        </is>
      </c>
      <c r="R85" t="inlineStr">
        <is>
          <t>Потрібний глибший ШІ аналіз</t>
        </is>
      </c>
    </row>
    <row r="86">
      <c r="A86" t="inlineStr">
        <is>
          <t>19331194</t>
        </is>
      </c>
      <c r="B86" t="inlineStr">
        <is>
          <t>ТОВ "Технології для бізнесу"</t>
        </is>
      </c>
      <c r="C86" t="inlineStr"/>
      <c r="D86" t="inlineStr"/>
      <c r="E86" s="12" t="n">
        <v>0</v>
      </c>
      <c r="F86" s="5" t="n">
        <v>0</v>
      </c>
      <c r="G86" s="5" t="n">
        <v>0</v>
      </c>
      <c r="H86" t="inlineStr"/>
      <c r="I86" s="5" t="n">
        <v>3</v>
      </c>
      <c r="J86" s="5" t="n">
        <v>7</v>
      </c>
      <c r="K86" s="12" t="n">
        <v>1</v>
      </c>
      <c r="L86" s="12" t="n">
        <v>0.08690000000000001</v>
      </c>
      <c r="M86" s="5" t="n">
        <v>1</v>
      </c>
      <c r="N86" s="5" t="n">
        <v>2</v>
      </c>
      <c r="O86" s="12" t="n">
        <v>0</v>
      </c>
      <c r="P86" t="inlineStr">
        <is>
          <t>наявність сертифікатів (3 файлів); авторизація виробника (7 листів); працює з великими контрактами</t>
        </is>
      </c>
      <c r="Q86" t="inlineStr">
        <is>
          <t>—</t>
        </is>
      </c>
      <c r="R86" t="inlineStr">
        <is>
          <t>Потрібний глибший ШІ аналіз</t>
        </is>
      </c>
    </row>
    <row r="87">
      <c r="A87" t="inlineStr">
        <is>
          <t>42647754</t>
        </is>
      </c>
      <c r="B87" t="inlineStr">
        <is>
          <t>ТОВ "ЕМЕНС"</t>
        </is>
      </c>
      <c r="C87" t="inlineStr"/>
      <c r="D87" t="inlineStr">
        <is>
          <t>Intel</t>
        </is>
      </c>
      <c r="E87" s="12" t="n">
        <v>0.4</v>
      </c>
      <c r="F87" s="5" t="n">
        <v>3</v>
      </c>
      <c r="G87" s="5" t="n">
        <v>3</v>
      </c>
      <c r="H87" t="inlineStr"/>
      <c r="I87" s="5" t="n">
        <v>0</v>
      </c>
      <c r="J87" s="5" t="n">
        <v>0</v>
      </c>
      <c r="K87" s="12" t="n">
        <v>1</v>
      </c>
      <c r="L87" s="12" t="n">
        <v>0</v>
      </c>
      <c r="M87" s="5" t="n">
        <v>1</v>
      </c>
      <c r="N87" s="5" t="n">
        <v>1</v>
      </c>
      <c r="O87" s="12" t="n">
        <v>0</v>
      </c>
      <c r="P87" t="inlineStr">
        <is>
          <t>працює з великими контрактами</t>
        </is>
      </c>
      <c r="Q87" t="inlineStr">
        <is>
          <t>сертифікатів у поданих файлах не знайдено; слабка цінова позиція: дисконт 0,0% проти 8,3% по ринку</t>
        </is>
      </c>
      <c r="R87" t="inlineStr">
        <is>
          <t>Потрібний глибший ШІ аналіз</t>
        </is>
      </c>
    </row>
    <row r="88">
      <c r="A88" t="inlineStr">
        <is>
          <t>45119322</t>
        </is>
      </c>
      <c r="B88" t="inlineStr">
        <is>
          <t>ТОВ «ПОРТАЛ АРЕНА»</t>
        </is>
      </c>
      <c r="C88" t="inlineStr"/>
      <c r="D88" t="inlineStr">
        <is>
          <t>Microsoft</t>
        </is>
      </c>
      <c r="E88" s="12" t="n">
        <v>0.3636</v>
      </c>
      <c r="F88" s="5" t="n">
        <v>4</v>
      </c>
      <c r="G88" s="5" t="n">
        <v>4</v>
      </c>
      <c r="H88" t="inlineStr"/>
      <c r="I88" s="5" t="n">
        <v>1</v>
      </c>
      <c r="J88" s="5" t="n">
        <v>2</v>
      </c>
      <c r="K88" s="12" t="n">
        <v>0.5294</v>
      </c>
      <c r="L88" s="12" t="n">
        <v>0.09229999999999999</v>
      </c>
      <c r="M88" s="5" t="n">
        <v>1</v>
      </c>
      <c r="N88" s="5" t="n">
        <v>8</v>
      </c>
      <c r="O88" s="12" t="n">
        <v>0.1111</v>
      </c>
      <c r="P88" t="inlineStr">
        <is>
          <t>авторизація виробника (2 листів); висока результативність на торгах (52,9%); зростання (354% у другій половині періоду); уміє вигравати у відкритих торгах; працює з великими контрактами</t>
        </is>
      </c>
      <c r="Q88" t="inlineStr">
        <is>
          <t>—</t>
        </is>
      </c>
      <c r="R88" t="inlineStr">
        <is>
          <t>Потрібний глибший ШІ аналіз</t>
        </is>
      </c>
    </row>
    <row r="89">
      <c r="A89" t="inlineStr">
        <is>
          <t>45701274</t>
        </is>
      </c>
      <c r="B89" t="inlineStr">
        <is>
          <t>ТОВ «ПБГ19»</t>
        </is>
      </c>
      <c r="C89" t="inlineStr"/>
      <c r="D89" t="inlineStr">
        <is>
          <t>Dell</t>
        </is>
      </c>
      <c r="E89" s="12" t="n">
        <v>0.2941</v>
      </c>
      <c r="F89" s="5" t="n">
        <v>7</v>
      </c>
      <c r="G89" s="5" t="n">
        <v>1</v>
      </c>
      <c r="H89" t="inlineStr"/>
      <c r="I89" s="5" t="n">
        <v>16</v>
      </c>
      <c r="J89" s="5" t="n">
        <v>36</v>
      </c>
      <c r="K89" s="12" t="n">
        <v>0.1429</v>
      </c>
      <c r="L89" s="12" t="n">
        <v>0.0493</v>
      </c>
      <c r="M89" s="5" t="n">
        <v>1</v>
      </c>
      <c r="N89" s="5" t="n">
        <v>5</v>
      </c>
      <c r="O89" s="12" t="n">
        <v>0</v>
      </c>
      <c r="P89" t="inlineStr">
        <is>
          <t>портфель дистрибуції: 7 ТМ; наявність сертифікатів (16 файлів); авторизація виробника (36 листів); зростання (43% у другій половині періоду); уміє вигравати у відкритих торгах; працює з великими контрактами</t>
        </is>
      </c>
      <c r="Q89" t="inlineStr">
        <is>
          <t>слабка цінова позиція: дисконт 4,9% проти 8,3% по ринку; низька результативність на торгах (14,3%)</t>
        </is>
      </c>
      <c r="R89" t="inlineStr">
        <is>
          <t>Потрібний глибший ШІ аналіз</t>
        </is>
      </c>
    </row>
    <row r="90">
      <c r="A90" t="inlineStr">
        <is>
          <t>2381207253</t>
        </is>
      </c>
      <c r="B90" t="inlineStr">
        <is>
          <t>ФОП ДАВИДЕНКО ПАВЛО АНДРІЙОВИЧ</t>
        </is>
      </c>
      <c r="C90" t="inlineStr"/>
      <c r="D90" t="inlineStr"/>
      <c r="E90" s="12" t="n">
        <v>0</v>
      </c>
      <c r="F90" s="5" t="n">
        <v>0</v>
      </c>
      <c r="G90" s="5" t="n">
        <v>0</v>
      </c>
      <c r="H90" t="inlineStr"/>
      <c r="I90" s="5" t="n">
        <v>0</v>
      </c>
      <c r="J90" s="5" t="n">
        <v>5</v>
      </c>
      <c r="K90" s="12" t="n">
        <v>1</v>
      </c>
      <c r="L90" s="12" t="n">
        <v>0.001</v>
      </c>
      <c r="M90" s="5" t="n">
        <v>1</v>
      </c>
      <c r="N90" s="5" t="n">
        <v>1</v>
      </c>
      <c r="O90" s="12" t="n">
        <v>0.5</v>
      </c>
      <c r="P90" t="inlineStr">
        <is>
          <t>авторизація виробника (5 листів); працює з великими контрактами</t>
        </is>
      </c>
      <c r="Q90" t="inlineStr">
        <is>
          <t>сертифікатів у поданих файлах не знайдено; слабка цінова позиція: дисконт 0,1% проти 8,3% по ринку</t>
        </is>
      </c>
      <c r="R90" t="inlineStr">
        <is>
          <t>Потрібний глибший ШІ аналіз</t>
        </is>
      </c>
    </row>
    <row r="91">
      <c r="A91" t="inlineStr">
        <is>
          <t>42036301</t>
        </is>
      </c>
      <c r="B91" t="inlineStr">
        <is>
          <t>ТОВ «ЮДІТРЕЙД»</t>
        </is>
      </c>
      <c r="C91" t="inlineStr"/>
      <c r="D91" t="inlineStr">
        <is>
          <t>Intel</t>
        </is>
      </c>
      <c r="E91" s="12" t="n">
        <v>0.1212</v>
      </c>
      <c r="F91" s="5" t="n">
        <v>18</v>
      </c>
      <c r="G91" s="5" t="n">
        <v>8</v>
      </c>
      <c r="H91" t="inlineStr"/>
      <c r="I91" s="5" t="n">
        <v>86</v>
      </c>
      <c r="J91" s="5" t="n">
        <v>430</v>
      </c>
      <c r="K91" s="12" t="n">
        <v>0.3571</v>
      </c>
      <c r="L91" s="12" t="n">
        <v>0.0673</v>
      </c>
      <c r="M91" s="5" t="n">
        <v>1</v>
      </c>
      <c r="N91" s="5" t="n">
        <v>10</v>
      </c>
      <c r="O91" s="12" t="n">
        <v>0</v>
      </c>
      <c r="P91" t="inlineStr">
        <is>
          <t>портфель дистрибуції: 18 ТМ; наявність сертифікатів (86 файлів); авторизація виробника (430 листів); зростання (140% у другій половині періоду); уміє вигравати у відкритих торгах; працює з великими контрактами</t>
        </is>
      </c>
      <c r="Q91" t="inlineStr">
        <is>
          <t>—</t>
        </is>
      </c>
      <c r="R91" t="inlineStr">
        <is>
          <t>Потрібний глибший ШІ аналіз</t>
        </is>
      </c>
    </row>
    <row r="92">
      <c r="A92" t="inlineStr">
        <is>
          <t>42289645</t>
        </is>
      </c>
      <c r="B92" t="inlineStr">
        <is>
          <t>ТОВ "ТІНОС-Д"</t>
        </is>
      </c>
      <c r="C92" t="inlineStr"/>
      <c r="D92" t="inlineStr">
        <is>
          <t>Intel</t>
        </is>
      </c>
      <c r="E92" s="12" t="n">
        <v>0.375</v>
      </c>
      <c r="F92" s="5" t="n">
        <v>6</v>
      </c>
      <c r="G92" s="5" t="n">
        <v>6</v>
      </c>
      <c r="H92" t="inlineStr"/>
      <c r="I92" s="5" t="n">
        <v>0</v>
      </c>
      <c r="J92" s="5" t="n">
        <v>0</v>
      </c>
      <c r="K92" s="12" t="n">
        <v>0.1935</v>
      </c>
      <c r="L92" s="12" t="n">
        <v>0.0034</v>
      </c>
      <c r="M92" s="5" t="n">
        <v>1</v>
      </c>
      <c r="N92" s="5" t="n">
        <v>7</v>
      </c>
      <c r="O92" s="12" t="n">
        <v>0.4615</v>
      </c>
      <c r="P92" t="inlineStr">
        <is>
          <t>портфель дистрибуції: 6 ТМ; стабільна база замовників (46,2% повторних); уміє вигравати у відкритих торгах; працює з великими контрактами</t>
        </is>
      </c>
      <c r="Q92" t="inlineStr">
        <is>
          <t>сертифікатів у поданих файлах не знайдено; слабка цінова позиція: дисконт 0,3% проти 8,3% по ринку; низька результативність на торгах (19,4%); спад (-36% у другій половині періоду)</t>
        </is>
      </c>
      <c r="R92" t="inlineStr">
        <is>
          <t>Потрібний глибший ШІ аналіз</t>
        </is>
      </c>
    </row>
    <row r="93">
      <c r="A93" t="inlineStr">
        <is>
          <t>45884059</t>
        </is>
      </c>
      <c r="B93" t="inlineStr">
        <is>
          <t>ТОВ "ТЕХНО ГАЛАКТИКА"</t>
        </is>
      </c>
      <c r="C93" t="inlineStr"/>
      <c r="D93" t="inlineStr"/>
      <c r="E93" s="12" t="n">
        <v>0</v>
      </c>
      <c r="F93" s="5" t="n">
        <v>0</v>
      </c>
      <c r="G93" s="5" t="n">
        <v>0</v>
      </c>
      <c r="H93" t="inlineStr"/>
      <c r="I93" s="5" t="n">
        <v>4</v>
      </c>
      <c r="J93" s="5" t="n">
        <v>4</v>
      </c>
      <c r="K93" s="12" t="n">
        <v>1</v>
      </c>
      <c r="L93" s="12" t="n"/>
      <c r="M93" s="5" t="n">
        <v>1</v>
      </c>
      <c r="N93" s="5" t="n">
        <v>1</v>
      </c>
      <c r="O93" s="12" t="n">
        <v>0.5</v>
      </c>
      <c r="P93" t="inlineStr">
        <is>
          <t>наявність сертифікатів (4 файлів); авторизація виробника (4 листів); працює з великими контрактами</t>
        </is>
      </c>
      <c r="Q93" t="inlineStr">
        <is>
          <t>—</t>
        </is>
      </c>
      <c r="R93" t="inlineStr">
        <is>
          <t>Потрібний глибший ШІ аналіз</t>
        </is>
      </c>
    </row>
    <row r="94">
      <c r="A94" t="inlineStr">
        <is>
          <t>40955533</t>
        </is>
      </c>
      <c r="B94" t="inlineStr">
        <is>
          <t>ТОВ "ДІСТРІ ІНВАЙТ ІТ"</t>
        </is>
      </c>
      <c r="C94" t="inlineStr"/>
      <c r="D94" t="inlineStr">
        <is>
          <t>Intel</t>
        </is>
      </c>
      <c r="E94" s="12" t="n">
        <v>0.3571</v>
      </c>
      <c r="F94" s="5" t="n">
        <v>5</v>
      </c>
      <c r="G94" s="5" t="n">
        <v>5</v>
      </c>
      <c r="H94" t="inlineStr"/>
      <c r="I94" s="5" t="n">
        <v>37</v>
      </c>
      <c r="J94" s="5" t="n">
        <v>7</v>
      </c>
      <c r="K94" s="12" t="n">
        <v>0.6667</v>
      </c>
      <c r="L94" s="12" t="n">
        <v>0.0059</v>
      </c>
      <c r="M94" s="5" t="n">
        <v>1</v>
      </c>
      <c r="N94" s="5" t="n">
        <v>7</v>
      </c>
      <c r="O94" s="12" t="n">
        <v>0.3636</v>
      </c>
      <c r="P94" t="inlineStr">
        <is>
          <t>портфель дистрибуції: 5 ТМ; наявність сертифікатів (37 файлів); авторизація виробника (7 листів); висока результативність на торгах (66,7%); працює з великими контрактами</t>
        </is>
      </c>
      <c r="Q94" t="inlineStr">
        <is>
          <t>слабка цінова позиція: дисконт 0,6% проти 8,3% по ринку; спад (-69% у другій половині періоду)</t>
        </is>
      </c>
      <c r="R94" t="inlineStr">
        <is>
          <t>Потрібний глибший ШІ аналіз</t>
        </is>
      </c>
    </row>
    <row r="95">
      <c r="A95" t="inlineStr">
        <is>
          <t>35893554</t>
        </is>
      </c>
      <c r="B95" t="inlineStr">
        <is>
          <t>ТОВ "ПАРСЕРС"</t>
        </is>
      </c>
      <c r="C95" t="inlineStr"/>
      <c r="D95" t="inlineStr">
        <is>
          <t>NVIDIA</t>
        </is>
      </c>
      <c r="E95" s="12" t="n">
        <v>0.125</v>
      </c>
      <c r="F95" s="5" t="n">
        <v>11</v>
      </c>
      <c r="G95" s="5" t="n">
        <v>11</v>
      </c>
      <c r="H95" t="inlineStr"/>
      <c r="I95" s="5" t="n">
        <v>0</v>
      </c>
      <c r="J95" s="5" t="n">
        <v>0</v>
      </c>
      <c r="K95" s="12" t="n">
        <v>0.75</v>
      </c>
      <c r="L95" s="12" t="n">
        <v>0</v>
      </c>
      <c r="M95" s="5" t="n">
        <v>1</v>
      </c>
      <c r="N95" s="5" t="n">
        <v>5</v>
      </c>
      <c r="O95" s="12" t="n">
        <v>0.2857</v>
      </c>
      <c r="P95" t="inlineStr">
        <is>
          <t>портфель дистрибуції: 11 ТМ; висока результативність на торгах (75,0%); працює з великими контрактами</t>
        </is>
      </c>
      <c r="Q95" t="inlineStr">
        <is>
          <t>сертифікатів у поданих файлах не знайдено; слабка цінова позиція: дисконт 0,0% проти 8,3% по ринку; спад (-64% у другій половині періоду)</t>
        </is>
      </c>
      <c r="R95" t="inlineStr">
        <is>
          <t>Потрібний глибший ШІ аналіз</t>
        </is>
      </c>
    </row>
    <row r="96">
      <c r="A96" t="inlineStr">
        <is>
          <t>40175293</t>
        </is>
      </c>
      <c r="B96" t="inlineStr">
        <is>
          <t>ТОВ "СИСТЕМАТИКА УКРАЇНА"</t>
        </is>
      </c>
      <c r="C96" t="inlineStr"/>
      <c r="D96" t="inlineStr">
        <is>
          <t>Philips</t>
        </is>
      </c>
      <c r="E96" s="12" t="n">
        <v>0.25</v>
      </c>
      <c r="F96" s="5" t="n">
        <v>6</v>
      </c>
      <c r="G96" s="5" t="n">
        <v>1</v>
      </c>
      <c r="H96" t="inlineStr"/>
      <c r="I96" s="5" t="n">
        <v>14</v>
      </c>
      <c r="J96" s="5" t="n">
        <v>21</v>
      </c>
      <c r="K96" s="12" t="n">
        <v>0.2391</v>
      </c>
      <c r="L96" s="12" t="n">
        <v>0.0261</v>
      </c>
      <c r="M96" s="5" t="n">
        <v>1</v>
      </c>
      <c r="N96" s="5" t="n">
        <v>7</v>
      </c>
      <c r="O96" s="12" t="n">
        <v>0.4167</v>
      </c>
      <c r="P96" t="inlineStr">
        <is>
          <t>портфель дистрибуції: 6 ТМ; наявність сертифікатів (14 файлів); авторизація виробника (21 листів); стабільна база замовників (41,7% повторних); уміє вигравати у відкритих торгах; працює з великими контрактами</t>
        </is>
      </c>
      <c r="Q96" t="inlineStr">
        <is>
          <t>слабка цінова позиція: дисконт 2,6% проти 8,3% по ринку; низька результативність на торгах (23,9%)</t>
        </is>
      </c>
      <c r="R96" t="inlineStr">
        <is>
          <t>Потрібний глибший ШІ аналіз</t>
        </is>
      </c>
    </row>
    <row r="97">
      <c r="A97" t="inlineStr">
        <is>
          <t>21337459</t>
        </is>
      </c>
      <c r="B97" t="inlineStr">
        <is>
          <t>ТОВ "КОРВЕТ"</t>
        </is>
      </c>
      <c r="C97" t="inlineStr"/>
      <c r="D97" t="inlineStr">
        <is>
          <t>GOODRAM</t>
        </is>
      </c>
      <c r="E97" s="12" t="n">
        <v>1</v>
      </c>
      <c r="F97" s="5" t="n">
        <v>1</v>
      </c>
      <c r="G97" s="5" t="n">
        <v>1</v>
      </c>
      <c r="H97" t="inlineStr"/>
      <c r="I97" s="5" t="n">
        <v>23</v>
      </c>
      <c r="J97" s="5" t="n">
        <v>47</v>
      </c>
      <c r="K97" s="12" t="n">
        <v>0.2</v>
      </c>
      <c r="L97" s="12" t="n">
        <v>0.0101</v>
      </c>
      <c r="M97" s="5" t="n">
        <v>1</v>
      </c>
      <c r="N97" s="5" t="n">
        <v>12</v>
      </c>
      <c r="O97" s="12" t="n">
        <v>0.4</v>
      </c>
      <c r="P97" t="inlineStr">
        <is>
          <t>наявність сертифікатів (23 файлів); авторизація виробника (47 листів); стабільна база замовників (40,0% повторних); уміє вигравати у відкритих торгах; працює з великими контрактами</t>
        </is>
      </c>
      <c r="Q97" t="inlineStr">
        <is>
          <t>слабка цінова позиція: дисконт 1,0% проти 8,3% по ринку; низька результативність на торгах (20,0%); спад (-81% у другій половині періоду)</t>
        </is>
      </c>
      <c r="R97" t="inlineStr">
        <is>
          <t>Потрібний глибший ШІ аналіз</t>
        </is>
      </c>
    </row>
    <row r="98">
      <c r="A98" t="inlineStr">
        <is>
          <t>42216158</t>
        </is>
      </c>
      <c r="B98" t="inlineStr">
        <is>
          <t>ТОВ "ІНТЕРАКТИВНІ СИСТЕМИ НАВЧАННЯ"</t>
        </is>
      </c>
      <c r="C98" t="inlineStr"/>
      <c r="D98" t="inlineStr"/>
      <c r="E98" s="12" t="n">
        <v>0</v>
      </c>
      <c r="F98" s="5" t="n">
        <v>0</v>
      </c>
      <c r="G98" s="5" t="n">
        <v>0</v>
      </c>
      <c r="H98" t="inlineStr"/>
      <c r="I98" s="5" t="n">
        <v>5</v>
      </c>
      <c r="J98" s="5" t="n">
        <v>0</v>
      </c>
      <c r="K98" s="12" t="n">
        <v>1</v>
      </c>
      <c r="L98" s="12" t="n">
        <v>0.052</v>
      </c>
      <c r="M98" s="5" t="n">
        <v>1</v>
      </c>
      <c r="N98" s="5" t="n">
        <v>1</v>
      </c>
      <c r="O98" s="12" t="n">
        <v>0</v>
      </c>
      <c r="P98" t="inlineStr">
        <is>
          <t>наявність сертифікатів (5 файлів); працює з великими контрактами</t>
        </is>
      </c>
      <c r="Q98" t="inlineStr">
        <is>
          <t>слабка цінова позиція: дисконт 5,2% проти 8,3% по ринку</t>
        </is>
      </c>
      <c r="R98" t="inlineStr">
        <is>
          <t>Потрібний глибший ШІ аналіз</t>
        </is>
      </c>
    </row>
    <row r="99">
      <c r="A99" t="inlineStr">
        <is>
          <t>2235409477</t>
        </is>
      </c>
      <c r="B99" t="inlineStr">
        <is>
          <t>ФОП ІВАНЧЕНКО МИКОЛА ІВАНОВИЧ</t>
        </is>
      </c>
      <c r="C99" t="inlineStr"/>
      <c r="D99" t="inlineStr"/>
      <c r="E99" s="12" t="n">
        <v>0</v>
      </c>
      <c r="F99" s="5" t="n">
        <v>0</v>
      </c>
      <c r="G99" s="5" t="n">
        <v>0</v>
      </c>
      <c r="H99" t="inlineStr"/>
      <c r="I99" s="5" t="n">
        <v>2</v>
      </c>
      <c r="J99" s="5" t="n">
        <v>3</v>
      </c>
      <c r="K99" s="12" t="n">
        <v>0.5</v>
      </c>
      <c r="L99" s="12" t="n">
        <v>0.0143</v>
      </c>
      <c r="M99" s="5" t="n">
        <v>1</v>
      </c>
      <c r="N99" s="5" t="n">
        <v>3</v>
      </c>
      <c r="O99" s="12" t="n">
        <v>0</v>
      </c>
      <c r="P99" t="inlineStr">
        <is>
          <t>наявність сертифікатів (2 файлів); авторизація виробника (3 листів); висока результативність на торгах (50,0%); уміє вигравати у відкритих торгах; працює з великими контрактами</t>
        </is>
      </c>
      <c r="Q99" t="inlineStr">
        <is>
          <t>слабка цінова позиція: дисконт 1,4% проти 8,3% по ринку</t>
        </is>
      </c>
      <c r="R99" t="inlineStr">
        <is>
          <t>Потрібний глибший ШІ аналіз</t>
        </is>
      </c>
    </row>
    <row r="100">
      <c r="A100" t="inlineStr">
        <is>
          <t>30126040</t>
        </is>
      </c>
      <c r="B100" t="inlineStr">
        <is>
          <t>ТОВ "САНТАРЕКС"</t>
        </is>
      </c>
      <c r="C100" t="inlineStr"/>
      <c r="D100" t="inlineStr">
        <is>
          <t>Canon</t>
        </is>
      </c>
      <c r="E100" s="12" t="n">
        <v>1</v>
      </c>
      <c r="F100" s="5" t="n">
        <v>1</v>
      </c>
      <c r="G100" s="5" t="n">
        <v>1</v>
      </c>
      <c r="H100" t="inlineStr"/>
      <c r="I100" s="5" t="n">
        <v>0</v>
      </c>
      <c r="J100" s="5" t="n">
        <v>0</v>
      </c>
      <c r="K100" s="12" t="n">
        <v>0.4609</v>
      </c>
      <c r="L100" s="12" t="n">
        <v>0.0948</v>
      </c>
      <c r="M100" s="5" t="n">
        <v>1</v>
      </c>
      <c r="N100" s="5" t="n">
        <v>30</v>
      </c>
      <c r="O100" s="12" t="n">
        <v>0.5</v>
      </c>
      <c r="P100" t="inlineStr">
        <is>
          <t>стабільна база замовників (50,0% повторних); уміє вигравати у відкритих торгах</t>
        </is>
      </c>
      <c r="Q100" t="inlineStr">
        <is>
          <t>сертифікатів у поданих файлах не знайдено</t>
        </is>
      </c>
      <c r="R100" t="inlineStr">
        <is>
          <t>Потрібний глибший ШІ аналіз</t>
        </is>
      </c>
    </row>
    <row r="101">
      <c r="A101" t="inlineStr">
        <is>
          <t>40733799</t>
        </is>
      </c>
      <c r="B101" t="inlineStr">
        <is>
          <t>ТОВ "АРТЛАЙН ІНТЕГРАЦІЯ"</t>
        </is>
      </c>
      <c r="C101" t="inlineStr"/>
      <c r="D101" t="inlineStr">
        <is>
          <t>Artline</t>
        </is>
      </c>
      <c r="E101" s="12" t="n">
        <v>0.6667</v>
      </c>
      <c r="F101" s="5" t="n">
        <v>4</v>
      </c>
      <c r="G101" s="5" t="n">
        <v>4</v>
      </c>
      <c r="H101" t="inlineStr">
        <is>
          <t>АРТЛАЙН ІНТЕГРАЦІЯ</t>
        </is>
      </c>
      <c r="I101" s="5" t="n">
        <v>22</v>
      </c>
      <c r="J101" s="5" t="n">
        <v>15</v>
      </c>
      <c r="K101" s="12" t="n">
        <v>0.6667</v>
      </c>
      <c r="L101" s="12" t="n">
        <v>0.0465</v>
      </c>
      <c r="M101" s="5" t="n">
        <v>1</v>
      </c>
      <c r="N101" s="5" t="n">
        <v>6</v>
      </c>
      <c r="O101" s="12" t="n">
        <v>0.6</v>
      </c>
      <c r="P101" t="inlineStr">
        <is>
          <t>монобрендовість із власною ТМ Artline (66,7% позицій); наявність сертифікатів (22 файлів); авторизація виробника (15 листів); висока результативність на торгах (66,7%); стабільна база замовників (60,0% повторних); зростання (126% у другій половині періоду); уміє вигравати у відкритих торгах; працює з великими контрактами</t>
        </is>
      </c>
      <c r="Q101" t="inlineStr">
        <is>
          <t>слабка цінова позиція: дисконт 4,7% проти 8,3% по ринку</t>
        </is>
      </c>
      <c r="R101" t="inlineStr">
        <is>
          <t>Потрібний глибший ШІ аналіз</t>
        </is>
      </c>
    </row>
    <row r="102">
      <c r="A102" t="inlineStr">
        <is>
          <t>37570093</t>
        </is>
      </c>
      <c r="B102" t="inlineStr">
        <is>
          <t>ТОВ "СМАРТ ТЕХНОЛОГІЇ В ОСВІТІ"</t>
        </is>
      </c>
      <c r="C102" t="inlineStr"/>
      <c r="D102" t="inlineStr"/>
      <c r="E102" s="12" t="n">
        <v>0</v>
      </c>
      <c r="F102" s="5" t="n">
        <v>0</v>
      </c>
      <c r="G102" s="5" t="n">
        <v>0</v>
      </c>
      <c r="H102" t="inlineStr"/>
      <c r="I102" s="5" t="n">
        <v>8</v>
      </c>
      <c r="J102" s="5" t="n">
        <v>3</v>
      </c>
      <c r="K102" s="12" t="n">
        <v>1</v>
      </c>
      <c r="L102" s="12" t="n">
        <v>0.0221</v>
      </c>
      <c r="M102" s="5" t="n">
        <v>1</v>
      </c>
      <c r="N102" s="5" t="n">
        <v>2</v>
      </c>
      <c r="O102" s="12" t="n">
        <v>0</v>
      </c>
      <c r="P102" t="inlineStr">
        <is>
          <t>наявність сертифікатів (8 файлів); авторизація виробника (3 листів); працює з великими контрактами</t>
        </is>
      </c>
      <c r="Q102" t="inlineStr">
        <is>
          <t>слабка цінова позиція: дисконт 2,2% проти 8,3% по ринку</t>
        </is>
      </c>
      <c r="R102" t="inlineStr">
        <is>
          <t>Потрібний глибший ШІ аналіз</t>
        </is>
      </c>
    </row>
    <row r="103">
      <c r="A103" t="inlineStr">
        <is>
          <t>1620205276</t>
        </is>
      </c>
      <c r="B103" t="inlineStr">
        <is>
          <t>ФОП "ВАЙДА ГАВРИЛО ІВАНОВИЧ"</t>
        </is>
      </c>
      <c r="C103" t="inlineStr"/>
      <c r="D103" t="inlineStr"/>
      <c r="E103" s="12" t="n">
        <v>0</v>
      </c>
      <c r="F103" s="5" t="n">
        <v>0</v>
      </c>
      <c r="G103" s="5" t="n">
        <v>0</v>
      </c>
      <c r="H103" t="inlineStr"/>
      <c r="I103" s="5" t="n">
        <v>0</v>
      </c>
      <c r="J103" s="5" t="n">
        <v>8</v>
      </c>
      <c r="K103" s="12" t="n">
        <v>1</v>
      </c>
      <c r="L103" s="12" t="n">
        <v>0.0517</v>
      </c>
      <c r="M103" s="5" t="n">
        <v>1</v>
      </c>
      <c r="N103" s="5" t="n">
        <v>1</v>
      </c>
      <c r="O103" s="12" t="n">
        <v>0.5</v>
      </c>
      <c r="P103" t="inlineStr">
        <is>
          <t>авторизація виробника (8 листів); працює з великими контрактами</t>
        </is>
      </c>
      <c r="Q103" t="inlineStr">
        <is>
          <t>сертифікатів у поданих файлах не знайдено; слабка цінова позиція: дисконт 5,2% проти 8,3% по ринку</t>
        </is>
      </c>
      <c r="R103" t="inlineStr">
        <is>
          <t>Потрібний глибший ШІ аналіз</t>
        </is>
      </c>
    </row>
    <row r="104">
      <c r="A104" t="inlineStr">
        <is>
          <t>2145216995</t>
        </is>
      </c>
      <c r="B104" t="inlineStr">
        <is>
          <t>ФОП Цяк Валерій Михайлович</t>
        </is>
      </c>
      <c r="C104" t="inlineStr"/>
      <c r="D104" t="inlineStr">
        <is>
          <t>ASUS</t>
        </is>
      </c>
      <c r="E104" s="12" t="n">
        <v>0.2778</v>
      </c>
      <c r="F104" s="5" t="n">
        <v>10</v>
      </c>
      <c r="G104" s="5" t="n">
        <v>10</v>
      </c>
      <c r="H104" t="inlineStr"/>
      <c r="I104" s="5" t="n">
        <v>0</v>
      </c>
      <c r="J104" s="5" t="n">
        <v>0</v>
      </c>
      <c r="K104" s="12" t="n"/>
      <c r="L104" s="12" t="n">
        <v>0</v>
      </c>
      <c r="M104" s="5" t="n">
        <v>1</v>
      </c>
      <c r="N104" s="5" t="n">
        <v>18</v>
      </c>
      <c r="O104" s="12" t="n">
        <v>0.6667</v>
      </c>
      <c r="P104" t="inlineStr">
        <is>
          <t>портфель дистрибуції: 10 ТМ; стабільна база замовників (66,7% повторних); зростання (89% у другій половині періоду)</t>
        </is>
      </c>
      <c r="Q104" t="inlineStr">
        <is>
          <t>слабка цінова позиція: дисконт 0,0% проти 8,3% по ринку; майже не бере участі в конкурентних процедурах</t>
        </is>
      </c>
      <c r="R104" t="inlineStr">
        <is>
          <t>Потрібний глибший ШІ аналіз</t>
        </is>
      </c>
    </row>
    <row r="105">
      <c r="A105" t="inlineStr">
        <is>
          <t>42831727</t>
        </is>
      </c>
      <c r="B105" t="inlineStr">
        <is>
          <t>ТОВ "ДИДАКТИКЛАБ"</t>
        </is>
      </c>
      <c r="C105" t="inlineStr"/>
      <c r="D105" t="inlineStr">
        <is>
          <t>Impression</t>
        </is>
      </c>
      <c r="E105" s="12" t="n">
        <v>0.5714</v>
      </c>
      <c r="F105" s="5" t="n">
        <v>4</v>
      </c>
      <c r="G105" s="5" t="n">
        <v>4</v>
      </c>
      <c r="H105" t="inlineStr"/>
      <c r="I105" s="5" t="n">
        <v>0</v>
      </c>
      <c r="J105" s="5" t="n">
        <v>0</v>
      </c>
      <c r="K105" s="12" t="n">
        <v>1</v>
      </c>
      <c r="L105" s="12" t="n">
        <v>0</v>
      </c>
      <c r="M105" s="5" t="n">
        <v>1</v>
      </c>
      <c r="N105" s="5" t="n">
        <v>9</v>
      </c>
      <c r="O105" s="12" t="n">
        <v>0</v>
      </c>
      <c r="P105" t="inlineStr">
        <is>
          <t>висока результативність на торгах (100,0%); працює з великими контрактами</t>
        </is>
      </c>
      <c r="Q105" t="inlineStr">
        <is>
          <t>сертифікатів у поданих файлах не знайдено; слабка цінова позиція: дисконт 0,0% проти 8,3% по ринку</t>
        </is>
      </c>
      <c r="R105" t="inlineStr">
        <is>
          <t>Потрібний глибший ШІ аналіз</t>
        </is>
      </c>
    </row>
    <row r="106">
      <c r="A106" t="inlineStr">
        <is>
          <t>42893689</t>
        </is>
      </c>
      <c r="B106" t="inlineStr">
        <is>
          <t>ТОВ "НАВІГАТОР СИСТЕМ"</t>
        </is>
      </c>
      <c r="C106" t="inlineStr"/>
      <c r="D106" t="inlineStr"/>
      <c r="E106" s="12" t="n">
        <v>0</v>
      </c>
      <c r="F106" s="5" t="n">
        <v>0</v>
      </c>
      <c r="G106" s="5" t="n">
        <v>0</v>
      </c>
      <c r="H106" t="inlineStr"/>
      <c r="I106" s="5" t="n">
        <v>7</v>
      </c>
      <c r="J106" s="5" t="n">
        <v>1</v>
      </c>
      <c r="K106" s="12" t="n">
        <v>1</v>
      </c>
      <c r="L106" s="12" t="n">
        <v>0.0391</v>
      </c>
      <c r="M106" s="5" t="n">
        <v>1</v>
      </c>
      <c r="N106" s="5" t="n">
        <v>4</v>
      </c>
      <c r="O106" s="12" t="n">
        <v>0.3333</v>
      </c>
      <c r="P106" t="inlineStr">
        <is>
          <t>наявність сертифікатів (7 файлів); авторизація виробника (1 листів); висока результативність на торгах (100,0%); зростання (169% у другій половині періоду); уміє вигравати у відкритих торгах; працює з великими контрактами</t>
        </is>
      </c>
      <c r="Q106" t="inlineStr">
        <is>
          <t>слабка цінова позиція: дисконт 3,9% проти 8,3% по ринку</t>
        </is>
      </c>
      <c r="R106" t="inlineStr">
        <is>
          <t>Потрібний глибший ШІ аналіз</t>
        </is>
      </c>
    </row>
    <row r="107">
      <c r="A107" t="inlineStr">
        <is>
          <t>24083083</t>
        </is>
      </c>
      <c r="B107" t="inlineStr">
        <is>
          <t>ТОВ "КОМЕЛ"</t>
        </is>
      </c>
      <c r="C107" t="inlineStr"/>
      <c r="D107" t="inlineStr">
        <is>
          <t>Canon</t>
        </is>
      </c>
      <c r="E107" s="12" t="n">
        <v>0.3333</v>
      </c>
      <c r="F107" s="5" t="n">
        <v>3</v>
      </c>
      <c r="G107" s="5" t="n">
        <v>3</v>
      </c>
      <c r="H107" t="inlineStr"/>
      <c r="I107" s="5" t="n">
        <v>0</v>
      </c>
      <c r="J107" s="5" t="n">
        <v>0</v>
      </c>
      <c r="K107" s="12" t="n">
        <v>0</v>
      </c>
      <c r="L107" s="12" t="n">
        <v>0</v>
      </c>
      <c r="M107" s="5" t="n">
        <v>1</v>
      </c>
      <c r="N107" s="5" t="n">
        <v>3</v>
      </c>
      <c r="O107" s="12" t="n">
        <v>0</v>
      </c>
      <c r="P107" t="inlineStr">
        <is>
          <t>—</t>
        </is>
      </c>
      <c r="Q107" t="inlineStr">
        <is>
          <t>сертифікатів у поданих файлах не знайдено; слабка цінова позиція: дисконт 0,0% проти 8,3% по ринку; майже не бере участі в конкурентних процедурах</t>
        </is>
      </c>
      <c r="R107" t="inlineStr">
        <is>
          <t>Потрібний глибший ШІ аналіз</t>
        </is>
      </c>
    </row>
    <row r="108">
      <c r="A108" t="inlineStr">
        <is>
          <t>43120417</t>
        </is>
      </c>
      <c r="B108" t="inlineStr">
        <is>
          <t>ТОВ "ПАВЕРТРЕЙД"</t>
        </is>
      </c>
      <c r="C108" t="inlineStr"/>
      <c r="D108" t="inlineStr">
        <is>
          <t>Intel</t>
        </is>
      </c>
      <c r="E108" s="12" t="n">
        <v>0.5</v>
      </c>
      <c r="F108" s="5" t="n">
        <v>3</v>
      </c>
      <c r="G108" s="5" t="n">
        <v>2</v>
      </c>
      <c r="H108" t="inlineStr"/>
      <c r="I108" s="5" t="n">
        <v>0</v>
      </c>
      <c r="J108" s="5" t="n">
        <v>0</v>
      </c>
      <c r="K108" s="12" t="n">
        <v>0.08459999999999999</v>
      </c>
      <c r="L108" s="12" t="n">
        <v>0.0193</v>
      </c>
      <c r="M108" s="5" t="n">
        <v>1</v>
      </c>
      <c r="N108" s="5" t="n">
        <v>11</v>
      </c>
      <c r="O108" s="12" t="n">
        <v>0.3125</v>
      </c>
      <c r="P108" t="inlineStr">
        <is>
          <t>працює з великими контрактами</t>
        </is>
      </c>
      <c r="Q108" t="inlineStr">
        <is>
          <t>сертифікатів у поданих файлах не знайдено; слабка цінова позиція: дисконт 1,9% проти 8,3% по ринку; низька результативність на торгах (8,5%)</t>
        </is>
      </c>
      <c r="R108" t="inlineStr">
        <is>
          <t>Потрібний глибший ШІ аналіз</t>
        </is>
      </c>
    </row>
    <row r="109">
      <c r="A109" t="inlineStr">
        <is>
          <t>45596933</t>
        </is>
      </c>
      <c r="B109" t="inlineStr">
        <is>
          <t>ТОВ "КОМПАКОМ"</t>
        </is>
      </c>
      <c r="C109" t="inlineStr"/>
      <c r="D109" t="inlineStr">
        <is>
          <t>Intel</t>
        </is>
      </c>
      <c r="E109" s="12" t="n">
        <v>0.2692</v>
      </c>
      <c r="F109" s="5" t="n">
        <v>11</v>
      </c>
      <c r="G109" s="5" t="n">
        <v>1</v>
      </c>
      <c r="H109" t="inlineStr"/>
      <c r="I109" s="5" t="n">
        <v>16</v>
      </c>
      <c r="J109" s="5" t="n">
        <v>18</v>
      </c>
      <c r="K109" s="12" t="n">
        <v>0.0964</v>
      </c>
      <c r="L109" s="12" t="n">
        <v>0.05</v>
      </c>
      <c r="M109" s="5" t="n">
        <v>1</v>
      </c>
      <c r="N109" s="5" t="n">
        <v>7</v>
      </c>
      <c r="O109" s="12" t="n">
        <v>0.2222</v>
      </c>
      <c r="P109" t="inlineStr">
        <is>
          <t>портфель дистрибуції: 11 ТМ; наявність сертифікатів (16 файлів); авторизація виробника (18 листів); зростання (229% у другій половині періоду); уміє вигравати у відкритих торгах; працює з великими контрактами</t>
        </is>
      </c>
      <c r="Q109" t="inlineStr">
        <is>
          <t>слабка цінова позиція: дисконт 5,0% проти 8,3% по ринку; низька результативність на торгах (9,6%)</t>
        </is>
      </c>
      <c r="R109" t="inlineStr">
        <is>
          <t>Потрібний глибший ШІ аналіз</t>
        </is>
      </c>
    </row>
    <row r="110">
      <c r="A110" t="inlineStr">
        <is>
          <t>2850105825</t>
        </is>
      </c>
      <c r="B110" t="inlineStr">
        <is>
          <t>ФОП "Гріпіч Тетяна Борисівна"</t>
        </is>
      </c>
      <c r="C110" t="inlineStr"/>
      <c r="D110" t="inlineStr">
        <is>
          <t>Intel</t>
        </is>
      </c>
      <c r="E110" s="12" t="n">
        <v>1</v>
      </c>
      <c r="F110" s="5" t="n">
        <v>1</v>
      </c>
      <c r="G110" s="5" t="n">
        <v>0</v>
      </c>
      <c r="H110" t="inlineStr"/>
      <c r="I110" s="5" t="n">
        <v>0</v>
      </c>
      <c r="J110" s="5" t="n">
        <v>0</v>
      </c>
      <c r="K110" s="12" t="n">
        <v>0.2245</v>
      </c>
      <c r="L110" s="12" t="n">
        <v>0.0636</v>
      </c>
      <c r="M110" s="5" t="n">
        <v>1</v>
      </c>
      <c r="N110" s="5" t="n">
        <v>8</v>
      </c>
      <c r="O110" s="12" t="n">
        <v>0.2727</v>
      </c>
      <c r="P110" t="inlineStr">
        <is>
          <t>уміє вигравати у відкритих торгах</t>
        </is>
      </c>
      <c r="Q110" t="inlineStr">
        <is>
          <t>сертифікатів у поданих файлах не знайдено; низька результативність на торгах (22,4%); спад (-50% у другій половині періоду)</t>
        </is>
      </c>
      <c r="R110" t="inlineStr">
        <is>
          <t>Потрібний глибший ШІ аналіз</t>
        </is>
      </c>
    </row>
    <row r="111">
      <c r="A111" t="inlineStr">
        <is>
          <t>2874302850</t>
        </is>
      </c>
      <c r="B111" t="inlineStr">
        <is>
          <t>ФОП "СРИВКІН СЕРГІЙ БОРИСОВИЧ"</t>
        </is>
      </c>
      <c r="C111" t="inlineStr"/>
      <c r="D111" t="inlineStr">
        <is>
          <t>Intel</t>
        </is>
      </c>
      <c r="E111" s="12" t="n">
        <v>0.3913</v>
      </c>
      <c r="F111" s="5" t="n">
        <v>3</v>
      </c>
      <c r="G111" s="5" t="n">
        <v>0</v>
      </c>
      <c r="H111" t="inlineStr"/>
      <c r="I111" s="5" t="n">
        <v>0</v>
      </c>
      <c r="J111" s="5" t="n">
        <v>0</v>
      </c>
      <c r="K111" s="12" t="n">
        <v>0</v>
      </c>
      <c r="L111" s="12" t="n"/>
      <c r="M111" s="5" t="n">
        <v>0</v>
      </c>
      <c r="N111" s="5" t="n">
        <v>0</v>
      </c>
      <c r="O111" s="12" t="n">
        <v>0</v>
      </c>
      <c r="P111" t="inlineStr">
        <is>
          <t>—</t>
        </is>
      </c>
      <c r="Q111" t="inlineStr">
        <is>
          <t>сертифікатів у поданих файлах не знайдено; низька результативність на торгах (0,0%)</t>
        </is>
      </c>
      <c r="R111" t="inlineStr">
        <is>
          <t>Потрібний глибший ШІ аналіз</t>
        </is>
      </c>
    </row>
    <row r="112">
      <c r="A112" t="inlineStr">
        <is>
          <t>3395906995</t>
        </is>
      </c>
      <c r="B112" t="inlineStr">
        <is>
          <t>ФОП СІНЬКЕВИЧ ОЛЕКСАНДР АНАТОЛІЙОВИЧ</t>
        </is>
      </c>
      <c r="C112" t="inlineStr"/>
      <c r="D112" t="inlineStr"/>
      <c r="E112" s="12" t="n">
        <v>0</v>
      </c>
      <c r="F112" s="5" t="n">
        <v>0</v>
      </c>
      <c r="G112" s="5" t="n">
        <v>0</v>
      </c>
      <c r="H112" t="inlineStr"/>
      <c r="I112" s="5" t="n">
        <v>0</v>
      </c>
      <c r="J112" s="5" t="n">
        <v>0</v>
      </c>
      <c r="K112" s="12" t="n">
        <v>0.1282</v>
      </c>
      <c r="L112" s="12" t="n">
        <v>0.0905</v>
      </c>
      <c r="M112" s="5" t="n">
        <v>1</v>
      </c>
      <c r="N112" s="5" t="n">
        <v>5</v>
      </c>
      <c r="O112" s="12" t="n">
        <v>0</v>
      </c>
      <c r="P112" t="inlineStr">
        <is>
          <t>уміє вигравати у відкритих торгах</t>
        </is>
      </c>
      <c r="Q112" t="inlineStr">
        <is>
          <t>сертифікатів у поданих файлах не знайдено; низька результативність на торгах (12,8%)</t>
        </is>
      </c>
      <c r="R112" t="inlineStr">
        <is>
          <t>Потрібний глибший ШІ аналіз</t>
        </is>
      </c>
    </row>
    <row r="113">
      <c r="A113" t="inlineStr">
        <is>
          <t>32490244</t>
        </is>
      </c>
      <c r="B113" t="inlineStr">
        <is>
          <t>ТОВ "Епіцентр К"</t>
        </is>
      </c>
      <c r="C113" t="inlineStr"/>
      <c r="D113" t="inlineStr">
        <is>
          <t>Epson</t>
        </is>
      </c>
      <c r="E113" s="12" t="n">
        <v>1</v>
      </c>
      <c r="F113" s="5" t="n">
        <v>1</v>
      </c>
      <c r="G113" s="5" t="n">
        <v>1</v>
      </c>
      <c r="H113" t="inlineStr"/>
      <c r="I113" s="5" t="n">
        <v>0</v>
      </c>
      <c r="J113" s="5" t="n">
        <v>0</v>
      </c>
      <c r="K113" s="12" t="n">
        <v>0.1316</v>
      </c>
      <c r="L113" s="12" t="n">
        <v>0.0813</v>
      </c>
      <c r="M113" s="5" t="n">
        <v>1</v>
      </c>
      <c r="N113" s="5" t="n">
        <v>7</v>
      </c>
      <c r="O113" s="12" t="n">
        <v>0</v>
      </c>
      <c r="P113" t="inlineStr">
        <is>
          <t>зростання (385% у другій половині періоду)</t>
        </is>
      </c>
      <c r="Q113" t="inlineStr">
        <is>
          <t>сертифікатів у поданих файлах не знайдено; низька результативність на торгах (13,2%)</t>
        </is>
      </c>
      <c r="R113" t="inlineStr">
        <is>
          <t>Потрібний глибший ШІ аналіз</t>
        </is>
      </c>
    </row>
    <row r="114">
      <c r="A114" t="inlineStr">
        <is>
          <t>30256061</t>
        </is>
      </c>
      <c r="B114" t="inlineStr">
        <is>
          <t>ТОВ "ДІАВЕСТЕНД КОМПЛЕКСНІ РІШЕННЯ"</t>
        </is>
      </c>
      <c r="C114" t="inlineStr"/>
      <c r="D114" t="inlineStr">
        <is>
          <t>Intel</t>
        </is>
      </c>
      <c r="E114" s="12" t="n">
        <v>0.1282</v>
      </c>
      <c r="F114" s="5" t="n">
        <v>19</v>
      </c>
      <c r="G114" s="5" t="n">
        <v>7</v>
      </c>
      <c r="H114" t="inlineStr"/>
      <c r="I114" s="5" t="n">
        <v>9</v>
      </c>
      <c r="J114" s="5" t="n">
        <v>6</v>
      </c>
      <c r="K114" s="12" t="n">
        <v>0.1515</v>
      </c>
      <c r="L114" s="12" t="n">
        <v>0.0605</v>
      </c>
      <c r="M114" s="5" t="n">
        <v>1</v>
      </c>
      <c r="N114" s="5" t="n">
        <v>5</v>
      </c>
      <c r="O114" s="12" t="n">
        <v>0.1667</v>
      </c>
      <c r="P114" t="inlineStr">
        <is>
          <t>портфель дистрибуції: 19 ТМ; наявність сертифікатів (9 файлів); авторизація виробника (6 листів); уміє вигравати у відкритих торгах; працює з великими контрактами</t>
        </is>
      </c>
      <c r="Q114" t="inlineStr">
        <is>
          <t>слабка цінова позиція: дисконт 6,0% проти 8,3% по ринку; низька результативність на торгах (15,2%); спад (-36% у другій половині періоду)</t>
        </is>
      </c>
      <c r="R114" t="inlineStr">
        <is>
          <t>Потрібний глибший ШІ аналіз</t>
        </is>
      </c>
    </row>
    <row r="115">
      <c r="A115" t="inlineStr">
        <is>
          <t>44554976</t>
        </is>
      </c>
      <c r="B115" t="inlineStr">
        <is>
          <t>ТОВ "КУБІК ГРУП"</t>
        </is>
      </c>
      <c r="C115" t="inlineStr"/>
      <c r="D115" t="inlineStr"/>
      <c r="E115" s="12" t="n">
        <v>0</v>
      </c>
      <c r="F115" s="5" t="n">
        <v>0</v>
      </c>
      <c r="G115" s="5" t="n">
        <v>0</v>
      </c>
      <c r="H115" t="inlineStr"/>
      <c r="I115" s="5" t="n">
        <v>0</v>
      </c>
      <c r="J115" s="5" t="n">
        <v>0</v>
      </c>
      <c r="K115" s="12" t="n">
        <v>0.1176</v>
      </c>
      <c r="L115" s="12" t="n">
        <v>0.0056</v>
      </c>
      <c r="M115" s="5" t="n">
        <v>1</v>
      </c>
      <c r="N115" s="5" t="n">
        <v>4</v>
      </c>
      <c r="O115" s="12" t="n">
        <v>0</v>
      </c>
      <c r="P115" t="inlineStr">
        <is>
          <t>уміє вигравати у відкритих торгах; працює з великими контрактами</t>
        </is>
      </c>
      <c r="Q115" t="inlineStr">
        <is>
          <t>сертифікатів у поданих файлах не знайдено; слабка цінова позиція: дисконт 0,6% проти 8,3% по ринку; низька результативність на торгах (11,8%)</t>
        </is>
      </c>
      <c r="R115" t="inlineStr">
        <is>
          <t>Потрібний глибший ШІ аналіз</t>
        </is>
      </c>
    </row>
    <row r="116">
      <c r="A116" t="inlineStr">
        <is>
          <t>38199744</t>
        </is>
      </c>
      <c r="B116" t="inlineStr">
        <is>
          <t>ТОВ "СІНТ-ДНІПРОПЕТРОВСЬК"</t>
        </is>
      </c>
      <c r="C116" t="inlineStr"/>
      <c r="D116" t="inlineStr"/>
      <c r="E116" s="12" t="n">
        <v>0</v>
      </c>
      <c r="F116" s="5" t="n">
        <v>0</v>
      </c>
      <c r="G116" s="5" t="n">
        <v>0</v>
      </c>
      <c r="H116" t="inlineStr"/>
      <c r="I116" s="5" t="n">
        <v>0</v>
      </c>
      <c r="J116" s="5" t="n">
        <v>0</v>
      </c>
      <c r="K116" s="12" t="n">
        <v>0.2188</v>
      </c>
      <c r="L116" s="12" t="n">
        <v>0.0951</v>
      </c>
      <c r="M116" s="5" t="n">
        <v>1</v>
      </c>
      <c r="N116" s="5" t="n">
        <v>6</v>
      </c>
      <c r="O116" s="12" t="n">
        <v>0.1429</v>
      </c>
      <c r="P116" t="inlineStr">
        <is>
          <t>уміє вигравати у відкритих торгах</t>
        </is>
      </c>
      <c r="Q116" t="inlineStr">
        <is>
          <t>сертифікатів у поданих файлах не знайдено; низька результативність на торгах (21,9%); спад (-46% у другій половині періоду)</t>
        </is>
      </c>
      <c r="R116" t="inlineStr">
        <is>
          <t>Потрібний глибший ШІ аналіз</t>
        </is>
      </c>
    </row>
    <row r="117">
      <c r="A117" t="inlineStr">
        <is>
          <t>41351235</t>
        </is>
      </c>
      <c r="B117" t="inlineStr">
        <is>
          <t>ТОВ "КПІ-МАРКЕТ"</t>
        </is>
      </c>
      <c r="C117" t="inlineStr"/>
      <c r="D117" t="inlineStr"/>
      <c r="E117" s="12" t="n">
        <v>0</v>
      </c>
      <c r="F117" s="5" t="n">
        <v>0</v>
      </c>
      <c r="G117" s="5" t="n">
        <v>0</v>
      </c>
      <c r="H117" t="inlineStr"/>
      <c r="I117" s="5" t="n">
        <v>0</v>
      </c>
      <c r="J117" s="5" t="n">
        <v>0</v>
      </c>
      <c r="K117" s="12" t="n">
        <v>0.0312</v>
      </c>
      <c r="L117" s="12" t="n">
        <v>0.0013</v>
      </c>
      <c r="M117" s="5" t="n">
        <v>1</v>
      </c>
      <c r="N117" s="5" t="n">
        <v>1</v>
      </c>
      <c r="O117" s="12" t="n">
        <v>0</v>
      </c>
      <c r="P117" t="inlineStr">
        <is>
          <t>працює з великими контрактами</t>
        </is>
      </c>
      <c r="Q117" t="inlineStr">
        <is>
          <t>сертифікатів у поданих файлах не знайдено; слабка цінова позиція: дисконт 0,1% проти 8,3% по ринку; низька результативність на торгах (3,1%)</t>
        </is>
      </c>
      <c r="R117" t="inlineStr">
        <is>
          <t>Потрібний глибший ШІ аналіз</t>
        </is>
      </c>
    </row>
    <row r="118">
      <c r="A118" t="inlineStr">
        <is>
          <t>2948314313</t>
        </is>
      </c>
      <c r="B118" t="inlineStr">
        <is>
          <t>ФОП Козловський Сергій Павлович</t>
        </is>
      </c>
      <c r="C118" t="inlineStr"/>
      <c r="D118" t="inlineStr">
        <is>
          <t>Western Digital</t>
        </is>
      </c>
      <c r="E118" s="12" t="n">
        <v>1</v>
      </c>
      <c r="F118" s="5" t="n">
        <v>1</v>
      </c>
      <c r="G118" s="5" t="n">
        <v>0</v>
      </c>
      <c r="H118" t="inlineStr"/>
      <c r="I118" s="5" t="n">
        <v>1</v>
      </c>
      <c r="J118" s="5" t="n">
        <v>0</v>
      </c>
      <c r="K118" s="12" t="n">
        <v>0.2188</v>
      </c>
      <c r="L118" s="12" t="n">
        <v>0.1333</v>
      </c>
      <c r="M118" s="5" t="n">
        <v>1</v>
      </c>
      <c r="N118" s="5" t="n">
        <v>4</v>
      </c>
      <c r="O118" s="12" t="n">
        <v>0.4286</v>
      </c>
      <c r="P118" t="inlineStr">
        <is>
          <t>цінова конкурентність: дисконт 13,3% проти 8,3% по ринку; стабільна база замовників (42,9% повторних); уміє вигравати у відкритих торгах; працює з великими контрактами</t>
        </is>
      </c>
      <c r="Q118" t="inlineStr">
        <is>
          <t>низька результативність на торгах (21,9%); спад (-44% у другій половині періоду)</t>
        </is>
      </c>
      <c r="R118" t="inlineStr">
        <is>
          <t>Потрібний глибший ШІ аналіз</t>
        </is>
      </c>
    </row>
    <row r="119">
      <c r="A119" t="inlineStr">
        <is>
          <t>3248805838</t>
        </is>
      </c>
      <c r="B119" t="inlineStr">
        <is>
          <t>ФОП ПРІСИЧ ДМИТРО МИКОЛАЙОВИЧ</t>
        </is>
      </c>
      <c r="C119" t="inlineStr"/>
      <c r="D119" t="inlineStr">
        <is>
          <t>Intel</t>
        </is>
      </c>
      <c r="E119" s="12" t="n">
        <v>0.6667</v>
      </c>
      <c r="F119" s="5" t="n">
        <v>3</v>
      </c>
      <c r="G119" s="5" t="n">
        <v>1</v>
      </c>
      <c r="H119" t="inlineStr"/>
      <c r="I119" s="5" t="n">
        <v>0</v>
      </c>
      <c r="J119" s="5" t="n">
        <v>0</v>
      </c>
      <c r="K119" s="12" t="n">
        <v>0.06900000000000001</v>
      </c>
      <c r="L119" s="12" t="n">
        <v>0.0625</v>
      </c>
      <c r="M119" s="5" t="n">
        <v>1</v>
      </c>
      <c r="N119" s="5" t="n">
        <v>2</v>
      </c>
      <c r="O119" s="12" t="n">
        <v>0</v>
      </c>
      <c r="P119" t="inlineStr">
        <is>
          <t>фокус на ТМ Intel (66,7% позицій); працює з великими контрактами</t>
        </is>
      </c>
      <c r="Q119" t="inlineStr">
        <is>
          <t>сертифікатів у поданих файлах не знайдено; слабка цінова позиція: дисконт 6,3% проти 8,3% по ринку; низька результативність на торгах (6,9%)</t>
        </is>
      </c>
      <c r="R119" t="inlineStr">
        <is>
          <t>Потрібний глибший ШІ аналіз</t>
        </is>
      </c>
    </row>
  </sheetData>
  <pageMargins left="0.75" right="0.75" top="1" bottom="1" header="0.5" footer="0.5"/>
  <drawing xmlns:r="http://schemas.openxmlformats.org/officeDocument/2006/relationships" r:id="rId1"/>
  <tableParts count="1">
    <tablePart xmlns:r="http://schemas.openxmlformats.org/officeDocument/2006/relationships" r:id="rId2"/>
  </tableParts>
</worksheet>
</file>

<file path=xl/worksheets/sheet13.xml><?xml version="1.0" encoding="utf-8"?>
<worksheet xmlns="http://schemas.openxmlformats.org/spreadsheetml/2006/main">
  <sheetPr>
    <outlinePr summaryBelow="1" summaryRight="1"/>
    <pageSetUpPr/>
  </sheetPr>
  <dimension ref="A1:I215"/>
  <sheetViews>
    <sheetView showGridLines="0" workbookViewId="0">
      <selection activeCell="A1" sqref="A1"/>
    </sheetView>
  </sheetViews>
  <sheetFormatPr baseColWidth="8" defaultRowHeight="15"/>
  <cols>
    <col width="42" customWidth="1" min="1" max="1"/>
    <col width="37" customWidth="1" min="2" max="2"/>
    <col width="60" customWidth="1" min="3" max="3"/>
    <col width="25" customWidth="1" min="4" max="4"/>
    <col width="35" customWidth="1" min="5" max="5"/>
    <col width="60" customWidth="1" min="6" max="6"/>
    <col width="23" customWidth="1" min="7" max="7"/>
    <col width="45" customWidth="1" min="8" max="8"/>
    <col width="10" customWidth="1" min="9" max="9"/>
  </cols>
  <sheetData>
    <row r="1">
      <c r="A1" s="1" t="inlineStr">
        <is>
          <t>ТОВ "ТОРГОВИЙ ДІМ "ПАРТНЕР АЙ ТІ"</t>
        </is>
      </c>
    </row>
    <row r="2">
      <c r="A2" s="6" t="inlineStr">
        <is>
          <t>ЄДРПОУ 41263186  ·  наше ТОВ  ·  місце №3</t>
        </is>
      </c>
    </row>
    <row r="4">
      <c r="A4" s="7" t="inlineStr">
        <is>
          <t>ТОВ "ТОРГОВИЙ ДІМ "ПАРТНЕР АЙ ТІ" (41263186)</t>
        </is>
      </c>
    </row>
    <row r="6">
      <c r="A6" s="8" t="inlineStr">
        <is>
          <t>Показники</t>
        </is>
      </c>
    </row>
    <row r="7">
      <c r="A7" s="9" t="inlineStr">
        <is>
          <t>Місце на ринку</t>
        </is>
      </c>
      <c r="B7" s="10" t="inlineStr">
        <is>
          <t>№3</t>
        </is>
      </c>
    </row>
    <row r="8">
      <c r="A8" s="9" t="inlineStr">
        <is>
          <t>Сума угод</t>
        </is>
      </c>
      <c r="B8" s="10" t="inlineStr">
        <is>
          <t>3,6 млн грн</t>
        </is>
      </c>
    </row>
    <row r="9">
      <c r="A9" s="9" t="inlineStr">
        <is>
          <t>Частка ринку</t>
        </is>
      </c>
      <c r="B9" s="10" t="inlineStr">
        <is>
          <t>3,1%</t>
        </is>
      </c>
    </row>
    <row r="10">
      <c r="A10" s="9" t="inlineStr">
        <is>
          <t>Угод</t>
        </is>
      </c>
      <c r="B10" s="10" t="inlineStr">
        <is>
          <t>13</t>
        </is>
      </c>
    </row>
    <row r="11">
      <c r="A11" s="9" t="inlineStr">
        <is>
          <t>Закупівель виграно</t>
        </is>
      </c>
      <c r="B11" s="10" t="inlineStr">
        <is>
          <t>12</t>
        </is>
      </c>
    </row>
    <row r="12">
      <c r="A12" s="9" t="inlineStr">
        <is>
          <t>Подань (де видно)</t>
        </is>
      </c>
      <c r="B12" s="10" t="inlineStr">
        <is>
          <t>31</t>
        </is>
      </c>
    </row>
    <row r="13">
      <c r="A13" s="9" t="inlineStr">
        <is>
          <t>Виграно з поданих</t>
        </is>
      </c>
      <c r="B13" s="10" t="inlineStr">
        <is>
          <t>12 з 31</t>
        </is>
      </c>
    </row>
    <row r="14">
      <c r="A14" s="9" t="inlineStr">
        <is>
          <t>Результативність</t>
        </is>
      </c>
      <c r="B14" s="10" t="inlineStr">
        <is>
          <t>38,7%</t>
        </is>
      </c>
    </row>
    <row r="15">
      <c r="A15" s="9" t="inlineStr">
        <is>
          <t>Середня угода</t>
        </is>
      </c>
      <c r="B15" s="10" t="inlineStr">
        <is>
          <t>278,9 тис. грн</t>
        </is>
      </c>
    </row>
    <row r="16">
      <c r="A16" s="9" t="inlineStr">
        <is>
          <t>Медіанна угода</t>
        </is>
      </c>
      <c r="B16" s="10" t="inlineStr">
        <is>
          <t>298,1 тис. грн</t>
        </is>
      </c>
    </row>
    <row r="17">
      <c r="A17" s="9" t="inlineStr">
        <is>
          <t>Замовників</t>
        </is>
      </c>
      <c r="B17" s="10" t="inlineStr">
        <is>
          <t>10</t>
        </is>
      </c>
    </row>
    <row r="18">
      <c r="A18" s="9" t="inlineStr">
        <is>
          <t>Областей</t>
        </is>
      </c>
      <c r="B18" s="10" t="inlineStr">
        <is>
          <t>1</t>
        </is>
      </c>
    </row>
    <row r="19">
      <c r="A19" s="9" t="inlineStr">
        <is>
          <t>Основна ТМ</t>
        </is>
      </c>
      <c r="B19" s="10" t="inlineStr">
        <is>
          <t>Vinga</t>
        </is>
      </c>
    </row>
    <row r="20">
      <c r="A20" s="9" t="inlineStr">
        <is>
          <t>Основний товар</t>
        </is>
      </c>
      <c r="B20" s="10" t="inlineStr">
        <is>
          <t>Багатофункціональний пристрій (БФП)</t>
        </is>
      </c>
    </row>
    <row r="21">
      <c r="A21" s="9" t="inlineStr">
        <is>
          <t>Дисконт (медіана)</t>
        </is>
      </c>
      <c r="B21" s="10" t="inlineStr">
        <is>
          <t>12,2%</t>
        </is>
      </c>
    </row>
    <row r="22">
      <c r="A22" s="9" t="inlineStr">
        <is>
          <t>Повторні замовники</t>
        </is>
      </c>
      <c r="B22" s="10" t="inlineStr">
        <is>
          <t>23,1%</t>
        </is>
      </c>
    </row>
    <row r="23">
      <c r="A23" s="9" t="inlineStr">
        <is>
          <t>Активність</t>
        </is>
      </c>
      <c r="B23" s="10" t="inlineStr">
        <is>
          <t>2025-09-22 — 2026-07-20</t>
        </is>
      </c>
    </row>
    <row r="24">
      <c r="A24" s="9" t="inlineStr">
        <is>
          <t>Зірвано перемог</t>
        </is>
      </c>
      <c r="B24" s="10" t="inlineStr">
        <is>
          <t>1 на 216,0 тис. грн</t>
        </is>
      </c>
    </row>
    <row r="25">
      <c r="A25" s="9" t="inlineStr">
        <is>
          <t>Причина зривів</t>
        </is>
      </c>
      <c r="B25" s="10" t="inlineStr">
        <is>
          <t>Невідповідність технічним вимогам</t>
        </is>
      </c>
    </row>
    <row r="27">
      <c r="A27" s="8" t="inlineStr">
        <is>
          <t>Висновки</t>
        </is>
      </c>
    </row>
    <row r="28">
      <c r="A28" t="inlineStr">
        <is>
          <t>•  3-е місце на ринку: 3,6 млн грн (3,1% обороту)</t>
        </is>
      </c>
    </row>
    <row r="29">
      <c r="A29" t="inlineStr">
        <is>
          <t>•  Основний товар: багатофункціональний пристрій (бфп)</t>
        </is>
      </c>
    </row>
    <row r="30">
      <c r="A30" t="inlineStr">
        <is>
          <t>•  ТМ Vinga у 12,9% позицій — довідник знає її як власну ТМ КОМЕЛ</t>
        </is>
      </c>
    </row>
    <row r="31">
      <c r="A31" t="inlineStr">
        <is>
          <t>•  Портфель із 16 ТМ</t>
        </is>
      </c>
    </row>
    <row r="32">
      <c r="A32" t="inlineStr">
        <is>
          <t>•  Грає у відкритих процедурах: лише 0,0% угод без торгів</t>
        </is>
      </c>
    </row>
    <row r="33">
      <c r="A33" t="inlineStr">
        <is>
          <t>•  Агресивна ціна: медіанний дисконт 12,2% проти 8,3% по ринку</t>
        </is>
      </c>
    </row>
    <row r="34">
      <c r="A34" t="inlineStr">
        <is>
          <t>•  Географічно сфокусований: Волинська область (100,0% угод)</t>
        </is>
      </c>
    </row>
    <row r="35">
      <c r="A35" t="inlineStr">
        <is>
          <t>•  Результативність на торгах: 38,7% (12 з 31)</t>
        </is>
      </c>
    </row>
    <row r="36">
      <c r="A36" t="inlineStr">
        <is>
          <t>•  Динаміка: тримається рівно (4% у другій половині періоду)</t>
        </is>
      </c>
    </row>
    <row r="37">
      <c r="A37" t="inlineStr">
        <is>
          <t>•  У поданих файлах — сертифікатів: 16, авторизаційних листів: 40</t>
        </is>
      </c>
    </row>
    <row r="38">
      <c r="A38" t="inlineStr">
        <is>
          <t>•  Зірваних перемог: 1 на 216,0 тис. грн, найчастіше — невідповідність технічним вимогам</t>
        </is>
      </c>
    </row>
    <row r="40">
      <c r="A40" s="8" t="inlineStr">
        <is>
          <t>Графіки</t>
        </is>
      </c>
    </row>
    <row r="42">
      <c r="A42" s="2" t="inlineStr">
        <is>
          <t>Динаміка по місяцях</t>
        </is>
      </c>
    </row>
    <row r="43">
      <c r="A43" s="3" t="inlineStr">
        <is>
          <t>Період</t>
        </is>
      </c>
      <c r="B43" s="3" t="inlineStr">
        <is>
          <t>Сума угод, грн</t>
        </is>
      </c>
    </row>
    <row r="44">
      <c r="A44" t="inlineStr">
        <is>
          <t>2025-09</t>
        </is>
      </c>
      <c r="B44" s="5" t="n">
        <v>443192.4</v>
      </c>
    </row>
    <row r="45">
      <c r="A45" t="inlineStr">
        <is>
          <t>2025-11</t>
        </is>
      </c>
      <c r="B45" s="5" t="n">
        <v>1803561</v>
      </c>
    </row>
    <row r="46">
      <c r="A46" t="inlineStr">
        <is>
          <t>2026-01</t>
        </is>
      </c>
      <c r="B46" s="5" t="n">
        <v>53292</v>
      </c>
    </row>
    <row r="47">
      <c r="A47" t="inlineStr">
        <is>
          <t>2026-03</t>
        </is>
      </c>
      <c r="B47" s="5" t="n">
        <v>36960</v>
      </c>
    </row>
    <row r="48">
      <c r="A48" t="inlineStr">
        <is>
          <t>2026-04</t>
        </is>
      </c>
      <c r="B48" s="5" t="n">
        <v>151290</v>
      </c>
    </row>
    <row r="49">
      <c r="A49" t="inlineStr">
        <is>
          <t>2026-06</t>
        </is>
      </c>
      <c r="B49" s="5" t="n">
        <v>529920</v>
      </c>
    </row>
    <row r="50">
      <c r="A50" t="inlineStr">
        <is>
          <t>2026-07</t>
        </is>
      </c>
      <c r="B50" s="5" t="n">
        <v>607190.4</v>
      </c>
    </row>
    <row r="62">
      <c r="A62" s="2" t="inlineStr">
        <is>
          <t>Торгові марки у позиціях</t>
        </is>
      </c>
    </row>
    <row r="63">
      <c r="A63" s="3" t="inlineStr">
        <is>
          <t>Категорія</t>
        </is>
      </c>
      <c r="B63" s="3" t="inlineStr">
        <is>
          <t>Позицій, шт</t>
        </is>
      </c>
    </row>
    <row r="64">
      <c r="A64" t="inlineStr">
        <is>
          <t>Vinga</t>
        </is>
      </c>
      <c r="B64" s="5" t="n">
        <v>4</v>
      </c>
    </row>
    <row r="65">
      <c r="A65" t="inlineStr">
        <is>
          <t>Intel</t>
        </is>
      </c>
      <c r="B65" s="5" t="n">
        <v>4</v>
      </c>
    </row>
    <row r="66">
      <c r="A66" t="inlineStr">
        <is>
          <t>HP</t>
        </is>
      </c>
      <c r="B66" s="5" t="n">
        <v>4</v>
      </c>
    </row>
    <row r="67">
      <c r="A67" t="inlineStr">
        <is>
          <t>MSI</t>
        </is>
      </c>
      <c r="B67" s="5" t="n">
        <v>3</v>
      </c>
    </row>
    <row r="68">
      <c r="A68" t="inlineStr">
        <is>
          <t>Kingston</t>
        </is>
      </c>
      <c r="B68" s="5" t="n">
        <v>2</v>
      </c>
    </row>
    <row r="69">
      <c r="A69" t="inlineStr">
        <is>
          <t>Logitech</t>
        </is>
      </c>
      <c r="B69" s="5" t="n">
        <v>2</v>
      </c>
    </row>
    <row r="70">
      <c r="A70" t="inlineStr">
        <is>
          <t>ASUS</t>
        </is>
      </c>
      <c r="B70" s="5" t="n">
        <v>2</v>
      </c>
    </row>
    <row r="71">
      <c r="A71" t="inlineStr">
        <is>
          <t>Microsoft</t>
        </is>
      </c>
      <c r="B71" s="5" t="n">
        <v>2</v>
      </c>
    </row>
    <row r="82">
      <c r="A82" s="2" t="inlineStr">
        <is>
          <t>Що саме продає</t>
        </is>
      </c>
    </row>
    <row r="83">
      <c r="A83" s="3" t="inlineStr">
        <is>
          <t>Категорія</t>
        </is>
      </c>
      <c r="B83" s="3" t="inlineStr">
        <is>
          <t>Позицій, шт</t>
        </is>
      </c>
    </row>
    <row r="84">
      <c r="A84" t="inlineStr">
        <is>
          <t>Багатофункціональний пристрій (БФП)</t>
        </is>
      </c>
      <c r="B84" s="5" t="n">
        <v>12</v>
      </c>
    </row>
    <row r="85">
      <c r="A85" t="inlineStr">
        <is>
          <t>Персональний комп'ютер</t>
        </is>
      </c>
      <c r="B85" s="5" t="n">
        <v>7</v>
      </c>
    </row>
    <row r="86">
      <c r="A86" t="inlineStr">
        <is>
          <t>Системний блок</t>
        </is>
      </c>
      <c r="B86" s="5" t="n">
        <v>7</v>
      </c>
    </row>
    <row r="87">
      <c r="A87" t="inlineStr">
        <is>
          <t>Ноутбук</t>
        </is>
      </c>
      <c r="B87" s="5" t="n">
        <v>7</v>
      </c>
    </row>
    <row r="88">
      <c r="A88" t="inlineStr">
        <is>
          <t>Монітор</t>
        </is>
      </c>
      <c r="B88" s="5" t="n">
        <v>5</v>
      </c>
    </row>
    <row r="89">
      <c r="A89" t="inlineStr">
        <is>
          <t>Моноблок</t>
        </is>
      </c>
      <c r="B89" s="5" t="n">
        <v>3</v>
      </c>
    </row>
    <row r="90">
      <c r="A90" t="inlineStr">
        <is>
          <t>Жорсткий диск (HDD)</t>
        </is>
      </c>
      <c r="B90" s="5" t="n">
        <v>2</v>
      </c>
    </row>
    <row r="91">
      <c r="A91" t="inlineStr">
        <is>
          <t>Накопичувач SSD</t>
        </is>
      </c>
      <c r="B91" s="5" t="n">
        <v>2</v>
      </c>
    </row>
    <row r="92">
      <c r="A92" t="inlineStr">
        <is>
          <t>Джерело безперебійного живлення</t>
        </is>
      </c>
      <c r="B92" s="5" t="n">
        <v>1</v>
      </c>
    </row>
    <row r="93">
      <c r="A93" t="inlineStr">
        <is>
          <t>Кабель, перехідник</t>
        </is>
      </c>
      <c r="B93" s="5" t="n">
        <v>1</v>
      </c>
    </row>
    <row r="100">
      <c r="A100" s="2" t="inlineStr">
        <is>
          <t>Ключові замовники</t>
        </is>
      </c>
    </row>
    <row r="101">
      <c r="A101" s="3" t="inlineStr">
        <is>
          <t>Категорія</t>
        </is>
      </c>
      <c r="B101" s="3" t="inlineStr">
        <is>
          <t>Сума, грн</t>
        </is>
      </c>
    </row>
    <row r="102">
      <c r="A102" t="inlineStr">
        <is>
          <t xml:space="preserve">Головне управління Національної поліції </t>
        </is>
      </c>
      <c r="B102" s="5" t="n">
        <v>909392.4</v>
      </c>
    </row>
    <row r="103">
      <c r="A103" t="inlineStr">
        <is>
          <t>Військова частина 9971</t>
        </is>
      </c>
      <c r="B103" s="5" t="n">
        <v>611775</v>
      </c>
    </row>
    <row r="104">
      <c r="A104" t="inlineStr">
        <is>
          <t>Головне Управління Державної служби Укра</t>
        </is>
      </c>
      <c r="B104" s="5" t="n">
        <v>463190.4</v>
      </c>
    </row>
    <row r="105">
      <c r="A105" t="inlineStr">
        <is>
          <t>ВОЛИНСЬКА ОБЛАСНА ПРОКУРАТУРА</t>
        </is>
      </c>
      <c r="B105" s="5" t="n">
        <v>460242</v>
      </c>
    </row>
    <row r="106">
      <c r="A106" t="inlineStr">
        <is>
          <t>УПРАВЛІННЯ СЛУЖБИ БЕЗПЕКИ УКРАЇНИ У ВОЛИ</t>
        </is>
      </c>
      <c r="B106" s="5" t="n">
        <v>411594</v>
      </c>
    </row>
    <row r="107">
      <c r="A107" t="inlineStr">
        <is>
          <t>Волинський національний університет імен</t>
        </is>
      </c>
      <c r="B107" s="5" t="n">
        <v>383670</v>
      </c>
    </row>
    <row r="108">
      <c r="A108" t="inlineStr">
        <is>
          <t>КП "ВОЛИНСЬКА ОБЛАСНА ПСИХІАТРИЧНА ЛІКАР</t>
        </is>
      </c>
      <c r="B108" s="5" t="n">
        <v>151290</v>
      </c>
    </row>
    <row r="109">
      <c r="A109" t="inlineStr">
        <is>
          <t>НОВОВОЛИНСЬКИЙ ЛІЦЕЙ №3 НОВОВОЛИНСЬКОЇ М</t>
        </is>
      </c>
      <c r="B109" s="5" t="n">
        <v>144000</v>
      </c>
    </row>
    <row r="110">
      <c r="A110" t="inlineStr">
        <is>
          <t>ВІДДІЛ ОСВІТИ, МОЛОДІ ТА СПОРТУ МАНЕВИЦЬ</t>
        </is>
      </c>
      <c r="B110" s="5" t="n">
        <v>53292</v>
      </c>
    </row>
    <row r="111">
      <c r="A111" t="inlineStr">
        <is>
          <t>Державний архів Волинської області</t>
        </is>
      </c>
      <c r="B111" s="5" t="n">
        <v>36960</v>
      </c>
    </row>
    <row r="118">
      <c r="A118" s="2" t="inlineStr">
        <is>
          <t>Процедури</t>
        </is>
      </c>
    </row>
    <row r="119">
      <c r="A119" s="3" t="inlineStr">
        <is>
          <t>Категорія</t>
        </is>
      </c>
      <c r="B119" s="3" t="inlineStr">
        <is>
          <t>Угод, шт</t>
        </is>
      </c>
    </row>
    <row r="120">
      <c r="A120" t="inlineStr">
        <is>
          <t>Відкриті торги (нові)</t>
        </is>
      </c>
      <c r="B120" s="5" t="n">
        <v>8</v>
      </c>
    </row>
    <row r="121">
      <c r="A121" t="inlineStr">
        <is>
          <t>Запит пропозицій</t>
        </is>
      </c>
      <c r="B121" s="5" t="n">
        <v>5</v>
      </c>
    </row>
    <row r="138">
      <c r="A138" s="8" t="inlineStr">
        <is>
          <t>Таблиці</t>
        </is>
      </c>
    </row>
    <row r="140">
      <c r="A140" s="2" t="inlineStr">
        <is>
          <t>ТМ</t>
        </is>
      </c>
    </row>
    <row r="141">
      <c r="A141" s="11" t="inlineStr">
        <is>
          <t>Торгова марка</t>
        </is>
      </c>
      <c r="B141" s="11" t="inlineStr">
        <is>
          <t>Позицій</t>
        </is>
      </c>
      <c r="C141" s="11" t="inlineStr">
        <is>
          <t>Частка</t>
        </is>
      </c>
      <c r="D141" s="11" t="inlineStr">
        <is>
          <t>Власна ТМ за довідником</t>
        </is>
      </c>
    </row>
    <row r="142">
      <c r="A142" t="inlineStr">
        <is>
          <t>Vinga</t>
        </is>
      </c>
      <c r="B142" s="5" t="n">
        <v>4</v>
      </c>
      <c r="C142" s="12" t="n">
        <v>0.129</v>
      </c>
      <c r="D142" t="inlineStr">
        <is>
          <t>КОМЕЛ</t>
        </is>
      </c>
    </row>
    <row r="143">
      <c r="A143" t="inlineStr">
        <is>
          <t>Intel</t>
        </is>
      </c>
      <c r="B143" s="5" t="n">
        <v>4</v>
      </c>
      <c r="C143" s="12" t="n">
        <v>0.129</v>
      </c>
      <c r="D143" t="inlineStr"/>
    </row>
    <row r="144">
      <c r="A144" t="inlineStr">
        <is>
          <t>HP</t>
        </is>
      </c>
      <c r="B144" s="5" t="n">
        <v>4</v>
      </c>
      <c r="C144" s="12" t="n">
        <v>0.129</v>
      </c>
      <c r="D144" t="inlineStr"/>
    </row>
    <row r="145">
      <c r="A145" t="inlineStr">
        <is>
          <t>MSI</t>
        </is>
      </c>
      <c r="B145" s="5" t="n">
        <v>3</v>
      </c>
      <c r="C145" s="12" t="n">
        <v>0.0968</v>
      </c>
      <c r="D145" t="inlineStr"/>
    </row>
    <row r="146">
      <c r="A146" t="inlineStr">
        <is>
          <t>Kingston</t>
        </is>
      </c>
      <c r="B146" s="5" t="n">
        <v>2</v>
      </c>
      <c r="C146" s="12" t="n">
        <v>0.0645</v>
      </c>
      <c r="D146" t="inlineStr"/>
    </row>
    <row r="147">
      <c r="A147" t="inlineStr">
        <is>
          <t>Logitech</t>
        </is>
      </c>
      <c r="B147" s="5" t="n">
        <v>2</v>
      </c>
      <c r="C147" s="12" t="n">
        <v>0.0645</v>
      </c>
      <c r="D147" t="inlineStr"/>
    </row>
    <row r="148">
      <c r="A148" t="inlineStr">
        <is>
          <t>ASUS</t>
        </is>
      </c>
      <c r="B148" s="5" t="n">
        <v>2</v>
      </c>
      <c r="C148" s="12" t="n">
        <v>0.0645</v>
      </c>
      <c r="D148" t="inlineStr"/>
    </row>
    <row r="149">
      <c r="A149" t="inlineStr">
        <is>
          <t>Microsoft</t>
        </is>
      </c>
      <c r="B149" s="5" t="n">
        <v>2</v>
      </c>
      <c r="C149" s="12" t="n">
        <v>0.0645</v>
      </c>
      <c r="D149" t="inlineStr"/>
    </row>
    <row r="150">
      <c r="A150" t="inlineStr">
        <is>
          <t>Deepcool</t>
        </is>
      </c>
      <c r="B150" s="5" t="n">
        <v>1</v>
      </c>
      <c r="C150" s="12" t="n">
        <v>0.0323</v>
      </c>
      <c r="D150" t="inlineStr"/>
    </row>
    <row r="151">
      <c r="A151" t="inlineStr">
        <is>
          <t>Gigabyte</t>
        </is>
      </c>
      <c r="B151" s="5" t="n">
        <v>1</v>
      </c>
      <c r="C151" s="12" t="n">
        <v>0.0323</v>
      </c>
      <c r="D151" t="inlineStr"/>
    </row>
    <row r="152">
      <c r="A152" t="inlineStr">
        <is>
          <t>GOODRAM</t>
        </is>
      </c>
      <c r="B152" s="5" t="n">
        <v>1</v>
      </c>
      <c r="C152" s="12" t="n">
        <v>0.0323</v>
      </c>
      <c r="D152" t="inlineStr"/>
    </row>
    <row r="153">
      <c r="A153" t="inlineStr">
        <is>
          <t>Chieftec</t>
        </is>
      </c>
      <c r="B153" s="5" t="n">
        <v>1</v>
      </c>
      <c r="C153" s="12" t="n">
        <v>0.0323</v>
      </c>
      <c r="D153" t="inlineStr"/>
    </row>
    <row r="154">
      <c r="A154" t="inlineStr">
        <is>
          <t>GAMEMAX</t>
        </is>
      </c>
      <c r="B154" s="5" t="n">
        <v>1</v>
      </c>
      <c r="C154" s="12" t="n">
        <v>0.0323</v>
      </c>
      <c r="D154" t="inlineStr"/>
    </row>
    <row r="155">
      <c r="A155" t="inlineStr">
        <is>
          <t>Western Digital</t>
        </is>
      </c>
      <c r="B155" s="5" t="n">
        <v>1</v>
      </c>
      <c r="C155" s="12" t="n">
        <v>0.0323</v>
      </c>
      <c r="D155" t="inlineStr"/>
    </row>
    <row r="156">
      <c r="A156" t="inlineStr">
        <is>
          <t>Dell</t>
        </is>
      </c>
      <c r="B156" s="5" t="n">
        <v>1</v>
      </c>
      <c r="C156" s="12" t="n">
        <v>0.0323</v>
      </c>
      <c r="D156" t="inlineStr"/>
    </row>
    <row r="157">
      <c r="A157" t="inlineStr">
        <is>
          <t>AMD</t>
        </is>
      </c>
      <c r="B157" s="5" t="n">
        <v>1</v>
      </c>
      <c r="C157" s="12" t="n">
        <v>0.0323</v>
      </c>
      <c r="D157" t="inlineStr"/>
    </row>
    <row r="159">
      <c r="A159" s="2" t="inlineStr">
        <is>
          <t>Товари</t>
        </is>
      </c>
    </row>
    <row r="160">
      <c r="A160" s="11" t="inlineStr">
        <is>
          <t>Товар</t>
        </is>
      </c>
      <c r="B160" s="11" t="inlineStr">
        <is>
          <t>Позицій</t>
        </is>
      </c>
    </row>
    <row r="161">
      <c r="A161" t="inlineStr">
        <is>
          <t>Багатофункціональний пристрій (БФП)</t>
        </is>
      </c>
      <c r="B161" s="5" t="n">
        <v>12</v>
      </c>
    </row>
    <row r="162">
      <c r="A162" t="inlineStr">
        <is>
          <t>Персональний комп'ютер</t>
        </is>
      </c>
      <c r="B162" s="5" t="n">
        <v>7</v>
      </c>
    </row>
    <row r="163">
      <c r="A163" t="inlineStr">
        <is>
          <t>Системний блок</t>
        </is>
      </c>
      <c r="B163" s="5" t="n">
        <v>7</v>
      </c>
    </row>
    <row r="164">
      <c r="A164" t="inlineStr">
        <is>
          <t>Ноутбук</t>
        </is>
      </c>
      <c r="B164" s="5" t="n">
        <v>7</v>
      </c>
    </row>
    <row r="165">
      <c r="A165" t="inlineStr">
        <is>
          <t>Монітор</t>
        </is>
      </c>
      <c r="B165" s="5" t="n">
        <v>5</v>
      </c>
    </row>
    <row r="166">
      <c r="A166" t="inlineStr">
        <is>
          <t>Моноблок</t>
        </is>
      </c>
      <c r="B166" s="5" t="n">
        <v>3</v>
      </c>
    </row>
    <row r="167">
      <c r="A167" t="inlineStr">
        <is>
          <t>Жорсткий диск (HDD)</t>
        </is>
      </c>
      <c r="B167" s="5" t="n">
        <v>2</v>
      </c>
    </row>
    <row r="168">
      <c r="A168" t="inlineStr">
        <is>
          <t>Накопичувач SSD</t>
        </is>
      </c>
      <c r="B168" s="5" t="n">
        <v>2</v>
      </c>
    </row>
    <row r="169">
      <c r="A169" t="inlineStr">
        <is>
          <t>Джерело безперебійного живлення</t>
        </is>
      </c>
      <c r="B169" s="5" t="n">
        <v>1</v>
      </c>
    </row>
    <row r="170">
      <c r="A170" t="inlineStr">
        <is>
          <t>Кабель, перехідник</t>
        </is>
      </c>
      <c r="B170" s="5" t="n">
        <v>1</v>
      </c>
    </row>
    <row r="171">
      <c r="A171" t="inlineStr">
        <is>
          <t>Миша</t>
        </is>
      </c>
      <c r="B171" s="5" t="n">
        <v>1</v>
      </c>
    </row>
    <row r="172">
      <c r="A172" t="inlineStr">
        <is>
          <t>Клавіатура</t>
        </is>
      </c>
      <c r="B172" s="5" t="n">
        <v>1</v>
      </c>
    </row>
    <row r="174">
      <c r="A174" s="2" t="inlineStr">
        <is>
          <t>Документи</t>
        </is>
      </c>
    </row>
    <row r="175">
      <c r="A175" s="11" t="inlineStr">
        <is>
          <t>Тип документа</t>
        </is>
      </c>
      <c r="B175" s="11" t="inlineStr">
        <is>
          <t>Файлів</t>
        </is>
      </c>
    </row>
    <row r="176">
      <c r="A176" t="inlineStr">
        <is>
          <t>Підпис КЕП</t>
        </is>
      </c>
      <c r="B176" s="5" t="n">
        <v>462</v>
      </c>
    </row>
    <row r="177">
      <c r="A177" t="inlineStr">
        <is>
          <t>не класифіковано</t>
        </is>
      </c>
      <c r="B177" s="5" t="n">
        <v>229</v>
      </c>
    </row>
    <row r="178">
      <c r="A178" t="inlineStr">
        <is>
          <t>Установчі та реєстраційні</t>
        </is>
      </c>
      <c r="B178" s="5" t="n">
        <v>81</v>
      </c>
    </row>
    <row r="179">
      <c r="A179" t="inlineStr">
        <is>
          <t>Лист виробника / авторизація</t>
        </is>
      </c>
      <c r="B179" s="5" t="n">
        <v>40</v>
      </c>
    </row>
    <row r="180">
      <c r="A180" t="inlineStr">
        <is>
          <t>Договір</t>
        </is>
      </c>
      <c r="B180" s="5" t="n">
        <v>30</v>
      </c>
    </row>
    <row r="181">
      <c r="A181" t="inlineStr">
        <is>
          <t>Досвід / аналогічні договори</t>
        </is>
      </c>
      <c r="B181" s="5" t="n">
        <v>19</v>
      </c>
    </row>
    <row r="182">
      <c r="A182" t="inlineStr">
        <is>
          <t>Сертифікат / декларація відповідності</t>
        </is>
      </c>
      <c r="B182" s="5" t="n">
        <v>16</v>
      </c>
    </row>
    <row r="183">
      <c r="A183" t="inlineStr">
        <is>
          <t>Гарантія та сервіс</t>
        </is>
      </c>
      <c r="B183" s="5" t="n">
        <v>15</v>
      </c>
    </row>
    <row r="184">
      <c r="A184" t="inlineStr">
        <is>
          <t>Технічна специфікація</t>
        </is>
      </c>
      <c r="B184" s="5" t="n">
        <v>14</v>
      </c>
    </row>
    <row r="185">
      <c r="A185" t="inlineStr">
        <is>
          <t>Пропозиція учасника</t>
        </is>
      </c>
      <c r="B185" s="5" t="n">
        <v>8</v>
      </c>
    </row>
    <row r="186">
      <c r="A186" t="inlineStr">
        <is>
          <t>Тендерна документація</t>
        </is>
      </c>
      <c r="B186" s="5" t="n">
        <v>7</v>
      </c>
    </row>
    <row r="187">
      <c r="A187" t="inlineStr">
        <is>
          <t>Цінова пропозиція</t>
        </is>
      </c>
      <c r="B187" s="5" t="n">
        <v>3</v>
      </c>
    </row>
    <row r="189">
      <c r="A189" s="2" t="inlineStr">
        <is>
          <t>Зірвані перемоги</t>
        </is>
      </c>
    </row>
    <row r="190">
      <c r="A190" s="11" t="inlineStr">
        <is>
          <t>Закупівля</t>
        </is>
      </c>
      <c r="B190" s="11" t="inlineStr">
        <is>
          <t>Дата</t>
        </is>
      </c>
      <c r="C190" s="11" t="inlineStr">
        <is>
          <t>Замовник</t>
        </is>
      </c>
      <c r="D190" s="11" t="inlineStr">
        <is>
          <t>Сума, грн</t>
        </is>
      </c>
      <c r="E190" s="11" t="inlineStr">
        <is>
          <t>Причина</t>
        </is>
      </c>
      <c r="F190" s="11" t="inlineStr">
        <is>
          <t>Формулювання замовника</t>
        </is>
      </c>
    </row>
    <row r="191">
      <c r="A191" s="4" t="inlineStr">
        <is>
          <t>UA-2026-08-07-010621-a</t>
        </is>
      </c>
      <c r="B191" t="inlineStr">
        <is>
          <t>2026-08-19</t>
        </is>
      </c>
      <c r="C191" t="inlineStr">
        <is>
          <t>Луцький національний технічний університет</t>
        </is>
      </c>
      <c r="D191" s="5" t="n">
        <v>216000</v>
      </c>
      <c r="E191" t="inlineStr">
        <is>
          <t>Невідповідність технічним вимогам</t>
        </is>
      </c>
      <c r="F191" t="inlineStr">
        <is>
          <t>Тендерна пропозиція учасника не відповідає умовам технічної специфікації та іншим вимогам щодо предмета закупівлі тендерної документації, крім невідповідності в інформації та/або документах, що може бути усунена учасником процедури закупівлі відповідно до пункту 43 Особливостей</t>
        </is>
      </c>
    </row>
    <row r="193">
      <c r="A193" s="2" t="inlineStr">
        <is>
          <t>Угоди</t>
        </is>
      </c>
    </row>
    <row r="194">
      <c r="A194" s="11" t="inlineStr">
        <is>
          <t>Закупівля</t>
        </is>
      </c>
      <c r="B194" s="11" t="inlineStr">
        <is>
          <t>Дата</t>
        </is>
      </c>
      <c r="C194" s="11" t="inlineStr">
        <is>
          <t>Замовник</t>
        </is>
      </c>
      <c r="D194" s="11" t="inlineStr">
        <is>
          <t>Регіон</t>
        </is>
      </c>
      <c r="E194" s="11" t="inlineStr">
        <is>
          <t>Сума, грн</t>
        </is>
      </c>
      <c r="F194" s="11" t="inlineStr">
        <is>
          <t>Очікувана, грн</t>
        </is>
      </c>
      <c r="G194" s="11" t="inlineStr">
        <is>
          <t>Процедура</t>
        </is>
      </c>
      <c r="H194" s="11" t="inlineStr">
        <is>
          <t>Галузь</t>
        </is>
      </c>
      <c r="I194" s="11" t="inlineStr">
        <is>
          <t>Джерело</t>
        </is>
      </c>
    </row>
    <row r="195">
      <c r="A195" s="4" t="inlineStr">
        <is>
          <t>UA-2026-05-27-001771-a</t>
        </is>
      </c>
      <c r="B195" t="inlineStr">
        <is>
          <t>2026-06-20</t>
        </is>
      </c>
      <c r="C195" t="inlineStr">
        <is>
          <t>Військова частина 9971</t>
        </is>
      </c>
      <c r="D195" t="inlineStr">
        <is>
          <t>Волинська область</t>
        </is>
      </c>
      <c r="E195" s="13" t="n">
        <v>529920</v>
      </c>
      <c r="F195" s="13" t="n">
        <v>623425.8</v>
      </c>
      <c r="G195" t="inlineStr">
        <is>
          <t>Відкриті торги (нові)</t>
        </is>
      </c>
      <c r="H195" t="inlineStr">
        <is>
          <t>Машини для обробки даних (апаратна частина)</t>
        </is>
      </c>
      <c r="I195" t="inlineStr">
        <is>
          <t>договір</t>
        </is>
      </c>
    </row>
    <row r="196">
      <c r="A196" s="4" t="inlineStr">
        <is>
          <t>UA-2025-11-11-008607-a</t>
        </is>
      </c>
      <c r="B196" t="inlineStr">
        <is>
          <t>2025-11-27</t>
        </is>
      </c>
      <c r="C196" t="inlineStr">
        <is>
          <t>Головне управління Національної поліції у Волинській області</t>
        </is>
      </c>
      <c r="D196" t="inlineStr">
        <is>
          <t>Волинська область</t>
        </is>
      </c>
      <c r="E196" s="13" t="n">
        <v>466200</v>
      </c>
      <c r="F196" s="13" t="n">
        <v>483000</v>
      </c>
      <c r="G196" t="inlineStr">
        <is>
          <t>Відкриті торги (нові)</t>
        </is>
      </c>
      <c r="H196" t="inlineStr">
        <is>
          <t>Машини для обробки даних (апаратна частина)</t>
        </is>
      </c>
      <c r="I196" t="inlineStr">
        <is>
          <t>договір</t>
        </is>
      </c>
    </row>
    <row r="197">
      <c r="A197" s="4" t="inlineStr">
        <is>
          <t>UA-2026-06-10-003459-a</t>
        </is>
      </c>
      <c r="B197" t="inlineStr">
        <is>
          <t>2026-07-08</t>
        </is>
      </c>
      <c r="C197" t="inlineStr">
        <is>
          <t>Головне Управління Державної служби України з надзвичайних ситуацій у Волинській області</t>
        </is>
      </c>
      <c r="D197" t="inlineStr">
        <is>
          <t>Волинська область</t>
        </is>
      </c>
      <c r="E197" s="13" t="n">
        <v>463190.4</v>
      </c>
      <c r="F197" s="13" t="n">
        <v>477626.88</v>
      </c>
      <c r="G197" t="inlineStr">
        <is>
          <t>Відкриті торги (нові)</t>
        </is>
      </c>
      <c r="H197" t="inlineStr">
        <is>
          <t>Машини для обробки даних (апаратна частина)</t>
        </is>
      </c>
      <c r="I197" t="inlineStr">
        <is>
          <t>договір</t>
        </is>
      </c>
    </row>
    <row r="198">
      <c r="A198" s="4" t="inlineStr">
        <is>
          <t>UA-2025-11-03-014571-a</t>
        </is>
      </c>
      <c r="B198" t="inlineStr">
        <is>
          <t>2025-11-11</t>
        </is>
      </c>
      <c r="C198" t="inlineStr">
        <is>
          <t>ВОЛИНСЬКА ОБЛАСНА ПРОКУРАТУРА</t>
        </is>
      </c>
      <c r="D198" t="inlineStr">
        <is>
          <t>Волинська область</t>
        </is>
      </c>
      <c r="E198" s="13" t="n">
        <v>460242</v>
      </c>
      <c r="F198" s="13" t="n">
        <v>499500</v>
      </c>
      <c r="G198" t="inlineStr">
        <is>
          <t>Запит пропозицій</t>
        </is>
      </c>
      <c r="H198" t="inlineStr">
        <is>
          <t>Комп’ютерне обладнання</t>
        </is>
      </c>
      <c r="I198" t="inlineStr">
        <is>
          <t>договір</t>
        </is>
      </c>
    </row>
    <row r="199">
      <c r="A199" s="4" t="inlineStr">
        <is>
          <t>UA-2025-09-03-011848-a</t>
        </is>
      </c>
      <c r="B199" t="inlineStr">
        <is>
          <t>2025-09-22</t>
        </is>
      </c>
      <c r="C199" t="inlineStr">
        <is>
          <t>Головне управління Національної поліції у Волинській області</t>
        </is>
      </c>
      <c r="D199" t="inlineStr">
        <is>
          <t>Волинська область</t>
        </is>
      </c>
      <c r="E199" s="13" t="n">
        <v>443192.4</v>
      </c>
      <c r="F199" s="13" t="n">
        <v>483000</v>
      </c>
      <c r="G199" t="inlineStr">
        <is>
          <t>Відкриті торги (нові)</t>
        </is>
      </c>
      <c r="H199" t="inlineStr">
        <is>
          <t>Машини для обробки даних (апаратна частина)</t>
        </is>
      </c>
      <c r="I199" t="inlineStr">
        <is>
          <t>договір</t>
        </is>
      </c>
    </row>
    <row r="200">
      <c r="A200" s="4" t="inlineStr">
        <is>
          <t>UA-2025-10-07-010320-a</t>
        </is>
      </c>
      <c r="B200" t="inlineStr">
        <is>
          <t>2025-11-04</t>
        </is>
      </c>
      <c r="C200" t="inlineStr">
        <is>
          <t>Волинський національний університет імені Лесі Українки</t>
        </is>
      </c>
      <c r="D200" t="inlineStr">
        <is>
          <t>Волинська область</t>
        </is>
      </c>
      <c r="E200" s="13" t="n">
        <v>383670</v>
      </c>
      <c r="F200" s="13" t="n">
        <v>490000</v>
      </c>
      <c r="G200" t="inlineStr">
        <is>
          <t>Відкриті торги (нові)</t>
        </is>
      </c>
      <c r="H200" t="inlineStr">
        <is>
          <t>Комп’ютерне обладнання</t>
        </is>
      </c>
      <c r="I200" t="inlineStr">
        <is>
          <t>договір</t>
        </is>
      </c>
    </row>
    <row r="201">
      <c r="A201" s="4" t="inlineStr">
        <is>
          <t>UA-2025-11-04-006845-a</t>
        </is>
      </c>
      <c r="B201" t="inlineStr">
        <is>
          <t>2025-11-26</t>
        </is>
      </c>
      <c r="C201" t="inlineStr">
        <is>
          <t>УПРАВЛІННЯ СЛУЖБИ БЕЗПЕКИ УКРАЇНИ У ВОЛИНСЬКІЙ ОБЛАСТІ</t>
        </is>
      </c>
      <c r="D201" t="inlineStr">
        <is>
          <t>Волинська область</t>
        </is>
      </c>
      <c r="E201" s="13" t="n">
        <v>298122</v>
      </c>
      <c r="F201" s="13" t="n">
        <v>916889</v>
      </c>
      <c r="G201" t="inlineStr">
        <is>
          <t>Відкриті торги (нові)</t>
        </is>
      </c>
      <c r="H201" t="inlineStr">
        <is>
          <t>Комп’ютерне обладнання</t>
        </is>
      </c>
      <c r="I201" t="inlineStr">
        <is>
          <t>договір</t>
        </is>
      </c>
    </row>
    <row r="202">
      <c r="A202" s="4" t="inlineStr">
        <is>
          <t>UA-2026-03-18-007446-a</t>
        </is>
      </c>
      <c r="B202" t="inlineStr">
        <is>
          <t>2026-04-06</t>
        </is>
      </c>
      <c r="C202" t="inlineStr">
        <is>
          <t>КП "ВОЛИНСЬКА ОБЛАСНА ПСИХІАТРИЧНА ЛІКАРНЯ М.ЛУЦЬКА" ВОЛИНСЬКОЇ ОБЛАСНОЇ РАДИ</t>
        </is>
      </c>
      <c r="D202" t="inlineStr">
        <is>
          <t>Волинська область</t>
        </is>
      </c>
      <c r="E202" s="13" t="n">
        <v>151290</v>
      </c>
      <c r="F202" s="13" t="n">
        <v>175000</v>
      </c>
      <c r="G202" t="inlineStr">
        <is>
          <t>Відкриті торги (нові)</t>
        </is>
      </c>
      <c r="H202" t="inlineStr">
        <is>
          <t>Машини для обробки даних (апаратна частина)</t>
        </is>
      </c>
      <c r="I202" t="inlineStr">
        <is>
          <t>договір</t>
        </is>
      </c>
    </row>
    <row r="203">
      <c r="A203" s="4" t="inlineStr">
        <is>
          <t>UA-2026-07-13-003508-a</t>
        </is>
      </c>
      <c r="B203" t="inlineStr">
        <is>
          <t>2026-07-20</t>
        </is>
      </c>
      <c r="C203" t="inlineStr">
        <is>
          <t>НОВОВОЛИНСЬКИЙ ЛІЦЕЙ №3 НОВОВОЛИНСЬКОЇ МІСЬКОЇ РАДИ ВОЛИНСЬКОЇ ОБЛАСТІ</t>
        </is>
      </c>
      <c r="D203" t="inlineStr">
        <is>
          <t>Волинська область</t>
        </is>
      </c>
      <c r="E203" s="13" t="n">
        <v>144000</v>
      </c>
      <c r="F203" s="13" t="n">
        <v>175000</v>
      </c>
      <c r="G203" t="inlineStr">
        <is>
          <t>Запит пропозицій</t>
        </is>
      </c>
      <c r="H203" t="inlineStr">
        <is>
          <t>Машини для обробки даних (апаратна частина)</t>
        </is>
      </c>
      <c r="I203" t="inlineStr">
        <is>
          <t>договір</t>
        </is>
      </c>
    </row>
    <row r="204">
      <c r="A204" s="4" t="inlineStr">
        <is>
          <t>UA-2025-11-04-006845-a</t>
        </is>
      </c>
      <c r="B204" t="inlineStr">
        <is>
          <t>2025-11-26</t>
        </is>
      </c>
      <c r="C204" t="inlineStr">
        <is>
          <t>УПРАВЛІННЯ СЛУЖБИ БЕЗПЕКИ УКРАЇНИ У ВОЛИНСЬКІЙ ОБЛАСТІ</t>
        </is>
      </c>
      <c r="D204" t="inlineStr">
        <is>
          <t>Волинська область</t>
        </is>
      </c>
      <c r="E204" s="13" t="n">
        <v>113472</v>
      </c>
      <c r="F204" s="13" t="n">
        <v>916889</v>
      </c>
      <c r="G204" t="inlineStr">
        <is>
          <t>Відкриті торги (нові)</t>
        </is>
      </c>
      <c r="H204" t="inlineStr">
        <is>
          <t>Комп’ютерне обладнання</t>
        </is>
      </c>
      <c r="I204" t="inlineStr">
        <is>
          <t>договір</t>
        </is>
      </c>
    </row>
    <row r="205">
      <c r="A205" s="4" t="inlineStr">
        <is>
          <t>UA-2025-11-04-010443-a</t>
        </is>
      </c>
      <c r="B205" t="inlineStr">
        <is>
          <t>2025-11-12</t>
        </is>
      </c>
      <c r="C205" t="inlineStr">
        <is>
          <t>Військова частина 9971</t>
        </is>
      </c>
      <c r="D205" t="inlineStr">
        <is>
          <t>Волинська область</t>
        </is>
      </c>
      <c r="E205" s="13" t="n">
        <v>81855</v>
      </c>
      <c r="F205" s="13" t="n">
        <v>89000</v>
      </c>
      <c r="G205" t="inlineStr">
        <is>
          <t>Запит пропозицій</t>
        </is>
      </c>
      <c r="H205" t="inlineStr">
        <is>
          <t>Комп’ютерне обладнання</t>
        </is>
      </c>
      <c r="I205" t="inlineStr">
        <is>
          <t>договір</t>
        </is>
      </c>
    </row>
    <row r="206">
      <c r="A206" s="4" t="inlineStr">
        <is>
          <t>UA-2026-01-06-005477-a</t>
        </is>
      </c>
      <c r="B206" t="inlineStr">
        <is>
          <t>2026-01-20</t>
        </is>
      </c>
      <c r="C206" t="inlineStr">
        <is>
          <t>ВІДДІЛ ОСВІТИ, МОЛОДІ ТА СПОРТУ МАНЕВИЦЬКОЇ СЕЛИЩНОЇ РАДИ</t>
        </is>
      </c>
      <c r="D206" t="inlineStr">
        <is>
          <t>Волинська область</t>
        </is>
      </c>
      <c r="E206" s="13" t="n">
        <v>53292</v>
      </c>
      <c r="F206" s="13" t="n">
        <v>59800</v>
      </c>
      <c r="G206" t="inlineStr">
        <is>
          <t>Запит пропозицій</t>
        </is>
      </c>
      <c r="H206" t="inlineStr">
        <is>
          <t>Комп’ютерне обладнання</t>
        </is>
      </c>
      <c r="I206" t="inlineStr">
        <is>
          <t>договір</t>
        </is>
      </c>
    </row>
    <row r="207">
      <c r="A207" s="4" t="inlineStr">
        <is>
          <t>UA-2026-03-17-009141-a</t>
        </is>
      </c>
      <c r="B207" t="inlineStr">
        <is>
          <t>2026-03-27</t>
        </is>
      </c>
      <c r="C207" t="inlineStr">
        <is>
          <t>Державний архів Волинської області</t>
        </is>
      </c>
      <c r="D207" t="inlineStr">
        <is>
          <t>Волинська область</t>
        </is>
      </c>
      <c r="E207" s="13" t="n">
        <v>36960</v>
      </c>
      <c r="F207" s="13" t="n">
        <v>50000</v>
      </c>
      <c r="G207" t="inlineStr">
        <is>
          <t>Запит пропозицій</t>
        </is>
      </c>
      <c r="H207" t="inlineStr">
        <is>
          <t>Комп’ютерне обладнання</t>
        </is>
      </c>
      <c r="I207" t="inlineStr">
        <is>
          <t>договір</t>
        </is>
      </c>
    </row>
    <row r="209">
      <c r="A209" s="8" t="inlineStr">
        <is>
          <t>Сильні сторони</t>
        </is>
      </c>
    </row>
    <row r="210">
      <c r="A210" t="inlineStr">
        <is>
          <t>+  портфель дистрибуції: 16 ТМ</t>
        </is>
      </c>
    </row>
    <row r="211">
      <c r="A211" t="inlineStr">
        <is>
          <t>+  наявність сертифікатів (16 файлів)</t>
        </is>
      </c>
    </row>
    <row r="212">
      <c r="A212" t="inlineStr">
        <is>
          <t>+  авторизація виробника (40 листів)</t>
        </is>
      </c>
    </row>
    <row r="213">
      <c r="A213" t="inlineStr">
        <is>
          <t>+  цінова конкурентність: дисконт 12,2% проти 8,3% по ринку</t>
        </is>
      </c>
    </row>
    <row r="214">
      <c r="A214" t="inlineStr">
        <is>
          <t>+  уміє вигравати у відкритих торгах</t>
        </is>
      </c>
    </row>
    <row r="215">
      <c r="A215" t="inlineStr">
        <is>
          <t>+  працює з великими контрактами</t>
        </is>
      </c>
    </row>
  </sheetData>
  <hyperlinks>
    <hyperlink xmlns:r="http://schemas.openxmlformats.org/officeDocument/2006/relationships" ref="A191" r:id="rId1"/>
    <hyperlink xmlns:r="http://schemas.openxmlformats.org/officeDocument/2006/relationships" ref="A195" r:id="rId2"/>
    <hyperlink xmlns:r="http://schemas.openxmlformats.org/officeDocument/2006/relationships" ref="A196" r:id="rId3"/>
    <hyperlink xmlns:r="http://schemas.openxmlformats.org/officeDocument/2006/relationships" ref="A197" r:id="rId4"/>
    <hyperlink xmlns:r="http://schemas.openxmlformats.org/officeDocument/2006/relationships" ref="A198" r:id="rId5"/>
    <hyperlink xmlns:r="http://schemas.openxmlformats.org/officeDocument/2006/relationships" ref="A199" r:id="rId6"/>
    <hyperlink xmlns:r="http://schemas.openxmlformats.org/officeDocument/2006/relationships" ref="A200" r:id="rId7"/>
    <hyperlink xmlns:r="http://schemas.openxmlformats.org/officeDocument/2006/relationships" ref="A201" r:id="rId8"/>
    <hyperlink xmlns:r="http://schemas.openxmlformats.org/officeDocument/2006/relationships" ref="A202" r:id="rId9"/>
    <hyperlink xmlns:r="http://schemas.openxmlformats.org/officeDocument/2006/relationships" ref="A203" r:id="rId10"/>
    <hyperlink xmlns:r="http://schemas.openxmlformats.org/officeDocument/2006/relationships" ref="A204" r:id="rId11"/>
    <hyperlink xmlns:r="http://schemas.openxmlformats.org/officeDocument/2006/relationships" ref="A205" r:id="rId12"/>
    <hyperlink xmlns:r="http://schemas.openxmlformats.org/officeDocument/2006/relationships" ref="A206" r:id="rId13"/>
    <hyperlink xmlns:r="http://schemas.openxmlformats.org/officeDocument/2006/relationships" ref="A207" r:id="rId14"/>
  </hyperlinks>
  <pageMargins left="0.75" right="0.75" top="1" bottom="1" header="0.5" footer="0.5"/>
  <drawing xmlns:r="http://schemas.openxmlformats.org/officeDocument/2006/relationships" r:id="rId15"/>
  <tableParts count="5">
    <tablePart xmlns:r="http://schemas.openxmlformats.org/officeDocument/2006/relationships" r:id="rId16"/>
    <tablePart xmlns:r="http://schemas.openxmlformats.org/officeDocument/2006/relationships" r:id="rId17"/>
    <tablePart xmlns:r="http://schemas.openxmlformats.org/officeDocument/2006/relationships" r:id="rId18"/>
    <tablePart xmlns:r="http://schemas.openxmlformats.org/officeDocument/2006/relationships" r:id="rId19"/>
    <tablePart xmlns:r="http://schemas.openxmlformats.org/officeDocument/2006/relationships" r:id="rId20"/>
  </tableParts>
</worksheet>
</file>

<file path=xl/worksheets/sheet14.xml><?xml version="1.0" encoding="utf-8"?>
<worksheet xmlns="http://schemas.openxmlformats.org/spreadsheetml/2006/main">
  <sheetPr>
    <outlinePr summaryBelow="1" summaryRight="1"/>
    <pageSetUpPr/>
  </sheetPr>
  <dimension ref="A1:I119"/>
  <sheetViews>
    <sheetView showGridLines="0" workbookViewId="0">
      <selection activeCell="A1" sqref="A1"/>
    </sheetView>
  </sheetViews>
  <sheetFormatPr baseColWidth="8" defaultRowHeight="15"/>
  <cols>
    <col width="42" customWidth="1" min="1" max="1"/>
    <col width="25" customWidth="1" min="2" max="2"/>
    <col width="60" customWidth="1" min="3" max="3"/>
    <col width="19" customWidth="1" min="4" max="4"/>
    <col width="11" customWidth="1" min="5" max="5"/>
    <col width="16" customWidth="1" min="6" max="6"/>
    <col width="23" customWidth="1" min="7" max="7"/>
    <col width="45" customWidth="1" min="8" max="8"/>
    <col width="10" customWidth="1" min="9" max="9"/>
  </cols>
  <sheetData>
    <row r="1">
      <c r="A1" s="1" t="inlineStr">
        <is>
          <t>ТОВ "РЕФОРМА СИСТЕМЗ"</t>
        </is>
      </c>
    </row>
    <row r="2">
      <c r="A2" s="6" t="inlineStr">
        <is>
          <t>ЄДРПОУ 44728541  ·  наше ТОВ  ·  місце №41</t>
        </is>
      </c>
    </row>
    <row r="4">
      <c r="A4" s="7" t="inlineStr">
        <is>
          <t>ТОВ "РЕФОРМА СИСТЕМЗ" (44728541)</t>
        </is>
      </c>
    </row>
    <row r="6">
      <c r="A6" s="8" t="inlineStr">
        <is>
          <t>Показники</t>
        </is>
      </c>
    </row>
    <row r="7">
      <c r="A7" s="9" t="inlineStr">
        <is>
          <t>Місце на ринку</t>
        </is>
      </c>
      <c r="B7" s="10" t="inlineStr">
        <is>
          <t>№41</t>
        </is>
      </c>
    </row>
    <row r="8">
      <c r="A8" s="9" t="inlineStr">
        <is>
          <t>Сума угод</t>
        </is>
      </c>
      <c r="B8" s="10" t="inlineStr">
        <is>
          <t>744,5 тис. грн</t>
        </is>
      </c>
    </row>
    <row r="9">
      <c r="A9" s="9" t="inlineStr">
        <is>
          <t>Частка ринку</t>
        </is>
      </c>
      <c r="B9" s="10" t="inlineStr">
        <is>
          <t>0,6%</t>
        </is>
      </c>
    </row>
    <row r="10">
      <c r="A10" s="9" t="inlineStr">
        <is>
          <t>Угод</t>
        </is>
      </c>
      <c r="B10" s="10" t="inlineStr">
        <is>
          <t>2</t>
        </is>
      </c>
    </row>
    <row r="11">
      <c r="A11" s="9" t="inlineStr">
        <is>
          <t>Закупівель виграно</t>
        </is>
      </c>
      <c r="B11" s="10" t="inlineStr">
        <is>
          <t>2</t>
        </is>
      </c>
    </row>
    <row r="12">
      <c r="A12" s="9" t="inlineStr">
        <is>
          <t>Подань (де видно)</t>
        </is>
      </c>
      <c r="B12" s="10" t="inlineStr">
        <is>
          <t>4</t>
        </is>
      </c>
    </row>
    <row r="13">
      <c r="A13" s="9" t="inlineStr">
        <is>
          <t>Виграно з поданих</t>
        </is>
      </c>
      <c r="B13" s="10" t="inlineStr">
        <is>
          <t>2 з 4</t>
        </is>
      </c>
    </row>
    <row r="14">
      <c r="A14" s="9" t="inlineStr">
        <is>
          <t>Результативність</t>
        </is>
      </c>
      <c r="B14" s="10" t="inlineStr">
        <is>
          <t>50,0%</t>
        </is>
      </c>
    </row>
    <row r="15">
      <c r="A15" s="9" t="inlineStr">
        <is>
          <t>Середня угода</t>
        </is>
      </c>
      <c r="B15" s="10" t="inlineStr">
        <is>
          <t>372,3 тис. грн</t>
        </is>
      </c>
    </row>
    <row r="16">
      <c r="A16" s="9" t="inlineStr">
        <is>
          <t>Медіанна угода</t>
        </is>
      </c>
      <c r="B16" s="10" t="inlineStr">
        <is>
          <t>372,3 тис. грн</t>
        </is>
      </c>
    </row>
    <row r="17">
      <c r="A17" s="9" t="inlineStr">
        <is>
          <t>Замовників</t>
        </is>
      </c>
      <c r="B17" s="10" t="inlineStr">
        <is>
          <t>1</t>
        </is>
      </c>
    </row>
    <row r="18">
      <c r="A18" s="9" t="inlineStr">
        <is>
          <t>Областей</t>
        </is>
      </c>
      <c r="B18" s="10" t="inlineStr">
        <is>
          <t>1</t>
        </is>
      </c>
    </row>
    <row r="19">
      <c r="A19" s="9" t="inlineStr">
        <is>
          <t>Основна ТМ</t>
        </is>
      </c>
      <c r="B19" s="10" t="inlineStr">
        <is>
          <t>не визначено</t>
        </is>
      </c>
    </row>
    <row r="20">
      <c r="A20" s="9" t="inlineStr">
        <is>
          <t>Основний товар</t>
        </is>
      </c>
      <c r="B20" s="10" t="inlineStr">
        <is>
          <t>Системний блок</t>
        </is>
      </c>
    </row>
    <row r="21">
      <c r="A21" s="9" t="inlineStr">
        <is>
          <t>Дисконт (медіана)</t>
        </is>
      </c>
      <c r="B21" s="10" t="inlineStr">
        <is>
          <t>20,7%</t>
        </is>
      </c>
    </row>
    <row r="22">
      <c r="A22" s="9" t="inlineStr">
        <is>
          <t>Повторні замовники</t>
        </is>
      </c>
      <c r="B22" s="10" t="inlineStr">
        <is>
          <t>50,0%</t>
        </is>
      </c>
    </row>
    <row r="23">
      <c r="A23" s="9" t="inlineStr">
        <is>
          <t>Активність</t>
        </is>
      </c>
      <c r="B23" s="10" t="inlineStr">
        <is>
          <t>2026-03-17 — 2026-06-25</t>
        </is>
      </c>
    </row>
    <row r="24">
      <c r="A24" s="9" t="inlineStr">
        <is>
          <t>Зірвано перемог</t>
        </is>
      </c>
      <c r="B24" s="10" t="inlineStr">
        <is>
          <t>—</t>
        </is>
      </c>
    </row>
    <row r="25">
      <c r="A25" s="9" t="inlineStr">
        <is>
          <t>Причина зривів</t>
        </is>
      </c>
      <c r="B25" s="10" t="inlineStr">
        <is>
          <t>—</t>
        </is>
      </c>
    </row>
    <row r="27">
      <c r="A27" s="8" t="inlineStr">
        <is>
          <t>Висновки</t>
        </is>
      </c>
    </row>
    <row r="28">
      <c r="A28" t="inlineStr">
        <is>
          <t>•  41-е місце на ринку: 744,5 тис. грн (0,6% обороту)</t>
        </is>
      </c>
    </row>
    <row r="29">
      <c r="A29" t="inlineStr">
        <is>
          <t>•  Основний товар: системний блок</t>
        </is>
      </c>
    </row>
    <row r="30">
      <c r="A30" t="inlineStr">
        <is>
          <t>•  Агресивна ціна: медіанний дисконт 20,7% проти 8,3% по ринку</t>
        </is>
      </c>
    </row>
    <row r="31">
      <c r="A31" t="inlineStr">
        <is>
          <t>•  Результативність на торгах: 50,0% (2 з 4)</t>
        </is>
      </c>
    </row>
    <row r="32">
      <c r="A32" t="inlineStr">
        <is>
          <t>•  У поданих файлах — сертифікатів: 5, авторизаційних листів: 7</t>
        </is>
      </c>
    </row>
    <row r="34">
      <c r="A34" s="8" t="inlineStr">
        <is>
          <t>Графіки</t>
        </is>
      </c>
    </row>
    <row r="36">
      <c r="A36" s="2" t="inlineStr">
        <is>
          <t>Динаміка по місяцях</t>
        </is>
      </c>
    </row>
    <row r="37">
      <c r="A37" s="3" t="inlineStr">
        <is>
          <t>Період</t>
        </is>
      </c>
      <c r="B37" s="3" t="inlineStr">
        <is>
          <t>Сума угод, грн</t>
        </is>
      </c>
    </row>
    <row r="38">
      <c r="A38" t="inlineStr">
        <is>
          <t>2026-03</t>
        </is>
      </c>
      <c r="B38" s="5" t="n">
        <v>338100</v>
      </c>
    </row>
    <row r="39">
      <c r="A39" t="inlineStr">
        <is>
          <t>2026-06</t>
        </is>
      </c>
      <c r="B39" s="5" t="n">
        <v>406440</v>
      </c>
    </row>
    <row r="56">
      <c r="A56" s="2" t="inlineStr">
        <is>
          <t>Що саме продає</t>
        </is>
      </c>
    </row>
    <row r="57">
      <c r="A57" s="3" t="inlineStr">
        <is>
          <t>Категорія</t>
        </is>
      </c>
      <c r="B57" s="3" t="inlineStr">
        <is>
          <t>Позицій, шт</t>
        </is>
      </c>
    </row>
    <row r="58">
      <c r="A58" t="inlineStr">
        <is>
          <t>Системний блок</t>
        </is>
      </c>
      <c r="B58" s="5" t="n">
        <v>3</v>
      </c>
    </row>
    <row r="59">
      <c r="A59" t="inlineStr">
        <is>
          <t>Багатофункціональний пристрій (БФП)</t>
        </is>
      </c>
      <c r="B59" s="5" t="n">
        <v>1</v>
      </c>
    </row>
    <row r="72">
      <c r="A72" s="2" t="inlineStr">
        <is>
          <t>Ключові замовники</t>
        </is>
      </c>
    </row>
    <row r="73">
      <c r="A73" s="3" t="inlineStr">
        <is>
          <t>Категорія</t>
        </is>
      </c>
      <c r="B73" s="3" t="inlineStr">
        <is>
          <t>Сума, грн</t>
        </is>
      </c>
    </row>
    <row r="74">
      <c r="A74" t="inlineStr">
        <is>
          <t xml:space="preserve">Головне управління Національної поліції </t>
        </is>
      </c>
      <c r="B74" s="5" t="n">
        <v>744540</v>
      </c>
    </row>
    <row r="88">
      <c r="A88" s="8" t="inlineStr">
        <is>
          <t>Таблиці</t>
        </is>
      </c>
    </row>
    <row r="90">
      <c r="A90" s="2" t="inlineStr">
        <is>
          <t>Товари</t>
        </is>
      </c>
    </row>
    <row r="91">
      <c r="A91" s="11" t="inlineStr">
        <is>
          <t>Товар</t>
        </is>
      </c>
      <c r="B91" s="11" t="inlineStr">
        <is>
          <t>Позицій</t>
        </is>
      </c>
    </row>
    <row r="92">
      <c r="A92" t="inlineStr">
        <is>
          <t>Системний блок</t>
        </is>
      </c>
      <c r="B92" s="5" t="n">
        <v>3</v>
      </c>
    </row>
    <row r="93">
      <c r="A93" t="inlineStr">
        <is>
          <t>Багатофункціональний пристрій (БФП)</t>
        </is>
      </c>
      <c r="B93" s="5" t="n">
        <v>1</v>
      </c>
    </row>
    <row r="95">
      <c r="A95" s="2" t="inlineStr">
        <is>
          <t>Документи</t>
        </is>
      </c>
    </row>
    <row r="96">
      <c r="A96" s="11" t="inlineStr">
        <is>
          <t>Тип документа</t>
        </is>
      </c>
      <c r="B96" s="11" t="inlineStr">
        <is>
          <t>Файлів</t>
        </is>
      </c>
    </row>
    <row r="97">
      <c r="A97" t="inlineStr">
        <is>
          <t>Підпис КЕП</t>
        </is>
      </c>
      <c r="B97" s="5" t="n">
        <v>110</v>
      </c>
    </row>
    <row r="98">
      <c r="A98" t="inlineStr">
        <is>
          <t>не класифіковано</t>
        </is>
      </c>
      <c r="B98" s="5" t="n">
        <v>53</v>
      </c>
    </row>
    <row r="99">
      <c r="A99" t="inlineStr">
        <is>
          <t>Установчі та реєстраційні</t>
        </is>
      </c>
      <c r="B99" s="5" t="n">
        <v>17</v>
      </c>
    </row>
    <row r="100">
      <c r="A100" t="inlineStr">
        <is>
          <t>Лист виробника / авторизація</t>
        </is>
      </c>
      <c r="B100" s="5" t="n">
        <v>7</v>
      </c>
    </row>
    <row r="101">
      <c r="A101" t="inlineStr">
        <is>
          <t>Досвід / аналогічні договори</t>
        </is>
      </c>
      <c r="B101" s="5" t="n">
        <v>5</v>
      </c>
    </row>
    <row r="102">
      <c r="A102" t="inlineStr">
        <is>
          <t>Сертифікат / декларація відповідності</t>
        </is>
      </c>
      <c r="B102" s="5" t="n">
        <v>5</v>
      </c>
    </row>
    <row r="103">
      <c r="A103" t="inlineStr">
        <is>
          <t>Пропозиція учасника</t>
        </is>
      </c>
      <c r="B103" s="5" t="n">
        <v>4</v>
      </c>
    </row>
    <row r="104">
      <c r="A104" t="inlineStr">
        <is>
          <t>Гарантія та сервіс</t>
        </is>
      </c>
      <c r="B104" s="5" t="n">
        <v>4</v>
      </c>
    </row>
    <row r="105">
      <c r="A105" t="inlineStr">
        <is>
          <t>Тендерна документація</t>
        </is>
      </c>
      <c r="B105" s="5" t="n">
        <v>3</v>
      </c>
    </row>
    <row r="106">
      <c r="A106" t="inlineStr">
        <is>
          <t>Договір</t>
        </is>
      </c>
      <c r="B106" s="5" t="n">
        <v>3</v>
      </c>
    </row>
    <row r="107">
      <c r="A107" t="inlineStr">
        <is>
          <t>Технічна специфікація</t>
        </is>
      </c>
      <c r="B107" s="5" t="n">
        <v>3</v>
      </c>
    </row>
    <row r="109">
      <c r="A109" s="2" t="inlineStr">
        <is>
          <t>Угоди</t>
        </is>
      </c>
    </row>
    <row r="110">
      <c r="A110" s="11" t="inlineStr">
        <is>
          <t>Закупівля</t>
        </is>
      </c>
      <c r="B110" s="11" t="inlineStr">
        <is>
          <t>Дата</t>
        </is>
      </c>
      <c r="C110" s="11" t="inlineStr">
        <is>
          <t>Замовник</t>
        </is>
      </c>
      <c r="D110" s="11" t="inlineStr">
        <is>
          <t>Регіон</t>
        </is>
      </c>
      <c r="E110" s="11" t="inlineStr">
        <is>
          <t>Сума, грн</t>
        </is>
      </c>
      <c r="F110" s="11" t="inlineStr">
        <is>
          <t>Очікувана, грн</t>
        </is>
      </c>
      <c r="G110" s="11" t="inlineStr">
        <is>
          <t>Процедура</t>
        </is>
      </c>
      <c r="H110" s="11" t="inlineStr">
        <is>
          <t>Галузь</t>
        </is>
      </c>
      <c r="I110" s="11" t="inlineStr">
        <is>
          <t>Джерело</t>
        </is>
      </c>
    </row>
    <row r="111">
      <c r="A111" s="4" t="inlineStr">
        <is>
          <t>UA-2026-06-05-008506-a</t>
        </is>
      </c>
      <c r="B111" t="inlineStr">
        <is>
          <t>2026-06-25</t>
        </is>
      </c>
      <c r="C111" t="inlineStr">
        <is>
          <t>Головне управління Національної поліції у Волинській області</t>
        </is>
      </c>
      <c r="D111" t="inlineStr">
        <is>
          <t>Волинська область</t>
        </is>
      </c>
      <c r="E111" s="5" t="n">
        <v>406440</v>
      </c>
      <c r="F111" s="5" t="n">
        <v>469290</v>
      </c>
      <c r="G111" t="inlineStr">
        <is>
          <t>Відкриті торги (нові)</t>
        </is>
      </c>
      <c r="H111" t="inlineStr">
        <is>
          <t>Машини для обробки даних (апаратна частина)</t>
        </is>
      </c>
      <c r="I111" t="inlineStr">
        <is>
          <t>договір</t>
        </is>
      </c>
    </row>
    <row r="112">
      <c r="A112" s="4" t="inlineStr">
        <is>
          <t>UA-2026-02-25-003127-a</t>
        </is>
      </c>
      <c r="B112" t="inlineStr">
        <is>
          <t>2026-03-17</t>
        </is>
      </c>
      <c r="C112" t="inlineStr">
        <is>
          <t>Головне управління Національної поліції у Волинській області</t>
        </is>
      </c>
      <c r="D112" t="inlineStr">
        <is>
          <t>Волинська область</t>
        </is>
      </c>
      <c r="E112" s="5" t="n">
        <v>338100</v>
      </c>
      <c r="F112" s="5" t="n">
        <v>469290</v>
      </c>
      <c r="G112" t="inlineStr">
        <is>
          <t>Відкриті торги (нові)</t>
        </is>
      </c>
      <c r="H112" t="inlineStr">
        <is>
          <t>Машини для обробки даних (апаратна частина)</t>
        </is>
      </c>
      <c r="I112" t="inlineStr">
        <is>
          <t>договір</t>
        </is>
      </c>
    </row>
    <row r="114">
      <c r="A114" s="8" t="inlineStr">
        <is>
          <t>Сильні сторони</t>
        </is>
      </c>
    </row>
    <row r="115">
      <c r="A115" t="inlineStr">
        <is>
          <t>+  наявність сертифікатів (5 файлів)</t>
        </is>
      </c>
    </row>
    <row r="116">
      <c r="A116" t="inlineStr">
        <is>
          <t>+  авторизація виробника (7 листів)</t>
        </is>
      </c>
    </row>
    <row r="117">
      <c r="A117" t="inlineStr">
        <is>
          <t>+  цінова конкурентність: дисконт 20,7% проти 8,3% по ринку</t>
        </is>
      </c>
    </row>
    <row r="118">
      <c r="A118" t="inlineStr">
        <is>
          <t>+  висока результативність на торгах (50,0%)</t>
        </is>
      </c>
    </row>
    <row r="119">
      <c r="A119" t="inlineStr">
        <is>
          <t>+  працює з великими контрактами</t>
        </is>
      </c>
    </row>
  </sheetData>
  <hyperlinks>
    <hyperlink xmlns:r="http://schemas.openxmlformats.org/officeDocument/2006/relationships" ref="A111" r:id="rId1"/>
    <hyperlink xmlns:r="http://schemas.openxmlformats.org/officeDocument/2006/relationships" ref="A112" r:id="rId2"/>
  </hyperlinks>
  <pageMargins left="0.75" right="0.75" top="1" bottom="1" header="0.5" footer="0.5"/>
  <drawing xmlns:r="http://schemas.openxmlformats.org/officeDocument/2006/relationships" r:id="rId3"/>
  <tableParts count="3">
    <tablePart xmlns:r="http://schemas.openxmlformats.org/officeDocument/2006/relationships" r:id="rId4"/>
    <tablePart xmlns:r="http://schemas.openxmlformats.org/officeDocument/2006/relationships" r:id="rId5"/>
    <tablePart xmlns:r="http://schemas.openxmlformats.org/officeDocument/2006/relationships" r:id="rId6"/>
  </tableParts>
</worksheet>
</file>

<file path=xl/worksheets/sheet15.xml><?xml version="1.0" encoding="utf-8"?>
<worksheet xmlns="http://schemas.openxmlformats.org/spreadsheetml/2006/main">
  <sheetPr>
    <outlinePr summaryBelow="1" summaryRight="1"/>
    <pageSetUpPr/>
  </sheetPr>
  <dimension ref="A1:I101"/>
  <sheetViews>
    <sheetView showGridLines="0" workbookViewId="0">
      <selection activeCell="A1" sqref="A1"/>
    </sheetView>
  </sheetViews>
  <sheetFormatPr baseColWidth="8" defaultRowHeight="15"/>
  <cols>
    <col width="42" customWidth="1" min="1" max="1"/>
    <col width="25" customWidth="1" min="2" max="2"/>
    <col width="60" customWidth="1" min="3" max="3"/>
    <col width="60" customWidth="1" min="4" max="4"/>
    <col width="21" customWidth="1" min="5" max="5"/>
    <col width="22" customWidth="1" min="6" max="6"/>
    <col width="23" customWidth="1" min="7" max="7"/>
    <col width="45" customWidth="1" min="8" max="8"/>
    <col width="10" customWidth="1" min="9" max="9"/>
  </cols>
  <sheetData>
    <row r="1">
      <c r="A1" s="1" t="inlineStr">
        <is>
          <t>ТОВ "Технології для бізнесу"</t>
        </is>
      </c>
    </row>
    <row r="2">
      <c r="A2" s="6" t="inlineStr">
        <is>
          <t>ЄДРПОУ 19331194  ·  конкурент  ·  місце №1</t>
        </is>
      </c>
    </row>
    <row r="4">
      <c r="A4" s="7" t="inlineStr">
        <is>
          <t>ТОВ "Технології для бізнесу" (19331194)</t>
        </is>
      </c>
    </row>
    <row r="6">
      <c r="A6" s="8" t="inlineStr">
        <is>
          <t>Показники</t>
        </is>
      </c>
    </row>
    <row r="7">
      <c r="A7" s="9" t="inlineStr">
        <is>
          <t>Місце на ринку</t>
        </is>
      </c>
      <c r="B7" s="10" t="inlineStr">
        <is>
          <t>№1</t>
        </is>
      </c>
    </row>
    <row r="8">
      <c r="A8" s="9" t="inlineStr">
        <is>
          <t>Сума угод</t>
        </is>
      </c>
      <c r="B8" s="10" t="inlineStr">
        <is>
          <t>9,8 млн грн</t>
        </is>
      </c>
    </row>
    <row r="9">
      <c r="A9" s="9" t="inlineStr">
        <is>
          <t>Частка ринку</t>
        </is>
      </c>
      <c r="B9" s="10" t="inlineStr">
        <is>
          <t>8,3%</t>
        </is>
      </c>
    </row>
    <row r="10">
      <c r="A10" s="9" t="inlineStr">
        <is>
          <t>Угод</t>
        </is>
      </c>
      <c r="B10" s="10" t="inlineStr">
        <is>
          <t>2</t>
        </is>
      </c>
    </row>
    <row r="11">
      <c r="A11" s="9" t="inlineStr">
        <is>
          <t>Закупівель виграно</t>
        </is>
      </c>
      <c r="B11" s="10" t="inlineStr">
        <is>
          <t>2</t>
        </is>
      </c>
    </row>
    <row r="12">
      <c r="A12" s="9" t="inlineStr">
        <is>
          <t>Подань (де видно)</t>
        </is>
      </c>
      <c r="B12" s="10" t="inlineStr">
        <is>
          <t>2</t>
        </is>
      </c>
    </row>
    <row r="13">
      <c r="A13" s="9" t="inlineStr">
        <is>
          <t>Виграно з поданих</t>
        </is>
      </c>
      <c r="B13" s="10" t="inlineStr">
        <is>
          <t>2 з 2</t>
        </is>
      </c>
    </row>
    <row r="14">
      <c r="A14" s="9" t="inlineStr">
        <is>
          <t>Результативність</t>
        </is>
      </c>
      <c r="B14" s="10" t="inlineStr">
        <is>
          <t>100,0%</t>
        </is>
      </c>
    </row>
    <row r="15">
      <c r="A15" s="9" t="inlineStr">
        <is>
          <t>Середня угода</t>
        </is>
      </c>
      <c r="B15" s="10" t="inlineStr">
        <is>
          <t>4,9 млн грн</t>
        </is>
      </c>
    </row>
    <row r="16">
      <c r="A16" s="9" t="inlineStr">
        <is>
          <t>Медіанна угода</t>
        </is>
      </c>
      <c r="B16" s="10" t="inlineStr">
        <is>
          <t>4,9 млн грн</t>
        </is>
      </c>
    </row>
    <row r="17">
      <c r="A17" s="9" t="inlineStr">
        <is>
          <t>Замовників</t>
        </is>
      </c>
      <c r="B17" s="10" t="inlineStr">
        <is>
          <t>2</t>
        </is>
      </c>
    </row>
    <row r="18">
      <c r="A18" s="9" t="inlineStr">
        <is>
          <t>Областей</t>
        </is>
      </c>
      <c r="B18" s="10" t="inlineStr">
        <is>
          <t>1</t>
        </is>
      </c>
    </row>
    <row r="19">
      <c r="A19" s="9" t="inlineStr">
        <is>
          <t>Основна ТМ</t>
        </is>
      </c>
      <c r="B19" s="10" t="inlineStr">
        <is>
          <t>не визначено</t>
        </is>
      </c>
    </row>
    <row r="20">
      <c r="A20" s="9" t="inlineStr">
        <is>
          <t>Основний товар</t>
        </is>
      </c>
      <c r="B20" s="10" t="inlineStr">
        <is>
          <t>Ноутбук</t>
        </is>
      </c>
    </row>
    <row r="21">
      <c r="A21" s="9" t="inlineStr">
        <is>
          <t>Дисконт (медіана)</t>
        </is>
      </c>
      <c r="B21" s="10" t="inlineStr">
        <is>
          <t>8,7%</t>
        </is>
      </c>
    </row>
    <row r="22">
      <c r="A22" s="9" t="inlineStr">
        <is>
          <t>Повторні замовники</t>
        </is>
      </c>
      <c r="B22" s="10" t="inlineStr">
        <is>
          <t>0,0%</t>
        </is>
      </c>
    </row>
    <row r="23">
      <c r="A23" s="9" t="inlineStr">
        <is>
          <t>Активність</t>
        </is>
      </c>
      <c r="B23" s="10" t="inlineStr">
        <is>
          <t>2025-11-04 — 2025-11-27</t>
        </is>
      </c>
    </row>
    <row r="24">
      <c r="A24" s="9" t="inlineStr">
        <is>
          <t>Зірвано перемог</t>
        </is>
      </c>
      <c r="B24" s="10" t="inlineStr">
        <is>
          <t>—</t>
        </is>
      </c>
    </row>
    <row r="25">
      <c r="A25" s="9" t="inlineStr">
        <is>
          <t>Причина зривів</t>
        </is>
      </c>
      <c r="B25" s="10" t="inlineStr">
        <is>
          <t>—</t>
        </is>
      </c>
    </row>
    <row r="27">
      <c r="A27" s="8" t="inlineStr">
        <is>
          <t>Висновки</t>
        </is>
      </c>
    </row>
    <row r="28">
      <c r="A28" t="inlineStr">
        <is>
          <t>•  1-е місце на ринку: 9,8 млн грн (8,3% обороту)</t>
        </is>
      </c>
    </row>
    <row r="29">
      <c r="A29" t="inlineStr">
        <is>
          <t>•  Основний товар: ноутбук</t>
        </is>
      </c>
    </row>
    <row r="30">
      <c r="A30" t="inlineStr">
        <is>
          <t>•  У поданих файлах — сертифікатів: 3, авторизаційних листів: 7</t>
        </is>
      </c>
    </row>
    <row r="32">
      <c r="A32" s="8" t="inlineStr">
        <is>
          <t>Графіки</t>
        </is>
      </c>
    </row>
    <row r="34">
      <c r="A34" s="2" t="inlineStr">
        <is>
          <t>Що саме продає</t>
        </is>
      </c>
    </row>
    <row r="35">
      <c r="A35" s="3" t="inlineStr">
        <is>
          <t>Категорія</t>
        </is>
      </c>
      <c r="B35" s="3" t="inlineStr">
        <is>
          <t>Позицій, шт</t>
        </is>
      </c>
    </row>
    <row r="36">
      <c r="A36" t="inlineStr">
        <is>
          <t>Ноутбук</t>
        </is>
      </c>
      <c r="B36" s="5" t="n">
        <v>1</v>
      </c>
    </row>
    <row r="37">
      <c r="A37" t="inlineStr">
        <is>
          <t>Моноблок</t>
        </is>
      </c>
      <c r="B37" s="5" t="n">
        <v>1</v>
      </c>
    </row>
    <row r="50">
      <c r="A50" s="2" t="inlineStr">
        <is>
          <t>Ключові замовники</t>
        </is>
      </c>
    </row>
    <row r="51">
      <c r="A51" s="3" t="inlineStr">
        <is>
          <t>Категорія</t>
        </is>
      </c>
      <c r="B51" s="3" t="inlineStr">
        <is>
          <t>Сума, грн</t>
        </is>
      </c>
    </row>
    <row r="52">
      <c r="A52" t="inlineStr">
        <is>
          <t>ГОЛОВНЕ УПРАВЛІННЯ ПЕНСІЙНОГО ФОНДУ УКРА</t>
        </is>
      </c>
      <c r="B52" s="5" t="n">
        <v>8942719.5</v>
      </c>
    </row>
    <row r="53">
      <c r="A53" t="inlineStr">
        <is>
          <t>Головне Управління Державної служби Укра</t>
        </is>
      </c>
      <c r="B53" s="5" t="n">
        <v>849660</v>
      </c>
    </row>
    <row r="66">
      <c r="A66" s="8" t="inlineStr">
        <is>
          <t>Таблиці</t>
        </is>
      </c>
    </row>
    <row r="68">
      <c r="A68" s="2" t="inlineStr">
        <is>
          <t>Товари</t>
        </is>
      </c>
    </row>
    <row r="69">
      <c r="A69" s="11" t="inlineStr">
        <is>
          <t>Товар</t>
        </is>
      </c>
      <c r="B69" s="11" t="inlineStr">
        <is>
          <t>Позицій</t>
        </is>
      </c>
    </row>
    <row r="70">
      <c r="A70" t="inlineStr">
        <is>
          <t>Ноутбук</t>
        </is>
      </c>
      <c r="B70" s="5" t="n">
        <v>1</v>
      </c>
    </row>
    <row r="71">
      <c r="A71" t="inlineStr">
        <is>
          <t>Моноблок</t>
        </is>
      </c>
      <c r="B71" s="5" t="n">
        <v>1</v>
      </c>
    </row>
    <row r="73">
      <c r="A73" s="2" t="inlineStr">
        <is>
          <t>Документи</t>
        </is>
      </c>
    </row>
    <row r="74">
      <c r="A74" s="11" t="inlineStr">
        <is>
          <t>Тип документа</t>
        </is>
      </c>
      <c r="B74" s="11" t="inlineStr">
        <is>
          <t>Файлів</t>
        </is>
      </c>
    </row>
    <row r="75">
      <c r="A75" t="inlineStr">
        <is>
          <t>не класифіковано</t>
        </is>
      </c>
      <c r="B75" s="5" t="n">
        <v>31</v>
      </c>
    </row>
    <row r="76">
      <c r="A76" t="inlineStr">
        <is>
          <t>Установчі та реєстраційні</t>
        </is>
      </c>
      <c r="B76" s="5" t="n">
        <v>15</v>
      </c>
    </row>
    <row r="77">
      <c r="A77" t="inlineStr">
        <is>
          <t>Підпис КЕП</t>
        </is>
      </c>
      <c r="B77" s="5" t="n">
        <v>10</v>
      </c>
    </row>
    <row r="78">
      <c r="A78" t="inlineStr">
        <is>
          <t>Лист виробника / авторизація</t>
        </is>
      </c>
      <c r="B78" s="5" t="n">
        <v>7</v>
      </c>
    </row>
    <row r="79">
      <c r="A79" t="inlineStr">
        <is>
          <t>Сертифікат / декларація відповідності</t>
        </is>
      </c>
      <c r="B79" s="5" t="n">
        <v>3</v>
      </c>
    </row>
    <row r="80">
      <c r="A80" t="inlineStr">
        <is>
          <t>Договір</t>
        </is>
      </c>
      <c r="B80" s="5" t="n">
        <v>3</v>
      </c>
    </row>
    <row r="81">
      <c r="A81" t="inlineStr">
        <is>
          <t>Досвід / аналогічні договори</t>
        </is>
      </c>
      <c r="B81" s="5" t="n">
        <v>2</v>
      </c>
    </row>
    <row r="82">
      <c r="A82" t="inlineStr">
        <is>
          <t>Гарантія та сервіс</t>
        </is>
      </c>
      <c r="B82" s="5" t="n">
        <v>2</v>
      </c>
    </row>
    <row r="83">
      <c r="A83" t="inlineStr">
        <is>
          <t>Пропозиція учасника</t>
        </is>
      </c>
      <c r="B83" s="5" t="n">
        <v>2</v>
      </c>
    </row>
    <row r="84">
      <c r="A84" t="inlineStr">
        <is>
          <t>Тендерна документація</t>
        </is>
      </c>
      <c r="B84" s="5" t="n">
        <v>1</v>
      </c>
    </row>
    <row r="85">
      <c r="A85" t="inlineStr">
        <is>
          <t>Технічна специфікація</t>
        </is>
      </c>
      <c r="B85" s="5" t="n">
        <v>1</v>
      </c>
    </row>
    <row r="86">
      <c r="A86" t="inlineStr">
        <is>
          <t>Цінова пропозиція</t>
        </is>
      </c>
      <c r="B86" s="5" t="n">
        <v>1</v>
      </c>
    </row>
    <row r="88">
      <c r="A88" s="2" t="inlineStr">
        <is>
          <t>Угоди</t>
        </is>
      </c>
    </row>
    <row r="89">
      <c r="A89" s="11" t="inlineStr">
        <is>
          <t>Закупівля</t>
        </is>
      </c>
      <c r="B89" s="11" t="inlineStr">
        <is>
          <t>Дата</t>
        </is>
      </c>
      <c r="C89" s="11" t="inlineStr">
        <is>
          <t>Замовник</t>
        </is>
      </c>
      <c r="D89" s="11" t="inlineStr">
        <is>
          <t>Регіон</t>
        </is>
      </c>
      <c r="E89" s="11" t="inlineStr">
        <is>
          <t>Сума, грн</t>
        </is>
      </c>
      <c r="F89" s="11" t="inlineStr">
        <is>
          <t>Очікувана, грн</t>
        </is>
      </c>
      <c r="G89" s="11" t="inlineStr">
        <is>
          <t>Процедура</t>
        </is>
      </c>
      <c r="H89" s="11" t="inlineStr">
        <is>
          <t>Галузь</t>
        </is>
      </c>
      <c r="I89" s="11" t="inlineStr">
        <is>
          <t>Джерело</t>
        </is>
      </c>
    </row>
    <row r="90">
      <c r="A90" s="4" t="inlineStr">
        <is>
          <t>UA-2025-10-10-001046-a</t>
        </is>
      </c>
      <c r="B90" t="inlineStr">
        <is>
          <t>2025-11-04</t>
        </is>
      </c>
      <c r="C90" t="inlineStr">
        <is>
          <t>ГОЛОВНЕ УПРАВЛІННЯ ПЕНСІЙНОГО ФОНДУ УКРАЇНИ У ВОЛИНСЬКІЙ ОБЛАСТІ</t>
        </is>
      </c>
      <c r="D90" t="inlineStr">
        <is>
          <t>Волинська область</t>
        </is>
      </c>
      <c r="E90" s="13" t="n">
        <v>8942719.5</v>
      </c>
      <c r="F90" s="5" t="n">
        <v>9625000</v>
      </c>
      <c r="G90" t="inlineStr">
        <is>
          <t>Відкриті торги (нові)</t>
        </is>
      </c>
      <c r="H90" t="inlineStr">
        <is>
          <t>Машини для обробки даних (апаратна частина)</t>
        </is>
      </c>
      <c r="I90" t="inlineStr">
        <is>
          <t>договір</t>
        </is>
      </c>
    </row>
    <row r="91">
      <c r="A91" s="4" t="inlineStr">
        <is>
          <t>UA-2025-11-11-007236-a</t>
        </is>
      </c>
      <c r="B91" t="inlineStr">
        <is>
          <t>2025-11-27</t>
        </is>
      </c>
      <c r="C91" t="inlineStr">
        <is>
          <t>Головне Управління Державної служби України з надзвичайних ситуацій у Волинській області</t>
        </is>
      </c>
      <c r="D91" t="inlineStr">
        <is>
          <t>Волинська область</t>
        </is>
      </c>
      <c r="E91" s="13" t="n">
        <v>849660</v>
      </c>
      <c r="F91" s="5" t="n">
        <v>947100</v>
      </c>
      <c r="G91" t="inlineStr">
        <is>
          <t>Відкриті торги (нові)</t>
        </is>
      </c>
      <c r="H91" t="inlineStr">
        <is>
          <t>Машини для обробки даних (апаратна частина)</t>
        </is>
      </c>
      <c r="I91" t="inlineStr">
        <is>
          <t>договір</t>
        </is>
      </c>
    </row>
    <row r="93">
      <c r="A93" s="2" t="inlineStr">
        <is>
          <t>Наші зустрічі</t>
        </is>
      </c>
    </row>
    <row r="94">
      <c r="A94" s="11" t="inlineStr">
        <is>
          <t>Закупівля</t>
        </is>
      </c>
      <c r="B94" s="11" t="inlineStr">
        <is>
          <t>Дата</t>
        </is>
      </c>
      <c r="C94" s="11" t="inlineStr">
        <is>
          <t>Замовник</t>
        </is>
      </c>
      <c r="D94" s="11" t="inlineStr">
        <is>
          <t>Предмет</t>
        </is>
      </c>
      <c r="E94" s="11" t="inlineStr">
        <is>
          <t>Сума переможця, грн</t>
        </is>
      </c>
      <c r="F94" s="11" t="inlineStr">
        <is>
          <t>Наша пропозиція, грн</t>
        </is>
      </c>
      <c r="G94" s="11" t="inlineStr">
        <is>
          <t>Розрив</t>
        </is>
      </c>
      <c r="H94" s="11" t="inlineStr">
        <is>
          <t>Що сталося</t>
        </is>
      </c>
    </row>
    <row r="95">
      <c r="A95" s="4" t="inlineStr">
        <is>
          <t>UA-2025-10-10-001046-a</t>
        </is>
      </c>
      <c r="B95" t="inlineStr">
        <is>
          <t>2025-10-10</t>
        </is>
      </c>
      <c r="C95" t="inlineStr">
        <is>
          <t>ГОЛОВНЕ УПРАВЛІННЯ ПЕНСІЙНОГО ФОНДУ УКРАЇНИ У ВОЛИНСЬКІЙ ОБЛАСТІ</t>
        </is>
      </c>
      <c r="D95" t="inlineStr">
        <is>
          <t>Моноблоки (ДК 021:2015 — 30210000-4 Машини для обробки даних (апаратна частина))</t>
        </is>
      </c>
      <c r="E95" s="5" t="n">
        <v>8942725</v>
      </c>
      <c r="H95" t="inlineStr">
        <is>
          <t>ми не подавалися</t>
        </is>
      </c>
    </row>
    <row r="96">
      <c r="A96" s="4" t="inlineStr">
        <is>
          <t>UA-2025-11-11-007236-a</t>
        </is>
      </c>
      <c r="B96" t="inlineStr">
        <is>
          <t>2025-11-11</t>
        </is>
      </c>
      <c r="C96" t="inlineStr">
        <is>
          <t>Головне Управління Державної служби України з надзвичайних ситуацій у Волинській області</t>
        </is>
      </c>
      <c r="D96" t="inlineStr">
        <is>
          <t>Ноутбуки (код за ДК 021:2015: 30210000-4 - Машини для обробки даних (апаратна ча</t>
        </is>
      </c>
      <c r="E96" s="5" t="n">
        <v>849660</v>
      </c>
      <c r="H96" t="inlineStr">
        <is>
          <t>ми не подавалися</t>
        </is>
      </c>
    </row>
    <row r="98">
      <c r="A98" s="8" t="inlineStr">
        <is>
          <t>Сильні сторони</t>
        </is>
      </c>
    </row>
    <row r="99">
      <c r="A99" t="inlineStr">
        <is>
          <t>+  наявність сертифікатів (3 файлів)</t>
        </is>
      </c>
    </row>
    <row r="100">
      <c r="A100" t="inlineStr">
        <is>
          <t>+  авторизація виробника (7 листів)</t>
        </is>
      </c>
    </row>
    <row r="101">
      <c r="A101" t="inlineStr">
        <is>
          <t>+  працює з великими контрактами</t>
        </is>
      </c>
    </row>
  </sheetData>
  <hyperlinks>
    <hyperlink xmlns:r="http://schemas.openxmlformats.org/officeDocument/2006/relationships" ref="A90" r:id="rId1"/>
    <hyperlink xmlns:r="http://schemas.openxmlformats.org/officeDocument/2006/relationships" ref="A91" r:id="rId2"/>
    <hyperlink xmlns:r="http://schemas.openxmlformats.org/officeDocument/2006/relationships" ref="A95" r:id="rId3"/>
    <hyperlink xmlns:r="http://schemas.openxmlformats.org/officeDocument/2006/relationships" ref="A96" r:id="rId4"/>
  </hyperlinks>
  <pageMargins left="0.75" right="0.75" top="1" bottom="1" header="0.5" footer="0.5"/>
  <drawing xmlns:r="http://schemas.openxmlformats.org/officeDocument/2006/relationships" r:id="rId5"/>
  <tableParts count="4">
    <tablePart xmlns:r="http://schemas.openxmlformats.org/officeDocument/2006/relationships" r:id="rId6"/>
    <tablePart xmlns:r="http://schemas.openxmlformats.org/officeDocument/2006/relationships" r:id="rId7"/>
    <tablePart xmlns:r="http://schemas.openxmlformats.org/officeDocument/2006/relationships" r:id="rId8"/>
    <tablePart xmlns:r="http://schemas.openxmlformats.org/officeDocument/2006/relationships" r:id="rId9"/>
  </tableParts>
</worksheet>
</file>

<file path=xl/worksheets/sheet16.xml><?xml version="1.0" encoding="utf-8"?>
<worksheet xmlns="http://schemas.openxmlformats.org/spreadsheetml/2006/main">
  <sheetPr>
    <outlinePr summaryBelow="1" summaryRight="1"/>
    <pageSetUpPr/>
  </sheetPr>
  <dimension ref="A1:I120"/>
  <sheetViews>
    <sheetView showGridLines="0" workbookViewId="0">
      <selection activeCell="A1" sqref="A1"/>
    </sheetView>
  </sheetViews>
  <sheetFormatPr baseColWidth="8" defaultRowHeight="15"/>
  <cols>
    <col width="42" customWidth="1" min="1" max="1"/>
    <col width="25" customWidth="1" min="2" max="2"/>
    <col width="60" customWidth="1" min="3" max="3"/>
    <col width="45" customWidth="1" min="4" max="4"/>
    <col width="21" customWidth="1" min="5" max="5"/>
    <col width="22" customWidth="1" min="6" max="6"/>
    <col width="18" customWidth="1" min="7" max="7"/>
    <col width="45" customWidth="1" min="8" max="8"/>
    <col width="10" customWidth="1" min="9" max="9"/>
  </cols>
  <sheetData>
    <row r="1">
      <c r="A1" s="1" t="inlineStr">
        <is>
          <t>ТОВ "ЕМЕНС"</t>
        </is>
      </c>
    </row>
    <row r="2">
      <c r="A2" s="6" t="inlineStr">
        <is>
          <t>ЄДРПОУ 42647754  ·  конкурент  ·  місце №2</t>
        </is>
      </c>
    </row>
    <row r="4">
      <c r="A4" s="7" t="inlineStr">
        <is>
          <t>ТОВ "ЕМЕНС" (42647754)</t>
        </is>
      </c>
    </row>
    <row r="6">
      <c r="A6" s="8" t="inlineStr">
        <is>
          <t>Показники</t>
        </is>
      </c>
    </row>
    <row r="7">
      <c r="A7" s="9" t="inlineStr">
        <is>
          <t>Місце на ринку</t>
        </is>
      </c>
      <c r="B7" s="10" t="inlineStr">
        <is>
          <t>№2</t>
        </is>
      </c>
    </row>
    <row r="8">
      <c r="A8" s="9" t="inlineStr">
        <is>
          <t>Сума угод</t>
        </is>
      </c>
      <c r="B8" s="10" t="inlineStr">
        <is>
          <t>4,1 млн грн</t>
        </is>
      </c>
    </row>
    <row r="9">
      <c r="A9" s="9" t="inlineStr">
        <is>
          <t>Частка ринку</t>
        </is>
      </c>
      <c r="B9" s="10" t="inlineStr">
        <is>
          <t>3,5%</t>
        </is>
      </c>
    </row>
    <row r="10">
      <c r="A10" s="9" t="inlineStr">
        <is>
          <t>Угод</t>
        </is>
      </c>
      <c r="B10" s="10" t="inlineStr">
        <is>
          <t>1</t>
        </is>
      </c>
    </row>
    <row r="11">
      <c r="A11" s="9" t="inlineStr">
        <is>
          <t>Закупівель виграно</t>
        </is>
      </c>
      <c r="B11" s="10" t="inlineStr">
        <is>
          <t>1</t>
        </is>
      </c>
    </row>
    <row r="12">
      <c r="A12" s="9" t="inlineStr">
        <is>
          <t>Подань (де видно)</t>
        </is>
      </c>
      <c r="B12" s="10" t="inlineStr">
        <is>
          <t>1</t>
        </is>
      </c>
    </row>
    <row r="13">
      <c r="A13" s="9" t="inlineStr">
        <is>
          <t>Виграно з поданих</t>
        </is>
      </c>
      <c r="B13" s="10" t="inlineStr">
        <is>
          <t>1 з 1</t>
        </is>
      </c>
    </row>
    <row r="14">
      <c r="A14" s="9" t="inlineStr">
        <is>
          <t>Результативність</t>
        </is>
      </c>
      <c r="B14" s="10" t="inlineStr">
        <is>
          <t>100,0%</t>
        </is>
      </c>
    </row>
    <row r="15">
      <c r="A15" s="9" t="inlineStr">
        <is>
          <t>Середня угода</t>
        </is>
      </c>
      <c r="B15" s="10" t="inlineStr">
        <is>
          <t>4,1 млн грн</t>
        </is>
      </c>
    </row>
    <row r="16">
      <c r="A16" s="9" t="inlineStr">
        <is>
          <t>Медіанна угода</t>
        </is>
      </c>
      <c r="B16" s="10" t="inlineStr">
        <is>
          <t>4,1 млн грн</t>
        </is>
      </c>
    </row>
    <row r="17">
      <c r="A17" s="9" t="inlineStr">
        <is>
          <t>Замовників</t>
        </is>
      </c>
      <c r="B17" s="10" t="inlineStr">
        <is>
          <t>1</t>
        </is>
      </c>
    </row>
    <row r="18">
      <c r="A18" s="9" t="inlineStr">
        <is>
          <t>Областей</t>
        </is>
      </c>
      <c r="B18" s="10" t="inlineStr">
        <is>
          <t>1</t>
        </is>
      </c>
    </row>
    <row r="19">
      <c r="A19" s="9" t="inlineStr">
        <is>
          <t>Основна ТМ</t>
        </is>
      </c>
      <c r="B19" s="10" t="inlineStr">
        <is>
          <t>Intel</t>
        </is>
      </c>
    </row>
    <row r="20">
      <c r="A20" s="9" t="inlineStr">
        <is>
          <t>Основний товар</t>
        </is>
      </c>
      <c r="B20" s="10" t="inlineStr">
        <is>
          <t>Ноутбук</t>
        </is>
      </c>
    </row>
    <row r="21">
      <c r="A21" s="9" t="inlineStr">
        <is>
          <t>Дисконт (медіана)</t>
        </is>
      </c>
      <c r="B21" s="10" t="inlineStr">
        <is>
          <t>0,0%</t>
        </is>
      </c>
    </row>
    <row r="22">
      <c r="A22" s="9" t="inlineStr">
        <is>
          <t>Повторні замовники</t>
        </is>
      </c>
      <c r="B22" s="10" t="inlineStr">
        <is>
          <t>0,0%</t>
        </is>
      </c>
    </row>
    <row r="23">
      <c r="A23" s="9" t="inlineStr">
        <is>
          <t>Активність</t>
        </is>
      </c>
      <c r="B23" s="10" t="inlineStr">
        <is>
          <t>2026-06-15 — 2026-06-15</t>
        </is>
      </c>
    </row>
    <row r="24">
      <c r="A24" s="9" t="inlineStr">
        <is>
          <t>Зірвано перемог</t>
        </is>
      </c>
      <c r="B24" s="10" t="inlineStr">
        <is>
          <t>—</t>
        </is>
      </c>
    </row>
    <row r="25">
      <c r="A25" s="9" t="inlineStr">
        <is>
          <t>Причина зривів</t>
        </is>
      </c>
      <c r="B25" s="10" t="inlineStr">
        <is>
          <t>—</t>
        </is>
      </c>
    </row>
    <row r="27">
      <c r="A27" s="8" t="inlineStr">
        <is>
          <t>Висновки</t>
        </is>
      </c>
    </row>
    <row r="28">
      <c r="A28" t="inlineStr">
        <is>
          <t>•  2-е місце на ринку: 4,1 млн грн (3,5% обороту)</t>
        </is>
      </c>
    </row>
    <row r="29">
      <c r="A29" t="inlineStr">
        <is>
          <t>•  Основний товар: ноутбук</t>
        </is>
      </c>
    </row>
    <row r="30">
      <c r="A30" t="inlineStr">
        <is>
          <t>•  ТМ Intel у 40,0% позицій</t>
        </is>
      </c>
    </row>
    <row r="31">
      <c r="A31" t="inlineStr">
        <is>
          <t>•  Тримає ціну: дисконт 0,0% проти 8,3% по ринку</t>
        </is>
      </c>
    </row>
    <row r="33">
      <c r="A33" s="8" t="inlineStr">
        <is>
          <t>Графіки</t>
        </is>
      </c>
    </row>
    <row r="35">
      <c r="A35" s="2" t="inlineStr">
        <is>
          <t>Торгові марки у позиціях</t>
        </is>
      </c>
    </row>
    <row r="36">
      <c r="A36" s="3" t="inlineStr">
        <is>
          <t>Категорія</t>
        </is>
      </c>
      <c r="B36" s="3" t="inlineStr">
        <is>
          <t>Позицій, шт</t>
        </is>
      </c>
    </row>
    <row r="37">
      <c r="A37" t="inlineStr">
        <is>
          <t>Intel</t>
        </is>
      </c>
      <c r="B37" s="5" t="n">
        <v>2</v>
      </c>
    </row>
    <row r="38">
      <c r="A38" t="inlineStr">
        <is>
          <t>Microsoft</t>
        </is>
      </c>
      <c r="B38" s="5" t="n">
        <v>2</v>
      </c>
    </row>
    <row r="39">
      <c r="A39" t="inlineStr">
        <is>
          <t>AMD</t>
        </is>
      </c>
      <c r="B39" s="5" t="n">
        <v>1</v>
      </c>
    </row>
    <row r="55">
      <c r="A55" s="2" t="inlineStr">
        <is>
          <t>Що саме продає</t>
        </is>
      </c>
    </row>
    <row r="56">
      <c r="A56" s="3" t="inlineStr">
        <is>
          <t>Категорія</t>
        </is>
      </c>
      <c r="B56" s="3" t="inlineStr">
        <is>
          <t>Позицій, шт</t>
        </is>
      </c>
    </row>
    <row r="57">
      <c r="A57" t="inlineStr">
        <is>
          <t>Ноутбук</t>
        </is>
      </c>
      <c r="B57" s="5" t="n">
        <v>1</v>
      </c>
    </row>
    <row r="58">
      <c r="A58" t="inlineStr">
        <is>
          <t>Персональний комп'ютер</t>
        </is>
      </c>
      <c r="B58" s="5" t="n">
        <v>1</v>
      </c>
    </row>
    <row r="71">
      <c r="A71" s="2" t="inlineStr">
        <is>
          <t>Ключові замовники</t>
        </is>
      </c>
    </row>
    <row r="72">
      <c r="A72" s="3" t="inlineStr">
        <is>
          <t>Категорія</t>
        </is>
      </c>
      <c r="B72" s="3" t="inlineStr">
        <is>
          <t>Сума, грн</t>
        </is>
      </c>
    </row>
    <row r="73">
      <c r="A73" t="inlineStr">
        <is>
          <t>НОВОВОЛИНСЬКИЙ ЛІЦЕЙ №8 НОВОВОЛИНСЬКОЇ М</t>
        </is>
      </c>
      <c r="B73" s="5" t="n">
        <v>4116900</v>
      </c>
    </row>
    <row r="87">
      <c r="A87" s="8" t="inlineStr">
        <is>
          <t>Таблиці</t>
        </is>
      </c>
    </row>
    <row r="89">
      <c r="A89" s="2" t="inlineStr">
        <is>
          <t>ТМ</t>
        </is>
      </c>
    </row>
    <row r="90">
      <c r="A90" s="11" t="inlineStr">
        <is>
          <t>Торгова марка</t>
        </is>
      </c>
      <c r="B90" s="11" t="inlineStr">
        <is>
          <t>Позицій</t>
        </is>
      </c>
      <c r="C90" s="11" t="inlineStr">
        <is>
          <t>Частка</t>
        </is>
      </c>
      <c r="D90" s="11" t="inlineStr">
        <is>
          <t>Власна ТМ за довідником</t>
        </is>
      </c>
    </row>
    <row r="91">
      <c r="A91" t="inlineStr">
        <is>
          <t>Intel</t>
        </is>
      </c>
      <c r="B91" s="5" t="n">
        <v>2</v>
      </c>
      <c r="C91" s="12" t="n">
        <v>0.4</v>
      </c>
      <c r="D91" t="inlineStr"/>
    </row>
    <row r="92">
      <c r="A92" t="inlineStr">
        <is>
          <t>Microsoft</t>
        </is>
      </c>
      <c r="B92" s="5" t="n">
        <v>2</v>
      </c>
      <c r="C92" s="12" t="n">
        <v>0.4</v>
      </c>
      <c r="D92" t="inlineStr"/>
    </row>
    <row r="93">
      <c r="A93" t="inlineStr">
        <is>
          <t>AMD</t>
        </is>
      </c>
      <c r="B93" s="5" t="n">
        <v>1</v>
      </c>
      <c r="C93" s="12" t="n">
        <v>0.2</v>
      </c>
      <c r="D93" t="inlineStr"/>
    </row>
    <row r="95">
      <c r="A95" s="2" t="inlineStr">
        <is>
          <t>Товари</t>
        </is>
      </c>
    </row>
    <row r="96">
      <c r="A96" s="11" t="inlineStr">
        <is>
          <t>Товар</t>
        </is>
      </c>
      <c r="B96" s="11" t="inlineStr">
        <is>
          <t>Позицій</t>
        </is>
      </c>
    </row>
    <row r="97">
      <c r="A97" t="inlineStr">
        <is>
          <t>Ноутбук</t>
        </is>
      </c>
      <c r="B97" s="5" t="n">
        <v>1</v>
      </c>
    </row>
    <row r="98">
      <c r="A98" t="inlineStr">
        <is>
          <t>Персональний комп'ютер</t>
        </is>
      </c>
      <c r="B98" s="5" t="n">
        <v>1</v>
      </c>
    </row>
    <row r="100">
      <c r="A100" s="2" t="inlineStr">
        <is>
          <t>Документи</t>
        </is>
      </c>
    </row>
    <row r="101">
      <c r="A101" s="11" t="inlineStr">
        <is>
          <t>Тип документа</t>
        </is>
      </c>
      <c r="B101" s="11" t="inlineStr">
        <is>
          <t>Файлів</t>
        </is>
      </c>
    </row>
    <row r="102">
      <c r="A102" t="inlineStr">
        <is>
          <t>Підпис КЕП</t>
        </is>
      </c>
      <c r="B102" s="5" t="n">
        <v>11</v>
      </c>
    </row>
    <row r="103">
      <c r="A103" t="inlineStr">
        <is>
          <t>не класифіковано</t>
        </is>
      </c>
      <c r="B103" s="5" t="n">
        <v>6</v>
      </c>
    </row>
    <row r="104">
      <c r="A104" t="inlineStr">
        <is>
          <t>Установчі та реєстраційні</t>
        </is>
      </c>
      <c r="B104" s="5" t="n">
        <v>1</v>
      </c>
    </row>
    <row r="105">
      <c r="A105" t="inlineStr">
        <is>
          <t>Тендерна документація</t>
        </is>
      </c>
      <c r="B105" s="5" t="n">
        <v>1</v>
      </c>
    </row>
    <row r="107">
      <c r="A107" s="2" t="inlineStr">
        <is>
          <t>Угоди</t>
        </is>
      </c>
    </row>
    <row r="108">
      <c r="A108" s="11" t="inlineStr">
        <is>
          <t>Закупівля</t>
        </is>
      </c>
      <c r="B108" s="11" t="inlineStr">
        <is>
          <t>Дата</t>
        </is>
      </c>
      <c r="C108" s="11" t="inlineStr">
        <is>
          <t>Замовник</t>
        </is>
      </c>
      <c r="D108" s="11" t="inlineStr">
        <is>
          <t>Регіон</t>
        </is>
      </c>
      <c r="E108" s="11" t="inlineStr">
        <is>
          <t>Сума, грн</t>
        </is>
      </c>
      <c r="F108" s="11" t="inlineStr">
        <is>
          <t>Очікувана, грн</t>
        </is>
      </c>
      <c r="G108" s="11" t="inlineStr">
        <is>
          <t>Процедура</t>
        </is>
      </c>
      <c r="H108" s="11" t="inlineStr">
        <is>
          <t>Галузь</t>
        </is>
      </c>
      <c r="I108" s="11" t="inlineStr">
        <is>
          <t>Джерело</t>
        </is>
      </c>
    </row>
    <row r="109">
      <c r="A109" s="4" t="inlineStr">
        <is>
          <t>UA-2026-06-04-012194-a</t>
        </is>
      </c>
      <c r="B109" t="inlineStr">
        <is>
          <t>2026-06-15</t>
        </is>
      </c>
      <c r="C109" t="inlineStr">
        <is>
          <t>НОВОВОЛИНСЬКИЙ ЛІЦЕЙ №8 НОВОВОЛИНСЬКОЇ МІСЬКОЇ РАДИ ВОЛИНСЬКОЇ ОБЛАСТІ</t>
        </is>
      </c>
      <c r="D109" t="inlineStr">
        <is>
          <t>Волинська область</t>
        </is>
      </c>
      <c r="E109" s="5" t="n">
        <v>4116900</v>
      </c>
      <c r="F109" s="5" t="n">
        <v>4116900</v>
      </c>
      <c r="G109" t="inlineStr">
        <is>
          <t>Запит пропозицій</t>
        </is>
      </c>
      <c r="H109" t="inlineStr">
        <is>
          <t>Машини для обробки даних (апаратна частина)</t>
        </is>
      </c>
      <c r="I109" t="inlineStr">
        <is>
          <t>договір</t>
        </is>
      </c>
    </row>
    <row r="111">
      <c r="A111" s="2" t="inlineStr">
        <is>
          <t>Наші зустрічі</t>
        </is>
      </c>
    </row>
    <row r="112">
      <c r="A112" s="11" t="inlineStr">
        <is>
          <t>Закупівля</t>
        </is>
      </c>
      <c r="B112" s="11" t="inlineStr">
        <is>
          <t>Дата</t>
        </is>
      </c>
      <c r="C112" s="11" t="inlineStr">
        <is>
          <t>Замовник</t>
        </is>
      </c>
      <c r="D112" s="11" t="inlineStr">
        <is>
          <t>Предмет</t>
        </is>
      </c>
      <c r="E112" s="11" t="inlineStr">
        <is>
          <t>Сума переможця, грн</t>
        </is>
      </c>
      <c r="F112" s="11" t="inlineStr">
        <is>
          <t>Наша пропозиція, грн</t>
        </is>
      </c>
      <c r="G112" s="11" t="inlineStr">
        <is>
          <t>Розрив</t>
        </is>
      </c>
      <c r="H112" s="11" t="inlineStr">
        <is>
          <t>Що сталося</t>
        </is>
      </c>
    </row>
    <row r="113">
      <c r="A113" s="4" t="inlineStr">
        <is>
          <t>UA-2026-06-04-012194-a</t>
        </is>
      </c>
      <c r="B113" t="inlineStr">
        <is>
          <t>2026-06-04</t>
        </is>
      </c>
      <c r="C113" t="inlineStr">
        <is>
          <t>НОВОВОЛИНСЬКИЙ ЛІЦЕЙ №8 НОВОВОЛИНСЬКОЇ МІСЬКОЇ РАДИ ВОЛИНСЬКОЇ ОБЛАСТІ</t>
        </is>
      </c>
      <c r="D113" t="inlineStr">
        <is>
          <t>Машини для обробки даних (апаратна частина)</t>
        </is>
      </c>
      <c r="E113" s="5" t="n">
        <v>4116900</v>
      </c>
      <c r="H113" t="inlineStr">
        <is>
          <t>ми не подавалися</t>
        </is>
      </c>
    </row>
    <row r="115">
      <c r="A115" s="8" t="inlineStr">
        <is>
          <t>Сильні сторони</t>
        </is>
      </c>
    </row>
    <row r="116">
      <c r="A116" t="inlineStr">
        <is>
          <t>+  працює з великими контрактами</t>
        </is>
      </c>
    </row>
    <row r="118">
      <c r="A118" s="8" t="inlineStr">
        <is>
          <t>Слабкі сторони</t>
        </is>
      </c>
    </row>
    <row r="119">
      <c r="A119" t="inlineStr">
        <is>
          <t>−  сертифікатів у поданих файлах не знайдено</t>
        </is>
      </c>
    </row>
    <row r="120">
      <c r="A120" t="inlineStr">
        <is>
          <t>−  слабка цінова позиція: дисконт 0,0% проти 8,3% по ринку</t>
        </is>
      </c>
    </row>
  </sheetData>
  <hyperlinks>
    <hyperlink xmlns:r="http://schemas.openxmlformats.org/officeDocument/2006/relationships" ref="A109" r:id="rId1"/>
    <hyperlink xmlns:r="http://schemas.openxmlformats.org/officeDocument/2006/relationships" ref="A113" r:id="rId2"/>
  </hyperlinks>
  <pageMargins left="0.75" right="0.75" top="1" bottom="1" header="0.5" footer="0.5"/>
  <drawing xmlns:r="http://schemas.openxmlformats.org/officeDocument/2006/relationships" r:id="rId3"/>
  <tableParts count="5">
    <tablePart xmlns:r="http://schemas.openxmlformats.org/officeDocument/2006/relationships" r:id="rId4"/>
    <tablePart xmlns:r="http://schemas.openxmlformats.org/officeDocument/2006/relationships" r:id="rId5"/>
    <tablePart xmlns:r="http://schemas.openxmlformats.org/officeDocument/2006/relationships" r:id="rId6"/>
    <tablePart xmlns:r="http://schemas.openxmlformats.org/officeDocument/2006/relationships" r:id="rId7"/>
    <tablePart xmlns:r="http://schemas.openxmlformats.org/officeDocument/2006/relationships" r:id="rId8"/>
  </tableParts>
</worksheet>
</file>

<file path=xl/worksheets/sheet17.xml><?xml version="1.0" encoding="utf-8"?>
<worksheet xmlns="http://schemas.openxmlformats.org/spreadsheetml/2006/main">
  <sheetPr>
    <outlinePr summaryBelow="1" summaryRight="1"/>
    <pageSetUpPr/>
  </sheetPr>
  <dimension ref="A1:I194"/>
  <sheetViews>
    <sheetView showGridLines="0" workbookViewId="0">
      <selection activeCell="A1" sqref="A1"/>
    </sheetView>
  </sheetViews>
  <sheetFormatPr baseColWidth="8" defaultRowHeight="15"/>
  <cols>
    <col width="42" customWidth="1" min="1" max="1"/>
    <col width="29" customWidth="1" min="2" max="2"/>
    <col width="60" customWidth="1" min="3" max="3"/>
    <col width="60" customWidth="1" min="4" max="4"/>
    <col width="29" customWidth="1" min="5" max="5"/>
    <col width="60" customWidth="1" min="6" max="6"/>
    <col width="23" customWidth="1" min="7" max="7"/>
    <col width="45" customWidth="1" min="8" max="8"/>
    <col width="23" customWidth="1" min="9" max="9"/>
  </cols>
  <sheetData>
    <row r="1">
      <c r="A1" s="1" t="inlineStr">
        <is>
          <t>ТОВ «ПОРТАЛ АРЕНА»</t>
        </is>
      </c>
    </row>
    <row r="2">
      <c r="A2" s="6" t="inlineStr">
        <is>
          <t>ЄДРПОУ 45119322  ·  конкурент  ·  місце №4</t>
        </is>
      </c>
    </row>
    <row r="4">
      <c r="A4" s="7" t="inlineStr">
        <is>
          <t>ТОВ «ПОРТАЛ АРЕНА» (45119322)</t>
        </is>
      </c>
    </row>
    <row r="6">
      <c r="A6" s="8" t="inlineStr">
        <is>
          <t>Показники</t>
        </is>
      </c>
    </row>
    <row r="7">
      <c r="A7" s="9" t="inlineStr">
        <is>
          <t>Місце на ринку</t>
        </is>
      </c>
      <c r="B7" s="10" t="inlineStr">
        <is>
          <t>№4</t>
        </is>
      </c>
    </row>
    <row r="8">
      <c r="A8" s="9" t="inlineStr">
        <is>
          <t>Сума угод</t>
        </is>
      </c>
      <c r="B8" s="10" t="inlineStr">
        <is>
          <t>3,6 млн грн</t>
        </is>
      </c>
    </row>
    <row r="9">
      <c r="A9" s="9" t="inlineStr">
        <is>
          <t>Частка ринку</t>
        </is>
      </c>
      <c r="B9" s="10" t="inlineStr">
        <is>
          <t>3,0%</t>
        </is>
      </c>
    </row>
    <row r="10">
      <c r="A10" s="9" t="inlineStr">
        <is>
          <t>Угод</t>
        </is>
      </c>
      <c r="B10" s="10" t="inlineStr">
        <is>
          <t>9</t>
        </is>
      </c>
    </row>
    <row r="11">
      <c r="A11" s="9" t="inlineStr">
        <is>
          <t>Закупівель виграно</t>
        </is>
      </c>
      <c r="B11" s="10" t="inlineStr">
        <is>
          <t>9</t>
        </is>
      </c>
    </row>
    <row r="12">
      <c r="A12" s="9" t="inlineStr">
        <is>
          <t>Подань (де видно)</t>
        </is>
      </c>
      <c r="B12" s="10" t="inlineStr">
        <is>
          <t>17</t>
        </is>
      </c>
    </row>
    <row r="13">
      <c r="A13" s="9" t="inlineStr">
        <is>
          <t>Виграно з поданих</t>
        </is>
      </c>
      <c r="B13" s="10" t="inlineStr">
        <is>
          <t>9 з 17</t>
        </is>
      </c>
    </row>
    <row r="14">
      <c r="A14" s="9" t="inlineStr">
        <is>
          <t>Результативність</t>
        </is>
      </c>
      <c r="B14" s="10" t="inlineStr">
        <is>
          <t>52,9%</t>
        </is>
      </c>
    </row>
    <row r="15">
      <c r="A15" s="9" t="inlineStr">
        <is>
          <t>Середня угода</t>
        </is>
      </c>
      <c r="B15" s="10" t="inlineStr">
        <is>
          <t>399,8 тис. грн</t>
        </is>
      </c>
    </row>
    <row r="16">
      <c r="A16" s="9" t="inlineStr">
        <is>
          <t>Медіанна угода</t>
        </is>
      </c>
      <c r="B16" s="10" t="inlineStr">
        <is>
          <t>273,6 тис. грн</t>
        </is>
      </c>
    </row>
    <row r="17">
      <c r="A17" s="9" t="inlineStr">
        <is>
          <t>Замовників</t>
        </is>
      </c>
      <c r="B17" s="10" t="inlineStr">
        <is>
          <t>8</t>
        </is>
      </c>
    </row>
    <row r="18">
      <c r="A18" s="9" t="inlineStr">
        <is>
          <t>Областей</t>
        </is>
      </c>
      <c r="B18" s="10" t="inlineStr">
        <is>
          <t>1</t>
        </is>
      </c>
    </row>
    <row r="19">
      <c r="A19" s="9" t="inlineStr">
        <is>
          <t>Основна ТМ</t>
        </is>
      </c>
      <c r="B19" s="10" t="inlineStr">
        <is>
          <t>Microsoft</t>
        </is>
      </c>
    </row>
    <row r="20">
      <c r="A20" s="9" t="inlineStr">
        <is>
          <t>Основний товар</t>
        </is>
      </c>
      <c r="B20" s="10" t="inlineStr">
        <is>
          <t>Ноутбук</t>
        </is>
      </c>
    </row>
    <row r="21">
      <c r="A21" s="9" t="inlineStr">
        <is>
          <t>Дисконт (медіана)</t>
        </is>
      </c>
      <c r="B21" s="10" t="inlineStr">
        <is>
          <t>9,2%</t>
        </is>
      </c>
    </row>
    <row r="22">
      <c r="A22" s="9" t="inlineStr">
        <is>
          <t>Повторні замовники</t>
        </is>
      </c>
      <c r="B22" s="10" t="inlineStr">
        <is>
          <t>11,1%</t>
        </is>
      </c>
    </row>
    <row r="23">
      <c r="A23" s="9" t="inlineStr">
        <is>
          <t>Активність</t>
        </is>
      </c>
      <c r="B23" s="10" t="inlineStr">
        <is>
          <t>2026-04-10 — 2026-08-25</t>
        </is>
      </c>
    </row>
    <row r="24">
      <c r="A24" s="9" t="inlineStr">
        <is>
          <t>Зірвано перемог</t>
        </is>
      </c>
      <c r="B24" s="10" t="inlineStr">
        <is>
          <t>1 на 122,4 тис. грн</t>
        </is>
      </c>
    </row>
    <row r="25">
      <c r="A25" s="9" t="inlineStr">
        <is>
          <t>Причина зривів</t>
        </is>
      </c>
      <c r="B25" s="10" t="inlineStr">
        <is>
          <t>Не підписав договір у строк</t>
        </is>
      </c>
    </row>
    <row r="27">
      <c r="A27" s="8" t="inlineStr">
        <is>
          <t>Висновки</t>
        </is>
      </c>
    </row>
    <row r="28">
      <c r="A28" t="inlineStr">
        <is>
          <t>•  4-е місце на ринку: 3,6 млн грн (3,0% обороту)</t>
        </is>
      </c>
    </row>
    <row r="29">
      <c r="A29" t="inlineStr">
        <is>
          <t>•  Основний товар: ноутбук</t>
        </is>
      </c>
    </row>
    <row r="30">
      <c r="A30" t="inlineStr">
        <is>
          <t>•  ТМ Microsoft у 36,4% позицій</t>
        </is>
      </c>
    </row>
    <row r="31">
      <c r="A31" t="inlineStr">
        <is>
          <t>•  Грає у відкритих процедурах: лише 0,0% угод без торгів</t>
        </is>
      </c>
    </row>
    <row r="32">
      <c r="A32" t="inlineStr">
        <is>
          <t>•  Географічно сфокусований: Волинська область (100,0% угод)</t>
        </is>
      </c>
    </row>
    <row r="33">
      <c r="A33" t="inlineStr">
        <is>
          <t>•  Результативність на торгах: 52,9% (9 з 17)</t>
        </is>
      </c>
    </row>
    <row r="34">
      <c r="A34" t="inlineStr">
        <is>
          <t>•  Динаміка: зростає (354% у другій половині періоду)</t>
        </is>
      </c>
    </row>
    <row r="35">
      <c r="A35" t="inlineStr">
        <is>
          <t>•  У поданих файлах — сертифікатів: 1, авторизаційних листів: 2</t>
        </is>
      </c>
    </row>
    <row r="36">
      <c r="A36" t="inlineStr">
        <is>
          <t>•  Зірваних перемог: 1 на 122,4 тис. грн, найчастіше — не підписав договір у строк</t>
        </is>
      </c>
    </row>
    <row r="38">
      <c r="A38" s="8" t="inlineStr">
        <is>
          <t>Графіки</t>
        </is>
      </c>
    </row>
    <row r="40">
      <c r="A40" s="2" t="inlineStr">
        <is>
          <t>Динаміка по місяцях</t>
        </is>
      </c>
    </row>
    <row r="41">
      <c r="A41" s="3" t="inlineStr">
        <is>
          <t>Період</t>
        </is>
      </c>
      <c r="B41" s="3" t="inlineStr">
        <is>
          <t>Сума угод, грн</t>
        </is>
      </c>
    </row>
    <row r="42">
      <c r="A42" t="inlineStr">
        <is>
          <t>2026-04</t>
        </is>
      </c>
      <c r="B42" s="5" t="n">
        <v>508425.6</v>
      </c>
    </row>
    <row r="43">
      <c r="A43" t="inlineStr">
        <is>
          <t>2026-05</t>
        </is>
      </c>
      <c r="B43" s="5" t="n">
        <v>555388.8</v>
      </c>
    </row>
    <row r="44">
      <c r="A44" t="inlineStr">
        <is>
          <t>2026-07</t>
        </is>
      </c>
      <c r="B44" s="5" t="n">
        <v>941598</v>
      </c>
    </row>
    <row r="45">
      <c r="A45" t="inlineStr">
        <is>
          <t>2026-08</t>
        </is>
      </c>
      <c r="B45" s="5" t="n">
        <v>1592400</v>
      </c>
    </row>
    <row r="60">
      <c r="A60" s="2" t="inlineStr">
        <is>
          <t>Торгові марки у позиціях</t>
        </is>
      </c>
    </row>
    <row r="61">
      <c r="A61" s="3" t="inlineStr">
        <is>
          <t>Категорія</t>
        </is>
      </c>
      <c r="B61" s="3" t="inlineStr">
        <is>
          <t>Позицій, шт</t>
        </is>
      </c>
    </row>
    <row r="62">
      <c r="A62" t="inlineStr">
        <is>
          <t>Microsoft</t>
        </is>
      </c>
      <c r="B62" s="5" t="n">
        <v>4</v>
      </c>
    </row>
    <row r="63">
      <c r="A63" t="inlineStr">
        <is>
          <t>Intel</t>
        </is>
      </c>
      <c r="B63" s="5" t="n">
        <v>3</v>
      </c>
    </row>
    <row r="64">
      <c r="A64" t="inlineStr">
        <is>
          <t>AMD</t>
        </is>
      </c>
      <c r="B64" s="5" t="n">
        <v>3</v>
      </c>
    </row>
    <row r="65">
      <c r="A65" t="inlineStr">
        <is>
          <t>HP</t>
        </is>
      </c>
      <c r="B65" s="5" t="n">
        <v>1</v>
      </c>
    </row>
    <row r="80">
      <c r="A80" s="2" t="inlineStr">
        <is>
          <t>Що саме продає</t>
        </is>
      </c>
    </row>
    <row r="81">
      <c r="A81" s="3" t="inlineStr">
        <is>
          <t>Категорія</t>
        </is>
      </c>
      <c r="B81" s="3" t="inlineStr">
        <is>
          <t>Позицій, шт</t>
        </is>
      </c>
    </row>
    <row r="82">
      <c r="A82" t="inlineStr">
        <is>
          <t>Ноутбук</t>
        </is>
      </c>
      <c r="B82" s="5" t="n">
        <v>14</v>
      </c>
    </row>
    <row r="83">
      <c r="A83" t="inlineStr">
        <is>
          <t>Багатофункціональний пристрій (БФП)</t>
        </is>
      </c>
      <c r="B83" s="5" t="n">
        <v>2</v>
      </c>
    </row>
    <row r="84">
      <c r="A84" t="inlineStr">
        <is>
          <t>Системний блок</t>
        </is>
      </c>
      <c r="B84" s="5" t="n">
        <v>1</v>
      </c>
    </row>
    <row r="85">
      <c r="A85" t="inlineStr">
        <is>
          <t>Персональний комп'ютер</t>
        </is>
      </c>
      <c r="B85" s="5" t="n">
        <v>1</v>
      </c>
    </row>
    <row r="96">
      <c r="A96" s="2" t="inlineStr">
        <is>
          <t>Ключові замовники</t>
        </is>
      </c>
    </row>
    <row r="97">
      <c r="A97" s="3" t="inlineStr">
        <is>
          <t>Категорія</t>
        </is>
      </c>
      <c r="B97" s="3" t="inlineStr">
        <is>
          <t>Сума, грн</t>
        </is>
      </c>
    </row>
    <row r="98">
      <c r="A98" t="inlineStr">
        <is>
          <t>Волинський обласний ліцей з посиленою ві</t>
        </is>
      </c>
      <c r="B98" s="5" t="n">
        <v>1592400</v>
      </c>
    </row>
    <row r="99">
      <c r="A99" t="inlineStr">
        <is>
          <t xml:space="preserve">Головне управління Національної поліції </t>
        </is>
      </c>
      <c r="B99" s="5" t="n">
        <v>851188.8</v>
      </c>
    </row>
    <row r="100">
      <c r="A100" t="inlineStr">
        <is>
          <t>КП «ВОЛИНСЬКЕ ОБЛАСНЕ ТЕРИТОРІАЛЬНЕ МЕДИ</t>
        </is>
      </c>
      <c r="B100" s="5" t="n">
        <v>402480</v>
      </c>
    </row>
    <row r="101">
      <c r="A101" t="inlineStr">
        <is>
          <t>Виконавчий комітет Луцької міської ради</t>
        </is>
      </c>
      <c r="B101" s="5" t="n">
        <v>273600</v>
      </c>
    </row>
    <row r="102">
      <c r="A102" t="inlineStr">
        <is>
          <t>Виконавчий комітет Ковельської міської р</t>
        </is>
      </c>
      <c r="B102" s="5" t="n">
        <v>231198</v>
      </c>
    </row>
    <row r="103">
      <c r="A103" t="inlineStr">
        <is>
          <t>Військова частина А 0959</t>
        </is>
      </c>
      <c r="B103" s="5" t="n">
        <v>141000</v>
      </c>
    </row>
    <row r="104">
      <c r="A104" t="inlineStr">
        <is>
          <t>ВИРОБНИЧЕ УПРАВЛІННЯ КОМУНАЛЬНОГО ГОСПОД</t>
        </is>
      </c>
      <c r="B104" s="5" t="n">
        <v>55999.2</v>
      </c>
    </row>
    <row r="105">
      <c r="A105" t="inlineStr">
        <is>
          <t>ВІЙСЬКОВА ЧАСТИНА 1141 НАЦІОНАЛЬНОЇ ГВАР</t>
        </is>
      </c>
      <c r="B105" s="5" t="n">
        <v>49946.4</v>
      </c>
    </row>
    <row r="112">
      <c r="A112" s="2" t="inlineStr">
        <is>
          <t>Процедури</t>
        </is>
      </c>
    </row>
    <row r="113">
      <c r="A113" s="3" t="inlineStr">
        <is>
          <t>Категорія</t>
        </is>
      </c>
      <c r="B113" s="3" t="inlineStr">
        <is>
          <t>Угод, шт</t>
        </is>
      </c>
    </row>
    <row r="114">
      <c r="A114" t="inlineStr">
        <is>
          <t>Запит пропозицій</t>
        </is>
      </c>
      <c r="B114" s="5" t="n">
        <v>7</v>
      </c>
    </row>
    <row r="115">
      <c r="A115" t="inlineStr">
        <is>
          <t>Відкриті торги (нові)</t>
        </is>
      </c>
      <c r="B115" s="5" t="n">
        <v>1</v>
      </c>
    </row>
    <row r="116">
      <c r="A116" t="inlineStr">
        <is>
          <t>Допорогова</t>
        </is>
      </c>
      <c r="B116" s="5" t="n">
        <v>1</v>
      </c>
    </row>
    <row r="132">
      <c r="A132" s="8" t="inlineStr">
        <is>
          <t>Таблиці</t>
        </is>
      </c>
    </row>
    <row r="134">
      <c r="A134" s="2" t="inlineStr">
        <is>
          <t>ТМ</t>
        </is>
      </c>
    </row>
    <row r="135">
      <c r="A135" s="11" t="inlineStr">
        <is>
          <t>Торгова марка</t>
        </is>
      </c>
      <c r="B135" s="11" t="inlineStr">
        <is>
          <t>Позицій</t>
        </is>
      </c>
      <c r="C135" s="11" t="inlineStr">
        <is>
          <t>Частка</t>
        </is>
      </c>
      <c r="D135" s="11" t="inlineStr">
        <is>
          <t>Власна ТМ за довідником</t>
        </is>
      </c>
    </row>
    <row r="136">
      <c r="A136" t="inlineStr">
        <is>
          <t>Microsoft</t>
        </is>
      </c>
      <c r="B136" s="5" t="n">
        <v>4</v>
      </c>
      <c r="C136" s="12" t="n">
        <v>0.3636</v>
      </c>
      <c r="D136" t="inlineStr"/>
    </row>
    <row r="137">
      <c r="A137" t="inlineStr">
        <is>
          <t>Intel</t>
        </is>
      </c>
      <c r="B137" s="5" t="n">
        <v>3</v>
      </c>
      <c r="C137" s="12" t="n">
        <v>0.2727</v>
      </c>
      <c r="D137" t="inlineStr"/>
    </row>
    <row r="138">
      <c r="A138" t="inlineStr">
        <is>
          <t>AMD</t>
        </is>
      </c>
      <c r="B138" s="5" t="n">
        <v>3</v>
      </c>
      <c r="C138" s="12" t="n">
        <v>0.2727</v>
      </c>
      <c r="D138" t="inlineStr"/>
    </row>
    <row r="139">
      <c r="A139" t="inlineStr">
        <is>
          <t>HP</t>
        </is>
      </c>
      <c r="B139" s="5" t="n">
        <v>1</v>
      </c>
      <c r="C139" s="12" t="n">
        <v>0.09089999999999999</v>
      </c>
      <c r="D139" t="inlineStr"/>
    </row>
    <row r="141">
      <c r="A141" s="2" t="inlineStr">
        <is>
          <t>Товари</t>
        </is>
      </c>
    </row>
    <row r="142">
      <c r="A142" s="11" t="inlineStr">
        <is>
          <t>Товар</t>
        </is>
      </c>
      <c r="B142" s="11" t="inlineStr">
        <is>
          <t>Позицій</t>
        </is>
      </c>
    </row>
    <row r="143">
      <c r="A143" t="inlineStr">
        <is>
          <t>Ноутбук</t>
        </is>
      </c>
      <c r="B143" s="5" t="n">
        <v>14</v>
      </c>
    </row>
    <row r="144">
      <c r="A144" t="inlineStr">
        <is>
          <t>Багатофункціональний пристрій (БФП)</t>
        </is>
      </c>
      <c r="B144" s="5" t="n">
        <v>2</v>
      </c>
    </row>
    <row r="145">
      <c r="A145" t="inlineStr">
        <is>
          <t>Системний блок</t>
        </is>
      </c>
      <c r="B145" s="5" t="n">
        <v>1</v>
      </c>
    </row>
    <row r="146">
      <c r="A146" t="inlineStr">
        <is>
          <t>Персональний комп'ютер</t>
        </is>
      </c>
      <c r="B146" s="5" t="n">
        <v>1</v>
      </c>
    </row>
    <row r="148">
      <c r="A148" s="2" t="inlineStr">
        <is>
          <t>Документи</t>
        </is>
      </c>
    </row>
    <row r="149">
      <c r="A149" s="11" t="inlineStr">
        <is>
          <t>Тип документа</t>
        </is>
      </c>
      <c r="B149" s="11" t="inlineStr">
        <is>
          <t>Файлів</t>
        </is>
      </c>
    </row>
    <row r="150">
      <c r="A150" t="inlineStr">
        <is>
          <t>Підпис КЕП</t>
        </is>
      </c>
      <c r="B150" s="5" t="n">
        <v>32</v>
      </c>
    </row>
    <row r="151">
      <c r="A151" t="inlineStr">
        <is>
          <t>не класифіковано</t>
        </is>
      </c>
      <c r="B151" s="5" t="n">
        <v>12</v>
      </c>
    </row>
    <row r="152">
      <c r="A152" t="inlineStr">
        <is>
          <t>Гарантія та сервіс</t>
        </is>
      </c>
      <c r="B152" s="5" t="n">
        <v>9</v>
      </c>
    </row>
    <row r="153">
      <c r="A153" t="inlineStr">
        <is>
          <t>Установчі та реєстраційні</t>
        </is>
      </c>
      <c r="B153" s="5" t="n">
        <v>4</v>
      </c>
    </row>
    <row r="154">
      <c r="A154" t="inlineStr">
        <is>
          <t>Пропозиція учасника</t>
        </is>
      </c>
      <c r="B154" s="5" t="n">
        <v>3</v>
      </c>
    </row>
    <row r="155">
      <c r="A155" t="inlineStr">
        <is>
          <t>Лист виробника / авторизація</t>
        </is>
      </c>
      <c r="B155" s="5" t="n">
        <v>2</v>
      </c>
    </row>
    <row r="156">
      <c r="A156" t="inlineStr">
        <is>
          <t>Технічна специфікація</t>
        </is>
      </c>
      <c r="B156" s="5" t="n">
        <v>2</v>
      </c>
    </row>
    <row r="157">
      <c r="A157" t="inlineStr">
        <is>
          <t>Тендерна документація</t>
        </is>
      </c>
      <c r="B157" s="5" t="n">
        <v>1</v>
      </c>
    </row>
    <row r="158">
      <c r="A158" t="inlineStr">
        <is>
          <t>Досвід / аналогічні договори</t>
        </is>
      </c>
      <c r="B158" s="5" t="n">
        <v>1</v>
      </c>
    </row>
    <row r="159">
      <c r="A159" t="inlineStr">
        <is>
          <t>Сертифікат / декларація відповідності</t>
        </is>
      </c>
      <c r="B159" s="5" t="n">
        <v>1</v>
      </c>
    </row>
    <row r="161">
      <c r="A161" s="2" t="inlineStr">
        <is>
          <t>Зірвані перемоги</t>
        </is>
      </c>
    </row>
    <row r="162">
      <c r="A162" s="11" t="inlineStr">
        <is>
          <t>Закупівля</t>
        </is>
      </c>
      <c r="B162" s="11" t="inlineStr">
        <is>
          <t>Дата</t>
        </is>
      </c>
      <c r="C162" s="11" t="inlineStr">
        <is>
          <t>Замовник</t>
        </is>
      </c>
      <c r="D162" s="11" t="inlineStr">
        <is>
          <t>Сума, грн</t>
        </is>
      </c>
      <c r="E162" s="11" t="inlineStr">
        <is>
          <t>Причина</t>
        </is>
      </c>
      <c r="F162" s="11" t="inlineStr">
        <is>
          <t>Формулювання замовника</t>
        </is>
      </c>
    </row>
    <row r="163">
      <c r="A163" s="4" t="inlineStr">
        <is>
          <t>UA-2026-06-19-011119-a</t>
        </is>
      </c>
      <c r="B163" t="inlineStr">
        <is>
          <t>2026-06-30</t>
        </is>
      </c>
      <c r="C163" t="inlineStr">
        <is>
          <t>ВІДДІЛ ОСВІТИ КОЛКІВСЬКОЇ СЕЛИЩНОЇ РАДИ ВОЛИНСЬКОЇ ОБЛАСТІ</t>
        </is>
      </c>
      <c r="D163" s="5" t="n">
        <v>122400</v>
      </c>
      <c r="E163" t="inlineStr">
        <is>
          <t>Не підписав договір у строк</t>
        </is>
      </c>
      <c r="F163" t="inlineStr">
        <is>
          <t>не підписав договір, на умовах, визначених замовником у запиті пропозицій постачальників шляхом заповнення електронних форм із окремими полями та у проекті договору, що є складовою частиною запиту пропозицій постачальників у строк, визначений пунктом 66 цього Порядку</t>
        </is>
      </c>
    </row>
    <row r="165">
      <c r="A165" s="2" t="inlineStr">
        <is>
          <t>Угоди</t>
        </is>
      </c>
    </row>
    <row r="166">
      <c r="A166" s="11" t="inlineStr">
        <is>
          <t>Закупівля</t>
        </is>
      </c>
      <c r="B166" s="11" t="inlineStr">
        <is>
          <t>Дата</t>
        </is>
      </c>
      <c r="C166" s="11" t="inlineStr">
        <is>
          <t>Замовник</t>
        </is>
      </c>
      <c r="D166" s="11" t="inlineStr">
        <is>
          <t>Регіон</t>
        </is>
      </c>
      <c r="E166" s="11" t="inlineStr">
        <is>
          <t>Сума, грн</t>
        </is>
      </c>
      <c r="F166" s="11" t="inlineStr">
        <is>
          <t>Очікувана, грн</t>
        </is>
      </c>
      <c r="G166" s="11" t="inlineStr">
        <is>
          <t>Процедура</t>
        </is>
      </c>
      <c r="H166" s="11" t="inlineStr">
        <is>
          <t>Галузь</t>
        </is>
      </c>
      <c r="I166" s="11" t="inlineStr">
        <is>
          <t>Джерело</t>
        </is>
      </c>
    </row>
    <row r="167">
      <c r="A167" s="4" t="inlineStr">
        <is>
          <t>UA-2026-08-18-013057-a</t>
        </is>
      </c>
      <c r="B167" t="inlineStr">
        <is>
          <t>2026-08-25</t>
        </is>
      </c>
      <c r="C167" t="inlineStr">
        <is>
          <t>Волинський обласний ліцей з посиленою військово-фізичною підготовкою імені Героїв Небесної Сотні</t>
        </is>
      </c>
      <c r="D167" t="inlineStr">
        <is>
          <t>Волинська область</t>
        </is>
      </c>
      <c r="E167" s="13" t="n">
        <v>1592400</v>
      </c>
      <c r="F167" s="13" t="n">
        <v>1748000</v>
      </c>
      <c r="G167" t="inlineStr">
        <is>
          <t>Запит пропозицій</t>
        </is>
      </c>
      <c r="H167" t="inlineStr">
        <is>
          <t>Машини для обробки даних (апаратна частина)</t>
        </is>
      </c>
      <c r="I167" t="inlineStr">
        <is>
          <t>рішення про переможця</t>
        </is>
      </c>
    </row>
    <row r="168">
      <c r="A168" s="4" t="inlineStr">
        <is>
          <t>UA-2026-07-09-009318-a</t>
        </is>
      </c>
      <c r="B168" t="inlineStr">
        <is>
          <t>2026-07-17</t>
        </is>
      </c>
      <c r="C168" t="inlineStr">
        <is>
          <t>Головне управління Національної поліції у Волинській області</t>
        </is>
      </c>
      <c r="D168" t="inlineStr">
        <is>
          <t>Волинська область</t>
        </is>
      </c>
      <c r="E168" s="13" t="n">
        <v>436800</v>
      </c>
      <c r="F168" s="13" t="n">
        <v>411666.67</v>
      </c>
      <c r="G168" t="inlineStr">
        <is>
          <t>Запит пропозицій</t>
        </is>
      </c>
      <c r="H168" t="inlineStr">
        <is>
          <t>Машини для обробки даних (апаратна частина)</t>
        </is>
      </c>
      <c r="I168" t="inlineStr">
        <is>
          <t>договір</t>
        </is>
      </c>
    </row>
    <row r="169">
      <c r="A169" s="4" t="inlineStr">
        <is>
          <t>UA-2026-05-18-013399-a</t>
        </is>
      </c>
      <c r="B169" t="inlineStr">
        <is>
          <t>2026-05-26</t>
        </is>
      </c>
      <c r="C169" t="inlineStr">
        <is>
          <t>Головне управління Національної поліції у Волинській області</t>
        </is>
      </c>
      <c r="D169" t="inlineStr">
        <is>
          <t>Волинська область</t>
        </is>
      </c>
      <c r="E169" s="13" t="n">
        <v>414388.8</v>
      </c>
      <c r="F169" s="13" t="n">
        <v>499128</v>
      </c>
      <c r="G169" t="inlineStr">
        <is>
          <t>Запит пропозицій</t>
        </is>
      </c>
      <c r="H169" t="inlineStr">
        <is>
          <t>Машини для обробки даних (апаратна частина)</t>
        </is>
      </c>
      <c r="I169" t="inlineStr">
        <is>
          <t>договір</t>
        </is>
      </c>
    </row>
    <row r="170">
      <c r="A170" s="4" t="inlineStr">
        <is>
          <t>UA-2026-04-22-001077-a</t>
        </is>
      </c>
      <c r="B170" t="inlineStr">
        <is>
          <t>2026-04-30</t>
        </is>
      </c>
      <c r="C170" t="inlineStr">
        <is>
          <t>КП «ВОЛИНСЬКЕ ОБЛАСНЕ ТЕРИТОРІАЛЬНЕ МЕДИЧНЕ ОБ’ЄДНАНННЯ ЗАХИСТУ МАТЕРИНСТВА І ДИТИНСТВА» ВОЛИНСЬКОЇ ОБЛАСНОЇ РАДИ</t>
        </is>
      </c>
      <c r="D170" t="inlineStr">
        <is>
          <t>Волинська область</t>
        </is>
      </c>
      <c r="E170" s="13" t="n">
        <v>402480</v>
      </c>
      <c r="F170" s="13" t="n">
        <v>443383.25</v>
      </c>
      <c r="G170" t="inlineStr">
        <is>
          <t>Запит пропозицій</t>
        </is>
      </c>
      <c r="H170" t="inlineStr">
        <is>
          <t>Комп’ютерне обладнання</t>
        </is>
      </c>
      <c r="I170" t="inlineStr">
        <is>
          <t>договір</t>
        </is>
      </c>
    </row>
    <row r="171">
      <c r="A171" s="4" t="inlineStr">
        <is>
          <t>UA-2026-07-17-008924-a</t>
        </is>
      </c>
      <c r="B171" t="inlineStr">
        <is>
          <t>2026-07-30</t>
        </is>
      </c>
      <c r="C171" t="inlineStr">
        <is>
          <t>Виконавчий комітет Луцької міської ради</t>
        </is>
      </c>
      <c r="D171" t="inlineStr">
        <is>
          <t>Волинська область</t>
        </is>
      </c>
      <c r="E171" s="13" t="n">
        <v>273600</v>
      </c>
      <c r="F171" s="13" t="n">
        <v>233333.33</v>
      </c>
      <c r="G171" t="inlineStr">
        <is>
          <t>Запит пропозицій</t>
        </is>
      </c>
      <c r="H171" t="inlineStr">
        <is>
          <t>Машини для обробки даних (апаратна частина)</t>
        </is>
      </c>
      <c r="I171" t="inlineStr">
        <is>
          <t>договір</t>
        </is>
      </c>
    </row>
    <row r="172">
      <c r="A172" s="4" t="inlineStr">
        <is>
          <t>UA-2026-05-28-011866-a</t>
        </is>
      </c>
      <c r="B172" t="inlineStr">
        <is>
          <t>2026-07-03</t>
        </is>
      </c>
      <c r="C172" t="inlineStr">
        <is>
          <t>Виконавчий комітет Ковельської міської ради</t>
        </is>
      </c>
      <c r="D172" t="inlineStr">
        <is>
          <t>Волинська область</t>
        </is>
      </c>
      <c r="E172" s="13" t="n">
        <v>231198</v>
      </c>
      <c r="F172" s="13" t="n">
        <v>339000</v>
      </c>
      <c r="G172" t="inlineStr">
        <is>
          <t>Відкриті торги (нові)</t>
        </is>
      </c>
      <c r="H172" t="inlineStr">
        <is>
          <t>Машини для обробки даних (апаратна частина)</t>
        </is>
      </c>
      <c r="I172" t="inlineStr">
        <is>
          <t>договір</t>
        </is>
      </c>
    </row>
    <row r="173">
      <c r="A173" s="4" t="inlineStr">
        <is>
          <t>UA-2026-04-10-006512-a</t>
        </is>
      </c>
      <c r="B173" t="inlineStr">
        <is>
          <t>2026-05-18</t>
        </is>
      </c>
      <c r="C173" t="inlineStr">
        <is>
          <t>Військова частина А 0959</t>
        </is>
      </c>
      <c r="D173" t="inlineStr">
        <is>
          <t>Волинська область</t>
        </is>
      </c>
      <c r="E173" s="13" t="n">
        <v>141000</v>
      </c>
      <c r="F173" s="13" t="n">
        <v>150000</v>
      </c>
      <c r="G173" t="inlineStr">
        <is>
          <t>Допорогова</t>
        </is>
      </c>
      <c r="H173" t="inlineStr">
        <is>
          <t>Машини для обробки даних (апаратна частина)</t>
        </is>
      </c>
      <c r="I173" t="inlineStr">
        <is>
          <t>договір</t>
        </is>
      </c>
    </row>
    <row r="174">
      <c r="A174" s="4" t="inlineStr">
        <is>
          <t>UA-2026-04-10-005358-a</t>
        </is>
      </c>
      <c r="B174" t="inlineStr">
        <is>
          <t>2026-04-20</t>
        </is>
      </c>
      <c r="C174" t="inlineStr">
        <is>
          <t>ВИРОБНИЧЕ УПРАВЛІННЯ КОМУНАЛЬНОГО ГОСПОДАРСТВА НОВОВОЛИНСКОЇ МІСЬКОЇ РАДИ</t>
        </is>
      </c>
      <c r="D174" t="inlineStr">
        <is>
          <t>Волинська область</t>
        </is>
      </c>
      <c r="E174" s="13" t="n">
        <v>55999.2</v>
      </c>
      <c r="F174" s="13" t="n">
        <v>60000</v>
      </c>
      <c r="G174" t="inlineStr">
        <is>
          <t>Запит пропозицій</t>
        </is>
      </c>
      <c r="H174" t="inlineStr">
        <is>
          <t>Машини для обробки даних (апаратна частина)</t>
        </is>
      </c>
      <c r="I174" t="inlineStr">
        <is>
          <t>договір</t>
        </is>
      </c>
    </row>
    <row r="175">
      <c r="A175" s="4" t="inlineStr">
        <is>
          <t>UA-2026-03-30-001024-a</t>
        </is>
      </c>
      <c r="B175" t="inlineStr">
        <is>
          <t>2026-04-10</t>
        </is>
      </c>
      <c r="C175" t="inlineStr">
        <is>
          <t>ВІЙСЬКОВА ЧАСТИНА 1141 НАЦІОНАЛЬНОЇ ГВАРДІЇ УКРАЇНИ</t>
        </is>
      </c>
      <c r="D175" t="inlineStr">
        <is>
          <t>Волинська область</t>
        </is>
      </c>
      <c r="E175" s="13" t="n">
        <v>49946.4</v>
      </c>
      <c r="F175" s="13" t="n">
        <v>56798</v>
      </c>
      <c r="G175" t="inlineStr">
        <is>
          <t>Запит пропозицій</t>
        </is>
      </c>
      <c r="H175" t="inlineStr">
        <is>
          <t>Машини для обробки даних (апаратна частина)</t>
        </is>
      </c>
      <c r="I175" t="inlineStr">
        <is>
          <t>договір</t>
        </is>
      </c>
    </row>
    <row r="177">
      <c r="A177" s="2" t="inlineStr">
        <is>
          <t>Наші зустрічі</t>
        </is>
      </c>
    </row>
    <row r="178">
      <c r="A178" s="11" t="inlineStr">
        <is>
          <t>Закупівля</t>
        </is>
      </c>
      <c r="B178" s="11" t="inlineStr">
        <is>
          <t>Дата</t>
        </is>
      </c>
      <c r="C178" s="11" t="inlineStr">
        <is>
          <t>Замовник</t>
        </is>
      </c>
      <c r="D178" s="11" t="inlineStr">
        <is>
          <t>Предмет</t>
        </is>
      </c>
      <c r="E178" s="11" t="inlineStr">
        <is>
          <t>Сума переможця, грн</t>
        </is>
      </c>
      <c r="F178" s="11" t="inlineStr">
        <is>
          <t>Наша пропозиція, грн</t>
        </is>
      </c>
      <c r="G178" s="11" t="inlineStr">
        <is>
          <t>Розрив</t>
        </is>
      </c>
      <c r="H178" s="11" t="inlineStr">
        <is>
          <t>Що сталося</t>
        </is>
      </c>
    </row>
    <row r="179">
      <c r="A179" s="4" t="inlineStr">
        <is>
          <t>UA-2026-08-18-013057-a</t>
        </is>
      </c>
      <c r="B179" t="inlineStr">
        <is>
          <t>2026-08-18</t>
        </is>
      </c>
      <c r="C179" t="inlineStr">
        <is>
          <t>Волинський обласний ліцей з посиленою військово-фізичною підготовкою імені Героїв Небесної Сотні</t>
        </is>
      </c>
      <c r="D179" t="inlineStr">
        <is>
          <t>Машини для обробки даних (апаратна частина)</t>
        </is>
      </c>
      <c r="E179" s="13" t="n">
        <v>1592400</v>
      </c>
      <c r="H179" t="inlineStr">
        <is>
          <t>ми не подавалися</t>
        </is>
      </c>
    </row>
    <row r="180">
      <c r="A180" s="4" t="inlineStr">
        <is>
          <t>UA-2026-05-18-013399-a</t>
        </is>
      </c>
      <c r="B180" t="inlineStr">
        <is>
          <t>2026-05-18</t>
        </is>
      </c>
      <c r="C180" t="inlineStr">
        <is>
          <t>Головне управління Національної поліції у Волинській області</t>
        </is>
      </c>
      <c r="D180" t="inlineStr">
        <is>
          <t>Ноутбуки згідно коду ДК 021:2015: 30210000-4 – Машини для обробки даних (апаратн</t>
        </is>
      </c>
      <c r="E180" s="13" t="n">
        <v>414388.8</v>
      </c>
      <c r="H180" t="inlineStr">
        <is>
          <t>ми не подавалися</t>
        </is>
      </c>
    </row>
    <row r="181">
      <c r="A181" s="4" t="inlineStr">
        <is>
          <t>UA-2026-04-22-001077-a</t>
        </is>
      </c>
      <c r="B181" t="inlineStr">
        <is>
          <t>2026-04-22</t>
        </is>
      </c>
      <c r="C181" t="inlineStr">
        <is>
          <t>КП «ВОЛИНСЬКЕ ОБЛАСНЕ ТЕРИТОРІАЛЬНЕ МЕДИЧНЕ ОБ’ЄДНАНННЯ ЗАХИСТУ МАТЕРИНСТВА І ДИТИНСТВА» ВОЛИНСЬКОЇ ОБЛАСНОЇ РАДИ</t>
        </is>
      </c>
      <c r="D181" t="inlineStr">
        <is>
          <t>БФП Canon i-SENSYS MF461dw з Wi-Fi (5951C020).</t>
        </is>
      </c>
      <c r="E181" s="13" t="n">
        <v>402480</v>
      </c>
      <c r="H181" t="inlineStr">
        <is>
          <t>ми не подавалися</t>
        </is>
      </c>
    </row>
    <row r="182">
      <c r="A182" s="4" t="inlineStr">
        <is>
          <t>UA-2026-07-09-009318-a</t>
        </is>
      </c>
      <c r="B182" t="inlineStr">
        <is>
          <t>2026-07-09</t>
        </is>
      </c>
      <c r="C182" t="inlineStr">
        <is>
          <t>Головне управління Національної поліції у Волинській області</t>
        </is>
      </c>
      <c r="D182" t="inlineStr">
        <is>
          <t>Ноутбуки згідно коду ДК 021:2015: 30210000-4 – Машини для обробки даних (апаратн</t>
        </is>
      </c>
      <c r="E182" s="13" t="n">
        <v>364000</v>
      </c>
      <c r="H182" t="inlineStr">
        <is>
          <t>ми не подавалися</t>
        </is>
      </c>
    </row>
    <row r="183">
      <c r="A183" s="4" t="inlineStr">
        <is>
          <t>UA-2026-05-28-011866-a</t>
        </is>
      </c>
      <c r="B183" t="inlineStr">
        <is>
          <t>2026-05-28</t>
        </is>
      </c>
      <c r="C183" t="inlineStr">
        <is>
          <t>Виконавчий комітет Ковельської міської ради</t>
        </is>
      </c>
      <c r="D183" t="inlineStr">
        <is>
          <t>Системний блок до персонального комп'ютера</t>
        </is>
      </c>
      <c r="E183" s="13" t="n">
        <v>231198</v>
      </c>
      <c r="H183" t="inlineStr">
        <is>
          <t>ми не подавалися</t>
        </is>
      </c>
    </row>
    <row r="184">
      <c r="A184" s="4" t="inlineStr">
        <is>
          <t>UA-2026-07-17-008924-a</t>
        </is>
      </c>
      <c r="B184" t="inlineStr">
        <is>
          <t>2026-07-17</t>
        </is>
      </c>
      <c r="C184" t="inlineStr">
        <is>
          <t>Виконавчий комітет Луцької міської ради</t>
        </is>
      </c>
      <c r="D184" t="inlineStr">
        <is>
          <t>Ноутбук Lenovo V15 G4 IRU Business Black (83A100X1RA)</t>
        </is>
      </c>
      <c r="E184" s="13" t="n">
        <v>228000</v>
      </c>
      <c r="H184" t="inlineStr">
        <is>
          <t>ми не подавалися</t>
        </is>
      </c>
    </row>
    <row r="185">
      <c r="A185" s="4" t="inlineStr">
        <is>
          <t>UA-2026-04-10-006512-a</t>
        </is>
      </c>
      <c r="B185" t="inlineStr">
        <is>
          <t>2026-04-10</t>
        </is>
      </c>
      <c r="C185" t="inlineStr">
        <is>
          <t>Військова частина А 0959</t>
        </is>
      </c>
      <c r="D185" t="inlineStr">
        <is>
          <t>Ноутбуки</t>
        </is>
      </c>
      <c r="E185" s="13" t="n">
        <v>141000</v>
      </c>
      <c r="H185" t="inlineStr">
        <is>
          <t>ми не подавалися</t>
        </is>
      </c>
    </row>
    <row r="186">
      <c r="A186" s="4" t="inlineStr">
        <is>
          <t>UA-2026-04-10-005358-a</t>
        </is>
      </c>
      <c r="B186" t="inlineStr">
        <is>
          <t>2026-04-10</t>
        </is>
      </c>
      <c r="C186" t="inlineStr">
        <is>
          <t>ВИРОБНИЧЕ УПРАВЛІННЯ КОМУНАЛЬНОГО ГОСПОДАРСТВА НОВОВОЛИНСКОЇ МІСЬКОЇ РАДИ</t>
        </is>
      </c>
      <c r="D186" t="inlineStr">
        <is>
          <t>Ноутбуки. Код ДК 021:2015:30210000-4 - Машини для обробки даних (апаратна частин</t>
        </is>
      </c>
      <c r="E186" s="13" t="n">
        <v>55999.2</v>
      </c>
      <c r="H186" t="inlineStr">
        <is>
          <t>ми не подавалися</t>
        </is>
      </c>
    </row>
    <row r="187">
      <c r="A187" s="4" t="inlineStr">
        <is>
          <t>UA-2026-03-30-001024-a</t>
        </is>
      </c>
      <c r="B187" t="inlineStr">
        <is>
          <t>2026-03-30</t>
        </is>
      </c>
      <c r="C187" t="inlineStr">
        <is>
          <t>ВІЙСЬКОВА ЧАСТИНА 1141 НАЦІОНАЛЬНОЇ ГВАРДІЇ УКРАЇНИ</t>
        </is>
      </c>
      <c r="D187" t="inlineStr">
        <is>
          <t>Ноутбуки Lenovo V15 G5 IRL</t>
        </is>
      </c>
      <c r="E187" s="13" t="n">
        <v>49946.4</v>
      </c>
      <c r="H187" t="inlineStr">
        <is>
          <t>ми не подавалися</t>
        </is>
      </c>
    </row>
    <row r="189">
      <c r="A189" s="8" t="inlineStr">
        <is>
          <t>Сильні сторони</t>
        </is>
      </c>
    </row>
    <row r="190">
      <c r="A190" t="inlineStr">
        <is>
          <t>+  авторизація виробника (2 листів)</t>
        </is>
      </c>
    </row>
    <row r="191">
      <c r="A191" t="inlineStr">
        <is>
          <t>+  висока результативність на торгах (52,9%)</t>
        </is>
      </c>
    </row>
    <row r="192">
      <c r="A192" t="inlineStr">
        <is>
          <t>+  зростання (354% у другій половині періоду)</t>
        </is>
      </c>
    </row>
    <row r="193">
      <c r="A193" t="inlineStr">
        <is>
          <t>+  уміє вигравати у відкритих торгах</t>
        </is>
      </c>
    </row>
    <row r="194">
      <c r="A194" t="inlineStr">
        <is>
          <t>+  працює з великими контрактами</t>
        </is>
      </c>
    </row>
  </sheetData>
  <hyperlinks>
    <hyperlink xmlns:r="http://schemas.openxmlformats.org/officeDocument/2006/relationships" ref="A163" r:id="rId1"/>
    <hyperlink xmlns:r="http://schemas.openxmlformats.org/officeDocument/2006/relationships" ref="A167" r:id="rId2"/>
    <hyperlink xmlns:r="http://schemas.openxmlformats.org/officeDocument/2006/relationships" ref="A168" r:id="rId3"/>
    <hyperlink xmlns:r="http://schemas.openxmlformats.org/officeDocument/2006/relationships" ref="A169" r:id="rId4"/>
    <hyperlink xmlns:r="http://schemas.openxmlformats.org/officeDocument/2006/relationships" ref="A170" r:id="rId5"/>
    <hyperlink xmlns:r="http://schemas.openxmlformats.org/officeDocument/2006/relationships" ref="A171" r:id="rId6"/>
    <hyperlink xmlns:r="http://schemas.openxmlformats.org/officeDocument/2006/relationships" ref="A172" r:id="rId7"/>
    <hyperlink xmlns:r="http://schemas.openxmlformats.org/officeDocument/2006/relationships" ref="A173" r:id="rId8"/>
    <hyperlink xmlns:r="http://schemas.openxmlformats.org/officeDocument/2006/relationships" ref="A174" r:id="rId9"/>
    <hyperlink xmlns:r="http://schemas.openxmlformats.org/officeDocument/2006/relationships" ref="A175" r:id="rId10"/>
    <hyperlink xmlns:r="http://schemas.openxmlformats.org/officeDocument/2006/relationships" ref="A179" r:id="rId11"/>
    <hyperlink xmlns:r="http://schemas.openxmlformats.org/officeDocument/2006/relationships" ref="A180" r:id="rId12"/>
    <hyperlink xmlns:r="http://schemas.openxmlformats.org/officeDocument/2006/relationships" ref="A181" r:id="rId13"/>
    <hyperlink xmlns:r="http://schemas.openxmlformats.org/officeDocument/2006/relationships" ref="A182" r:id="rId14"/>
    <hyperlink xmlns:r="http://schemas.openxmlformats.org/officeDocument/2006/relationships" ref="A183" r:id="rId15"/>
    <hyperlink xmlns:r="http://schemas.openxmlformats.org/officeDocument/2006/relationships" ref="A184" r:id="rId16"/>
    <hyperlink xmlns:r="http://schemas.openxmlformats.org/officeDocument/2006/relationships" ref="A185" r:id="rId17"/>
    <hyperlink xmlns:r="http://schemas.openxmlformats.org/officeDocument/2006/relationships" ref="A186" r:id="rId18"/>
    <hyperlink xmlns:r="http://schemas.openxmlformats.org/officeDocument/2006/relationships" ref="A187" r:id="rId19"/>
  </hyperlinks>
  <pageMargins left="0.75" right="0.75" top="1" bottom="1" header="0.5" footer="0.5"/>
  <drawing xmlns:r="http://schemas.openxmlformats.org/officeDocument/2006/relationships" r:id="rId20"/>
  <tableParts count="6">
    <tablePart xmlns:r="http://schemas.openxmlformats.org/officeDocument/2006/relationships" r:id="rId21"/>
    <tablePart xmlns:r="http://schemas.openxmlformats.org/officeDocument/2006/relationships" r:id="rId22"/>
    <tablePart xmlns:r="http://schemas.openxmlformats.org/officeDocument/2006/relationships" r:id="rId23"/>
    <tablePart xmlns:r="http://schemas.openxmlformats.org/officeDocument/2006/relationships" r:id="rId24"/>
    <tablePart xmlns:r="http://schemas.openxmlformats.org/officeDocument/2006/relationships" r:id="rId25"/>
    <tablePart xmlns:r="http://schemas.openxmlformats.org/officeDocument/2006/relationships" r:id="rId26"/>
  </tableParts>
</worksheet>
</file>

<file path=xl/worksheets/sheet18.xml><?xml version="1.0" encoding="utf-8"?>
<worksheet xmlns="http://schemas.openxmlformats.org/spreadsheetml/2006/main">
  <sheetPr>
    <outlinePr summaryBelow="1" summaryRight="1"/>
    <pageSetUpPr/>
  </sheetPr>
  <dimension ref="A1:I213"/>
  <sheetViews>
    <sheetView showGridLines="0" workbookViewId="0">
      <selection activeCell="A1" sqref="A1"/>
    </sheetView>
  </sheetViews>
  <sheetFormatPr baseColWidth="8" defaultRowHeight="15"/>
  <cols>
    <col width="42" customWidth="1" min="1" max="1"/>
    <col width="29" customWidth="1" min="2" max="2"/>
    <col width="60" customWidth="1" min="3" max="3"/>
    <col width="60" customWidth="1" min="4" max="4"/>
    <col width="38" customWidth="1" min="5" max="5"/>
    <col width="60" customWidth="1" min="6" max="6"/>
    <col width="23" customWidth="1" min="7" max="7"/>
    <col width="45" customWidth="1" min="8" max="8"/>
    <col width="10" customWidth="1" min="9" max="9"/>
  </cols>
  <sheetData>
    <row r="1">
      <c r="A1" s="1" t="inlineStr">
        <is>
          <t>ТОВ «ПБГ19»</t>
        </is>
      </c>
    </row>
    <row r="2">
      <c r="A2" s="6" t="inlineStr">
        <is>
          <t>ЄДРПОУ 45701274  ·  конкурент  ·  місце №5</t>
        </is>
      </c>
    </row>
    <row r="4">
      <c r="A4" s="7" t="inlineStr">
        <is>
          <t>ТОВ «ПБГ19» (45701274)</t>
        </is>
      </c>
    </row>
    <row r="6">
      <c r="A6" s="8" t="inlineStr">
        <is>
          <t>Показники</t>
        </is>
      </c>
    </row>
    <row r="7">
      <c r="A7" s="9" t="inlineStr">
        <is>
          <t>Місце на ринку</t>
        </is>
      </c>
      <c r="B7" s="10" t="inlineStr">
        <is>
          <t>№5</t>
        </is>
      </c>
    </row>
    <row r="8">
      <c r="A8" s="9" t="inlineStr">
        <is>
          <t>Сума угод</t>
        </is>
      </c>
      <c r="B8" s="10" t="inlineStr">
        <is>
          <t>3,4 млн грн</t>
        </is>
      </c>
    </row>
    <row r="9">
      <c r="A9" s="9" t="inlineStr">
        <is>
          <t>Частка ринку</t>
        </is>
      </c>
      <c r="B9" s="10" t="inlineStr">
        <is>
          <t>2,9%</t>
        </is>
      </c>
    </row>
    <row r="10">
      <c r="A10" s="9" t="inlineStr">
        <is>
          <t>Угод</t>
        </is>
      </c>
      <c r="B10" s="10" t="inlineStr">
        <is>
          <t>5</t>
        </is>
      </c>
    </row>
    <row r="11">
      <c r="A11" s="9" t="inlineStr">
        <is>
          <t>Закупівель виграно</t>
        </is>
      </c>
      <c r="B11" s="10" t="inlineStr">
        <is>
          <t>5</t>
        </is>
      </c>
    </row>
    <row r="12">
      <c r="A12" s="9" t="inlineStr">
        <is>
          <t>Подань (де видно)</t>
        </is>
      </c>
      <c r="B12" s="10" t="inlineStr">
        <is>
          <t>28</t>
        </is>
      </c>
    </row>
    <row r="13">
      <c r="A13" s="9" t="inlineStr">
        <is>
          <t>Виграно з поданих</t>
        </is>
      </c>
      <c r="B13" s="10" t="inlineStr">
        <is>
          <t>4 з 28</t>
        </is>
      </c>
    </row>
    <row r="14">
      <c r="A14" s="9" t="inlineStr">
        <is>
          <t>Результативність</t>
        </is>
      </c>
      <c r="B14" s="10" t="inlineStr">
        <is>
          <t>14,3%</t>
        </is>
      </c>
    </row>
    <row r="15">
      <c r="A15" s="9" t="inlineStr">
        <is>
          <t>Середня угода</t>
        </is>
      </c>
      <c r="B15" s="10" t="inlineStr">
        <is>
          <t>676,7 тис. грн</t>
        </is>
      </c>
    </row>
    <row r="16">
      <c r="A16" s="9" t="inlineStr">
        <is>
          <t>Медіанна угода</t>
        </is>
      </c>
      <c r="B16" s="10" t="inlineStr">
        <is>
          <t>444,0 тис. грн</t>
        </is>
      </c>
    </row>
    <row r="17">
      <c r="A17" s="9" t="inlineStr">
        <is>
          <t>Замовників</t>
        </is>
      </c>
      <c r="B17" s="10" t="inlineStr">
        <is>
          <t>5</t>
        </is>
      </c>
    </row>
    <row r="18">
      <c r="A18" s="9" t="inlineStr">
        <is>
          <t>Областей</t>
        </is>
      </c>
      <c r="B18" s="10" t="inlineStr">
        <is>
          <t>1</t>
        </is>
      </c>
    </row>
    <row r="19">
      <c r="A19" s="9" t="inlineStr">
        <is>
          <t>Основна ТМ</t>
        </is>
      </c>
      <c r="B19" s="10" t="inlineStr">
        <is>
          <t>Dell</t>
        </is>
      </c>
    </row>
    <row r="20">
      <c r="A20" s="9" t="inlineStr">
        <is>
          <t>Основний товар</t>
        </is>
      </c>
      <c r="B20" s="10" t="inlineStr">
        <is>
          <t>Ноутбук</t>
        </is>
      </c>
    </row>
    <row r="21">
      <c r="A21" s="9" t="inlineStr">
        <is>
          <t>Дисконт (медіана)</t>
        </is>
      </c>
      <c r="B21" s="10" t="inlineStr">
        <is>
          <t>4,9%</t>
        </is>
      </c>
    </row>
    <row r="22">
      <c r="A22" s="9" t="inlineStr">
        <is>
          <t>Повторні замовники</t>
        </is>
      </c>
      <c r="B22" s="10" t="inlineStr">
        <is>
          <t>0,0%</t>
        </is>
      </c>
    </row>
    <row r="23">
      <c r="A23" s="9" t="inlineStr">
        <is>
          <t>Активність</t>
        </is>
      </c>
      <c r="B23" s="10" t="inlineStr">
        <is>
          <t>2025-09-16 — 2025-12-19</t>
        </is>
      </c>
    </row>
    <row r="24">
      <c r="A24" s="9" t="inlineStr">
        <is>
          <t>Зірвано перемог</t>
        </is>
      </c>
      <c r="B24" s="10" t="inlineStr">
        <is>
          <t>15 на 3,0 млн грн</t>
        </is>
      </c>
    </row>
    <row r="25">
      <c r="A25" s="9" t="inlineStr">
        <is>
          <t>Причина зривів</t>
        </is>
      </c>
      <c r="B25" s="10" t="inlineStr">
        <is>
          <t>Не підписав договір у строк</t>
        </is>
      </c>
    </row>
    <row r="27">
      <c r="A27" s="8" t="inlineStr">
        <is>
          <t>Висновки</t>
        </is>
      </c>
    </row>
    <row r="28">
      <c r="A28" t="inlineStr">
        <is>
          <t>•  5-е місце на ринку: 3,4 млн грн (2,9% обороту)</t>
        </is>
      </c>
    </row>
    <row r="29">
      <c r="A29" t="inlineStr">
        <is>
          <t>•  Основний товар: ноутбук</t>
        </is>
      </c>
    </row>
    <row r="30">
      <c r="A30" t="inlineStr">
        <is>
          <t>•  ТМ Dell у 29,4% позицій</t>
        </is>
      </c>
    </row>
    <row r="31">
      <c r="A31" t="inlineStr">
        <is>
          <t>•  Портфель із 7 ТМ</t>
        </is>
      </c>
    </row>
    <row r="32">
      <c r="A32" t="inlineStr">
        <is>
          <t>•  Грає у відкритих процедурах: лише 20,0% угод без торгів</t>
        </is>
      </c>
    </row>
    <row r="33">
      <c r="A33" t="inlineStr">
        <is>
          <t>•  Тримає ціну: дисконт 4,9% проти 8,3% по ринку</t>
        </is>
      </c>
    </row>
    <row r="34">
      <c r="A34" t="inlineStr">
        <is>
          <t>•  Географічно сфокусований: Волинська область (100,0% угод)</t>
        </is>
      </c>
    </row>
    <row r="35">
      <c r="A35" t="inlineStr">
        <is>
          <t>•  Результативність на торгах: 14,3% (4 з 28)</t>
        </is>
      </c>
    </row>
    <row r="36">
      <c r="A36" t="inlineStr">
        <is>
          <t>•  Динаміка: зростає (43% у другій половині періоду)</t>
        </is>
      </c>
    </row>
    <row r="37">
      <c r="A37" t="inlineStr">
        <is>
          <t>•  У поданих файлах — сертифікатів: 16, авторизаційних листів: 36</t>
        </is>
      </c>
    </row>
    <row r="38">
      <c r="A38" t="inlineStr">
        <is>
          <t>•  Зривається 75,0% виграшів: 15 з 20 на 3,0 млн грн, найчастіше — не підписав договір у строк</t>
        </is>
      </c>
    </row>
    <row r="40">
      <c r="A40" s="8" t="inlineStr">
        <is>
          <t>Графіки</t>
        </is>
      </c>
    </row>
    <row r="42">
      <c r="A42" s="2" t="inlineStr">
        <is>
          <t>Динаміка по місяцях</t>
        </is>
      </c>
    </row>
    <row r="43">
      <c r="A43" s="3" t="inlineStr">
        <is>
          <t>Період</t>
        </is>
      </c>
      <c r="B43" s="3" t="inlineStr">
        <is>
          <t>Сума угод, грн</t>
        </is>
      </c>
    </row>
    <row r="44">
      <c r="A44" t="inlineStr">
        <is>
          <t>2025-09</t>
        </is>
      </c>
      <c r="B44" s="5" t="n">
        <v>444000</v>
      </c>
    </row>
    <row r="45">
      <c r="A45" t="inlineStr">
        <is>
          <t>2025-10</t>
        </is>
      </c>
      <c r="B45" s="5" t="n">
        <v>948391.2</v>
      </c>
    </row>
    <row r="46">
      <c r="A46" t="inlineStr">
        <is>
          <t>2025-11</t>
        </is>
      </c>
      <c r="B46" s="5" t="n">
        <v>381174</v>
      </c>
    </row>
    <row r="47">
      <c r="A47" t="inlineStr">
        <is>
          <t>2025-12</t>
        </is>
      </c>
      <c r="B47" s="5" t="n">
        <v>1610000</v>
      </c>
    </row>
    <row r="62">
      <c r="A62" s="2" t="inlineStr">
        <is>
          <t>Торгові марки у позиціях</t>
        </is>
      </c>
    </row>
    <row r="63">
      <c r="A63" s="3" t="inlineStr">
        <is>
          <t>Категорія</t>
        </is>
      </c>
      <c r="B63" s="3" t="inlineStr">
        <is>
          <t>Позицій, шт</t>
        </is>
      </c>
    </row>
    <row r="64">
      <c r="A64" t="inlineStr">
        <is>
          <t>Dell</t>
        </is>
      </c>
      <c r="B64" s="5" t="n">
        <v>5</v>
      </c>
    </row>
    <row r="65">
      <c r="A65" t="inlineStr">
        <is>
          <t>Microsoft</t>
        </is>
      </c>
      <c r="B65" s="5" t="n">
        <v>5</v>
      </c>
    </row>
    <row r="66">
      <c r="A66" t="inlineStr">
        <is>
          <t>Intel</t>
        </is>
      </c>
      <c r="B66" s="5" t="n">
        <v>3</v>
      </c>
    </row>
    <row r="67">
      <c r="A67" t="inlineStr">
        <is>
          <t>Epson</t>
        </is>
      </c>
      <c r="B67" s="5" t="n">
        <v>1</v>
      </c>
    </row>
    <row r="68">
      <c r="A68" t="inlineStr">
        <is>
          <t>HP</t>
        </is>
      </c>
      <c r="B68" s="5" t="n">
        <v>1</v>
      </c>
    </row>
    <row r="69">
      <c r="A69" t="inlineStr">
        <is>
          <t>Acer</t>
        </is>
      </c>
      <c r="B69" s="5" t="n">
        <v>1</v>
      </c>
    </row>
    <row r="70">
      <c r="A70" t="inlineStr">
        <is>
          <t>ASUS</t>
        </is>
      </c>
      <c r="B70" s="5" t="n">
        <v>1</v>
      </c>
    </row>
    <row r="82">
      <c r="A82" s="2" t="inlineStr">
        <is>
          <t>Що саме продає</t>
        </is>
      </c>
    </row>
    <row r="83">
      <c r="A83" s="3" t="inlineStr">
        <is>
          <t>Категорія</t>
        </is>
      </c>
      <c r="B83" s="3" t="inlineStr">
        <is>
          <t>Позицій, шт</t>
        </is>
      </c>
    </row>
    <row r="84">
      <c r="A84" t="inlineStr">
        <is>
          <t>Ноутбук</t>
        </is>
      </c>
      <c r="B84" s="5" t="n">
        <v>22</v>
      </c>
    </row>
    <row r="85">
      <c r="A85" t="inlineStr">
        <is>
          <t>Персональний комп'ютер</t>
        </is>
      </c>
      <c r="B85" s="5" t="n">
        <v>7</v>
      </c>
    </row>
    <row r="86">
      <c r="A86" t="inlineStr">
        <is>
          <t>Багатофункціональний пристрій (БФП)</t>
        </is>
      </c>
      <c r="B86" s="5" t="n">
        <v>4</v>
      </c>
    </row>
    <row r="87">
      <c r="A87" t="inlineStr">
        <is>
          <t>Монітор</t>
        </is>
      </c>
      <c r="B87" s="5" t="n">
        <v>1</v>
      </c>
    </row>
    <row r="88">
      <c r="A88" t="inlineStr">
        <is>
          <t>Моноблок</t>
        </is>
      </c>
      <c r="B88" s="5" t="n">
        <v>1</v>
      </c>
    </row>
    <row r="89">
      <c r="A89" t="inlineStr">
        <is>
          <t>Кабель, перехідник</t>
        </is>
      </c>
      <c r="B89" s="5" t="n">
        <v>1</v>
      </c>
    </row>
    <row r="98">
      <c r="A98" s="2" t="inlineStr">
        <is>
          <t>Ключові замовники</t>
        </is>
      </c>
    </row>
    <row r="99">
      <c r="A99" s="3" t="inlineStr">
        <is>
          <t>Категорія</t>
        </is>
      </c>
      <c r="B99" s="3" t="inlineStr">
        <is>
          <t>Сума, грн</t>
        </is>
      </c>
    </row>
    <row r="100">
      <c r="A100" t="inlineStr">
        <is>
          <t>Територіальне управління Державної судов</t>
        </is>
      </c>
      <c r="B100" s="5" t="n">
        <v>1610000</v>
      </c>
    </row>
    <row r="101">
      <c r="A101" t="inlineStr">
        <is>
          <t>Волинський національний університет імен</t>
        </is>
      </c>
      <c r="B101" s="5" t="n">
        <v>948391.2</v>
      </c>
    </row>
    <row r="102">
      <c r="A102" t="inlineStr">
        <is>
          <t xml:space="preserve">Управління поліції охорони у Волинській </t>
        </is>
      </c>
      <c r="B102" s="5" t="n">
        <v>444000</v>
      </c>
    </row>
    <row r="103">
      <c r="A103" t="inlineStr">
        <is>
          <t>Військова частина А 0959</t>
        </is>
      </c>
      <c r="B103" s="5" t="n">
        <v>337974</v>
      </c>
    </row>
    <row r="104">
      <c r="A104" t="inlineStr">
        <is>
          <t>Державна установа "Волинська фітосанітар</t>
        </is>
      </c>
      <c r="B104" s="5" t="n">
        <v>43200</v>
      </c>
    </row>
    <row r="114">
      <c r="A114" s="2" t="inlineStr">
        <is>
          <t>Процедури</t>
        </is>
      </c>
    </row>
    <row r="115">
      <c r="A115" s="3" t="inlineStr">
        <is>
          <t>Категорія</t>
        </is>
      </c>
      <c r="B115" s="3" t="inlineStr">
        <is>
          <t>Угод, шт</t>
        </is>
      </c>
    </row>
    <row r="116">
      <c r="A116" t="inlineStr">
        <is>
          <t>Запит пропозицій</t>
        </is>
      </c>
      <c r="B116" s="5" t="n">
        <v>2</v>
      </c>
    </row>
    <row r="117">
      <c r="A117" t="inlineStr">
        <is>
          <t>Звіт про договір</t>
        </is>
      </c>
      <c r="B117" s="5" t="n">
        <v>1</v>
      </c>
    </row>
    <row r="118">
      <c r="A118" t="inlineStr">
        <is>
          <t>Допорогова</t>
        </is>
      </c>
      <c r="B118" s="5" t="n">
        <v>1</v>
      </c>
    </row>
    <row r="119">
      <c r="A119" t="inlineStr">
        <is>
          <t>Відкриті торги (нові)</t>
        </is>
      </c>
      <c r="B119" s="5" t="n">
        <v>1</v>
      </c>
    </row>
    <row r="134">
      <c r="A134" s="8" t="inlineStr">
        <is>
          <t>Таблиці</t>
        </is>
      </c>
    </row>
    <row r="136">
      <c r="A136" s="2" t="inlineStr">
        <is>
          <t>ТМ</t>
        </is>
      </c>
    </row>
    <row r="137">
      <c r="A137" s="11" t="inlineStr">
        <is>
          <t>Торгова марка</t>
        </is>
      </c>
      <c r="B137" s="11" t="inlineStr">
        <is>
          <t>Позицій</t>
        </is>
      </c>
      <c r="C137" s="11" t="inlineStr">
        <is>
          <t>Частка</t>
        </is>
      </c>
      <c r="D137" s="11" t="inlineStr">
        <is>
          <t>Власна ТМ за довідником</t>
        </is>
      </c>
    </row>
    <row r="138">
      <c r="A138" t="inlineStr">
        <is>
          <t>Dell</t>
        </is>
      </c>
      <c r="B138" s="5" t="n">
        <v>5</v>
      </c>
      <c r="C138" s="12" t="n">
        <v>0.2941</v>
      </c>
      <c r="D138" t="inlineStr"/>
    </row>
    <row r="139">
      <c r="A139" t="inlineStr">
        <is>
          <t>Microsoft</t>
        </is>
      </c>
      <c r="B139" s="5" t="n">
        <v>5</v>
      </c>
      <c r="C139" s="12" t="n">
        <v>0.2941</v>
      </c>
      <c r="D139" t="inlineStr"/>
    </row>
    <row r="140">
      <c r="A140" t="inlineStr">
        <is>
          <t>Intel</t>
        </is>
      </c>
      <c r="B140" s="5" t="n">
        <v>3</v>
      </c>
      <c r="C140" s="12" t="n">
        <v>0.1765</v>
      </c>
      <c r="D140" t="inlineStr"/>
    </row>
    <row r="141">
      <c r="A141" t="inlineStr">
        <is>
          <t>Epson</t>
        </is>
      </c>
      <c r="B141" s="5" t="n">
        <v>1</v>
      </c>
      <c r="C141" s="12" t="n">
        <v>0.0588</v>
      </c>
      <c r="D141" t="inlineStr"/>
    </row>
    <row r="142">
      <c r="A142" t="inlineStr">
        <is>
          <t>HP</t>
        </is>
      </c>
      <c r="B142" s="5" t="n">
        <v>1</v>
      </c>
      <c r="C142" s="12" t="n">
        <v>0.0588</v>
      </c>
      <c r="D142" t="inlineStr"/>
    </row>
    <row r="143">
      <c r="A143" t="inlineStr">
        <is>
          <t>Acer</t>
        </is>
      </c>
      <c r="B143" s="5" t="n">
        <v>1</v>
      </c>
      <c r="C143" s="12" t="n">
        <v>0.0588</v>
      </c>
      <c r="D143" t="inlineStr"/>
    </row>
    <row r="144">
      <c r="A144" t="inlineStr">
        <is>
          <t>ASUS</t>
        </is>
      </c>
      <c r="B144" s="5" t="n">
        <v>1</v>
      </c>
      <c r="C144" s="12" t="n">
        <v>0.0588</v>
      </c>
      <c r="D144" t="inlineStr"/>
    </row>
    <row r="146">
      <c r="A146" s="2" t="inlineStr">
        <is>
          <t>Товари</t>
        </is>
      </c>
    </row>
    <row r="147">
      <c r="A147" s="11" t="inlineStr">
        <is>
          <t>Товар</t>
        </is>
      </c>
      <c r="B147" s="11" t="inlineStr">
        <is>
          <t>Позицій</t>
        </is>
      </c>
    </row>
    <row r="148">
      <c r="A148" t="inlineStr">
        <is>
          <t>Ноутбук</t>
        </is>
      </c>
      <c r="B148" s="5" t="n">
        <v>22</v>
      </c>
    </row>
    <row r="149">
      <c r="A149" t="inlineStr">
        <is>
          <t>Персональний комп'ютер</t>
        </is>
      </c>
      <c r="B149" s="5" t="n">
        <v>7</v>
      </c>
    </row>
    <row r="150">
      <c r="A150" t="inlineStr">
        <is>
          <t>Багатофункціональний пристрій (БФП)</t>
        </is>
      </c>
      <c r="B150" s="5" t="n">
        <v>4</v>
      </c>
    </row>
    <row r="151">
      <c r="A151" t="inlineStr">
        <is>
          <t>Монітор</t>
        </is>
      </c>
      <c r="B151" s="5" t="n">
        <v>1</v>
      </c>
    </row>
    <row r="152">
      <c r="A152" t="inlineStr">
        <is>
          <t>Моноблок</t>
        </is>
      </c>
      <c r="B152" s="5" t="n">
        <v>1</v>
      </c>
    </row>
    <row r="153">
      <c r="A153" t="inlineStr">
        <is>
          <t>Кабель, перехідник</t>
        </is>
      </c>
      <c r="B153" s="5" t="n">
        <v>1</v>
      </c>
    </row>
    <row r="155">
      <c r="A155" s="2" t="inlineStr">
        <is>
          <t>Документи</t>
        </is>
      </c>
    </row>
    <row r="156">
      <c r="A156" s="11" t="inlineStr">
        <is>
          <t>Тип документа</t>
        </is>
      </c>
      <c r="B156" s="11" t="inlineStr">
        <is>
          <t>Файлів</t>
        </is>
      </c>
    </row>
    <row r="157">
      <c r="A157" t="inlineStr">
        <is>
          <t>не класифіковано</t>
        </is>
      </c>
      <c r="B157" s="5" t="n">
        <v>88</v>
      </c>
    </row>
    <row r="158">
      <c r="A158" t="inlineStr">
        <is>
          <t>Підпис КЕП</t>
        </is>
      </c>
      <c r="B158" s="5" t="n">
        <v>55</v>
      </c>
    </row>
    <row r="159">
      <c r="A159" t="inlineStr">
        <is>
          <t>Лист виробника / авторизація</t>
        </is>
      </c>
      <c r="B159" s="5" t="n">
        <v>36</v>
      </c>
    </row>
    <row r="160">
      <c r="A160" t="inlineStr">
        <is>
          <t>Установчі та реєстраційні</t>
        </is>
      </c>
      <c r="B160" s="5" t="n">
        <v>20</v>
      </c>
    </row>
    <row r="161">
      <c r="A161" t="inlineStr">
        <is>
          <t>Сертифікат / декларація відповідності</t>
        </is>
      </c>
      <c r="B161" s="5" t="n">
        <v>16</v>
      </c>
    </row>
    <row r="162">
      <c r="A162" t="inlineStr">
        <is>
          <t>Технічна специфікація</t>
        </is>
      </c>
      <c r="B162" s="5" t="n">
        <v>15</v>
      </c>
    </row>
    <row r="163">
      <c r="A163" t="inlineStr">
        <is>
          <t>Гарантія та сервіс</t>
        </is>
      </c>
      <c r="B163" s="5" t="n">
        <v>14</v>
      </c>
    </row>
    <row r="164">
      <c r="A164" t="inlineStr">
        <is>
          <t>Пропозиція учасника</t>
        </is>
      </c>
      <c r="B164" s="5" t="n">
        <v>13</v>
      </c>
    </row>
    <row r="165">
      <c r="A165" t="inlineStr">
        <is>
          <t>Цінова пропозиція</t>
        </is>
      </c>
      <c r="B165" s="5" t="n">
        <v>4</v>
      </c>
    </row>
    <row r="166">
      <c r="A166" t="inlineStr">
        <is>
          <t>Досвід / аналогічні договори</t>
        </is>
      </c>
      <c r="B166" s="5" t="n">
        <v>4</v>
      </c>
    </row>
    <row r="167">
      <c r="A167" t="inlineStr">
        <is>
          <t>Тендерна документація</t>
        </is>
      </c>
      <c r="B167" s="5" t="n">
        <v>1</v>
      </c>
    </row>
    <row r="169">
      <c r="A169" s="2" t="inlineStr">
        <is>
          <t>Зірвані перемоги</t>
        </is>
      </c>
    </row>
    <row r="170">
      <c r="A170" s="11" t="inlineStr">
        <is>
          <t>Закупівля</t>
        </is>
      </c>
      <c r="B170" s="11" t="inlineStr">
        <is>
          <t>Дата</t>
        </is>
      </c>
      <c r="C170" s="11" t="inlineStr">
        <is>
          <t>Замовник</t>
        </is>
      </c>
      <c r="D170" s="11" t="inlineStr">
        <is>
          <t>Сума, грн</t>
        </is>
      </c>
      <c r="E170" s="11" t="inlineStr">
        <is>
          <t>Причина</t>
        </is>
      </c>
      <c r="F170" s="11" t="inlineStr">
        <is>
          <t>Формулювання замовника</t>
        </is>
      </c>
    </row>
    <row r="171">
      <c r="A171" s="4" t="inlineStr">
        <is>
          <t>UA-2025-10-17-011018-a</t>
        </is>
      </c>
      <c r="B171" t="inlineStr">
        <is>
          <t>2025-11-05</t>
        </is>
      </c>
      <c r="C171" t="inlineStr">
        <is>
          <t>Військова частина А 0959</t>
        </is>
      </c>
      <c r="D171" s="5" t="n">
        <v>445000</v>
      </c>
      <c r="E171" t="inlineStr">
        <is>
          <t>Невідповідність вимогам документації</t>
        </is>
      </c>
      <c r="F171" t="inlineStr">
        <is>
          <t>Пропозиція учасника не відповідає умовам, визначеним в оголошенні про проведення спрощеної закупівлі, та вимогам до предмета закупівлі</t>
        </is>
      </c>
    </row>
    <row r="172">
      <c r="A172" s="4" t="inlineStr">
        <is>
          <t>UA-2025-11-15-000640-a</t>
        </is>
      </c>
      <c r="B172" t="inlineStr">
        <is>
          <t>2025-11-25</t>
        </is>
      </c>
      <c r="C172" t="inlineStr">
        <is>
          <t>Луцький національний технічний університет</t>
        </is>
      </c>
      <c r="D172" s="5" t="n">
        <v>429600</v>
      </c>
      <c r="E172" t="inlineStr">
        <is>
          <t>Відмова від договору</t>
        </is>
      </c>
      <c r="F172" t="inlineStr">
        <is>
          <t>Переможець письмово відмовився від укладання договору на умовах, визначених у запиті пропозицій постачальників</t>
        </is>
      </c>
    </row>
    <row r="173">
      <c r="A173" s="4" t="inlineStr">
        <is>
          <t>UA-2025-11-14-015599-a</t>
        </is>
      </c>
      <c r="B173" t="inlineStr">
        <is>
          <t>2025-11-26</t>
        </is>
      </c>
      <c r="C173" t="inlineStr">
        <is>
          <t>ВІДОКРЕМЛЕНИЙ СТРУКТУРНИЙ ПІДРОЗДІЛ "ВОЛИНСЬКИЙ ФАХОВИЙ КОЛЕДЖ НАЦІОНАЛЬНОГО УНІВЕРСИТЕТУ ХАРЧОВИХ ТЕХНОЛОГІЙ"</t>
        </is>
      </c>
      <c r="D173" s="5" t="n">
        <v>393600</v>
      </c>
      <c r="E173" t="inlineStr">
        <is>
          <t>Не надав документи</t>
        </is>
      </c>
      <c r="F173" t="inlineStr">
        <is>
          <t xml:space="preserve">Переможець не надав документ про реєстрацію у прийнятній країні та/або інформацію про те, що до переможця відбору, його кінцевих бенефіціарних власників, членів або учасників (акціонерів) не застосовано обмежувальні заходи у вигляді санкцій Європейського Союзу та/або про те, що не знаходяться </t>
        </is>
      </c>
    </row>
    <row r="174">
      <c r="A174" s="4" t="inlineStr">
        <is>
          <t>UA-2025-11-12-014817-a</t>
        </is>
      </c>
      <c r="B174" t="inlineStr">
        <is>
          <t>2025-11-24</t>
        </is>
      </c>
      <c r="C174" t="inlineStr">
        <is>
          <t>ВОЛИНСЬКА ОБЛАСНА ПРОКУРАТУРА</t>
        </is>
      </c>
      <c r="D174" s="5" t="n">
        <v>384000</v>
      </c>
      <c r="E174" t="inlineStr">
        <is>
          <t>Не підписав договір у строк</t>
        </is>
      </c>
      <c r="F174" t="inlineStr">
        <is>
          <t>не підписав договір у строк, визначений абзацом першим пункту 66 цього Порядку</t>
        </is>
      </c>
    </row>
    <row r="175">
      <c r="A175" s="4" t="inlineStr">
        <is>
          <t>UA-2025-09-12-006819-a</t>
        </is>
      </c>
      <c r="B175" t="inlineStr">
        <is>
          <t>2025-09-26</t>
        </is>
      </c>
      <c r="C175" t="inlineStr">
        <is>
          <t>КНП "КОВЕЛЬСЬКИЙ ЦЕНТР ПЕРВИННОЇ МЕДИКО-САНІТАРНОЇ ДОПОМОГИ" КОВЕЛЬСЬКОЇ МІСЬКОЇ РАДИ ВОЛИНСЬКОЇ ОБЛАСТІ</t>
        </is>
      </c>
      <c r="D175" s="5" t="n">
        <v>331377</v>
      </c>
      <c r="E175" t="inlineStr">
        <is>
          <t>Недостовірна інформація</t>
        </is>
      </c>
      <c r="F175" t="inlineStr">
        <is>
          <t>зазначив у тендерній пропозиції недостовірну інформацію, що є суттєвою для визначення результатів відкритих торгів, яку замовником виявлено згідно з абзацом першим пункту 42 Особливостей;</t>
        </is>
      </c>
    </row>
    <row r="176">
      <c r="A176" s="4" t="inlineStr">
        <is>
          <t>UA-2025-11-27-013291-a</t>
        </is>
      </c>
      <c r="B176" t="inlineStr">
        <is>
          <t>2025-12-10</t>
        </is>
      </c>
      <c r="C176" t="inlineStr">
        <is>
          <t>Департамент "Центр надання адміністративних послуг у місті Луцьку" Луцької міської ради</t>
        </is>
      </c>
      <c r="D176" s="5" t="n">
        <v>237600</v>
      </c>
      <c r="E176" t="inlineStr">
        <is>
          <t>Не підписав договір у строк</t>
        </is>
      </c>
      <c r="F176" t="inlineStr">
        <is>
          <t>Переможець не підписав договір у строк, визначений абзацом першим пункту 66 цього Порядку</t>
        </is>
      </c>
    </row>
    <row r="177">
      <c r="A177" s="4" t="inlineStr">
        <is>
          <t>UA-2025-09-26-012440-a</t>
        </is>
      </c>
      <c r="B177" t="inlineStr">
        <is>
          <t>2025-10-09</t>
        </is>
      </c>
      <c r="C177" t="inlineStr">
        <is>
          <t>Військова частина А 0959</t>
        </is>
      </c>
      <c r="D177" s="5" t="n">
        <v>145000</v>
      </c>
      <c r="E177" t="inlineStr">
        <is>
          <t>Невідповідність вимогам документації</t>
        </is>
      </c>
      <c r="F177" t="inlineStr">
        <is>
          <t>Пропозиція учасника не відповідає умовам, визначеним в оголошенні про проведення спрощеної закупівлі, та вимогам до предмета закупівлі</t>
        </is>
      </c>
    </row>
    <row r="178">
      <c r="A178" s="4" t="inlineStr">
        <is>
          <t>UA-2025-11-17-012888-a</t>
        </is>
      </c>
      <c r="B178" t="inlineStr">
        <is>
          <t>2025-12-01</t>
        </is>
      </c>
      <c r="C178" t="inlineStr">
        <is>
          <t>Відділ освіти, культури, молоді та спорту Підгайцівської сільської ради</t>
        </is>
      </c>
      <c r="D178" s="5" t="n">
        <v>132882</v>
      </c>
      <c r="E178" t="inlineStr">
        <is>
          <t>Невідповідність вимогам документації</t>
        </is>
      </c>
      <c r="F178" t="inlineStr">
        <is>
          <t>не відповідає вимогам, установленим у тендерній документації відповідно до абзацу першого частини третьої статті 22 Закону;</t>
        </is>
      </c>
    </row>
    <row r="179">
      <c r="A179" s="4" t="inlineStr">
        <is>
          <t>UA-2025-11-07-009521-a</t>
        </is>
      </c>
      <c r="B179" t="inlineStr">
        <is>
          <t>2025-11-26</t>
        </is>
      </c>
      <c r="C179" t="inlineStr">
        <is>
          <t>ВІЙСЬКОВА ЧАСТИНА 1141 НАЦІОНАЛЬНОЇ ГВАРДІЇ УКРАЇНИ</t>
        </is>
      </c>
      <c r="D179" s="5" t="n">
        <v>119939</v>
      </c>
      <c r="E179" t="inlineStr">
        <is>
          <t>Невідповідність вимогам документації</t>
        </is>
      </c>
      <c r="F179" t="inlineStr">
        <is>
          <t>Пропозиція учасника не відповідає умовам, визначеним в оголошенні про проведення спрощеної закупівлі, та вимогам до предмета закупівлі</t>
        </is>
      </c>
    </row>
    <row r="180">
      <c r="A180" s="4" t="inlineStr">
        <is>
          <t>UA-2025-10-14-015829-a</t>
        </is>
      </c>
      <c r="B180" t="inlineStr">
        <is>
          <t>2025-10-31</t>
        </is>
      </c>
      <c r="C180" t="inlineStr">
        <is>
          <t>Державний професійно-технічний навчальний заклад "Камінь-Каширське вище професійне училище"</t>
        </is>
      </c>
      <c r="D180" s="5" t="n">
        <v>115000</v>
      </c>
      <c r="E180" t="inlineStr">
        <is>
          <t>Не надав забезпечення</t>
        </is>
      </c>
      <c r="F180" t="inlineStr">
        <is>
          <t>не надав забезпечення тендерної пропозиції, якщо таке забезпечення вимагалося замовником;</t>
        </is>
      </c>
    </row>
    <row r="181">
      <c r="A181" s="4" t="inlineStr">
        <is>
          <t>UA-2025-11-05-009156-a</t>
        </is>
      </c>
      <c r="B181" t="inlineStr">
        <is>
          <t>2025-11-17</t>
        </is>
      </c>
      <c r="C181" t="inlineStr">
        <is>
          <t>Військова частина А 0959</t>
        </is>
      </c>
      <c r="D181" s="5" t="n">
        <v>89574</v>
      </c>
      <c r="E181" t="inlineStr">
        <is>
          <t>Невідповідність вимогам документації</t>
        </is>
      </c>
      <c r="F181" t="inlineStr">
        <is>
          <t>Пропозиція учасника не відповідає умовам, визначеним в оголошенні про проведення спрощеної закупівлі, та вимогам до предмета закупівлі</t>
        </is>
      </c>
    </row>
    <row r="182">
      <c r="A182" s="4" t="inlineStr">
        <is>
          <t>UA-2025-11-21-016116-a</t>
        </is>
      </c>
      <c r="B182" t="inlineStr">
        <is>
          <t>2025-12-02</t>
        </is>
      </c>
      <c r="C182" t="inlineStr">
        <is>
          <t>Старовижівський професійний ліцей</t>
        </is>
      </c>
      <c r="D182" s="5" t="n">
        <v>60000</v>
      </c>
      <c r="E182" t="inlineStr">
        <is>
          <t>Не підписав договір у строк</t>
        </is>
      </c>
      <c r="F182" t="inlineStr">
        <is>
          <t>Переможець не підписав договір у строк, визначений абзацом першим пункту 66 цього Порядку</t>
        </is>
      </c>
    </row>
    <row r="183">
      <c r="A183" s="4" t="inlineStr">
        <is>
          <t>UA-2025-10-07-014418-a</t>
        </is>
      </c>
      <c r="B183" t="inlineStr">
        <is>
          <t>2025-10-27</t>
        </is>
      </c>
      <c r="C183" t="inlineStr">
        <is>
          <t>Державний професійно-технічний навчальний заклад "Камінь-Каширське вище професійне училище"</t>
        </is>
      </c>
      <c r="D183" s="5" t="n">
        <v>41796</v>
      </c>
      <c r="E183" t="inlineStr">
        <is>
          <t>Не надав забезпечення</t>
        </is>
      </c>
      <c r="F183" t="inlineStr">
        <is>
          <t>не надав забезпечення тендерної пропозиції, якщо таке забезпечення вимагалося замовником;</t>
        </is>
      </c>
    </row>
    <row r="184">
      <c r="A184" s="4" t="inlineStr">
        <is>
          <t>UA-2025-11-21-015712-a</t>
        </is>
      </c>
      <c r="B184" t="inlineStr">
        <is>
          <t>2025-12-08</t>
        </is>
      </c>
      <c r="C184" t="inlineStr">
        <is>
          <t>ЛЮБЛИНЕЦЬКИЙ ЛІЦЕЙ ВОЛИНСЬКОЇ ОБЛАСНОЇ РАДИ</t>
        </is>
      </c>
      <c r="D184" s="5" t="n">
        <v>25200</v>
      </c>
      <c r="E184" t="inlineStr">
        <is>
          <t>Не підписав договір у строк</t>
        </is>
      </c>
      <c r="F184" t="inlineStr">
        <is>
          <t>не підписав договір у строк, визначений абзацом першим пункту 66 цього Порядку</t>
        </is>
      </c>
    </row>
    <row r="185">
      <c r="A185" s="4" t="inlineStr">
        <is>
          <t>UA-2025-10-10-006331-a</t>
        </is>
      </c>
      <c r="B185" t="inlineStr">
        <is>
          <t>2025-11-03</t>
        </is>
      </c>
      <c r="C185" t="inlineStr">
        <is>
          <t>ЛЮБЛИНЕЦЬКИЙ ЛІЦЕЙ ВОЛИНСЬКОЇ ОБЛАСНОЇ РАДИ</t>
        </is>
      </c>
      <c r="D185" s="5" t="n">
        <v>24000</v>
      </c>
      <c r="E185" t="inlineStr">
        <is>
          <t>Не підписав договір у строк</t>
        </is>
      </c>
      <c r="F185" t="inlineStr">
        <is>
          <t>не підписав договір у строк, визначений абзацом першим пункту 66 цього Порядку</t>
        </is>
      </c>
    </row>
    <row r="187">
      <c r="A187" s="2" t="inlineStr">
        <is>
          <t>Угоди</t>
        </is>
      </c>
    </row>
    <row r="188">
      <c r="A188" s="11" t="inlineStr">
        <is>
          <t>Закупівля</t>
        </is>
      </c>
      <c r="B188" s="11" t="inlineStr">
        <is>
          <t>Дата</t>
        </is>
      </c>
      <c r="C188" s="11" t="inlineStr">
        <is>
          <t>Замовник</t>
        </is>
      </c>
      <c r="D188" s="11" t="inlineStr">
        <is>
          <t>Регіон</t>
        </is>
      </c>
      <c r="E188" s="11" t="inlineStr">
        <is>
          <t>Сума, грн</t>
        </is>
      </c>
      <c r="F188" s="11" t="inlineStr">
        <is>
          <t>Очікувана, грн</t>
        </is>
      </c>
      <c r="G188" s="11" t="inlineStr">
        <is>
          <t>Процедура</t>
        </is>
      </c>
      <c r="H188" s="11" t="inlineStr">
        <is>
          <t>Галузь</t>
        </is>
      </c>
      <c r="I188" s="11" t="inlineStr">
        <is>
          <t>Джерело</t>
        </is>
      </c>
    </row>
    <row r="189">
      <c r="A189" s="4" t="inlineStr">
        <is>
          <t>UA-2025-12-19-013313-a</t>
        </is>
      </c>
      <c r="B189" t="inlineStr">
        <is>
          <t>2025-12-19</t>
        </is>
      </c>
      <c r="C189" t="inlineStr">
        <is>
          <t>Територіальне управління Державної судової адміністрації України в Волинській області</t>
        </is>
      </c>
      <c r="D189" t="inlineStr">
        <is>
          <t>Волинська область</t>
        </is>
      </c>
      <c r="E189" s="13" t="n">
        <v>1610000</v>
      </c>
      <c r="F189" s="5" t="n">
        <v>1610000</v>
      </c>
      <c r="G189" t="inlineStr">
        <is>
          <t>Звіт про договір</t>
        </is>
      </c>
      <c r="H189" t="inlineStr">
        <is>
          <t>Машини для обробки даних (апаратна частина)</t>
        </is>
      </c>
      <c r="I189" t="inlineStr">
        <is>
          <t>договір</t>
        </is>
      </c>
    </row>
    <row r="190">
      <c r="A190" s="4" t="inlineStr">
        <is>
          <t>UA-2025-09-17-011388-a</t>
        </is>
      </c>
      <c r="B190" t="inlineStr">
        <is>
          <t>2025-10-03</t>
        </is>
      </c>
      <c r="C190" t="inlineStr">
        <is>
          <t>Волинський національний університет імені Лесі Українки</t>
        </is>
      </c>
      <c r="D190" t="inlineStr">
        <is>
          <t>Волинська область</t>
        </is>
      </c>
      <c r="E190" s="13" t="n">
        <v>948391.2</v>
      </c>
      <c r="F190" s="5" t="n">
        <v>1486000</v>
      </c>
      <c r="G190" t="inlineStr">
        <is>
          <t>Відкриті торги (нові)</t>
        </is>
      </c>
      <c r="H190" t="inlineStr">
        <is>
          <t>Машини для обробки даних (апаратна частина)</t>
        </is>
      </c>
      <c r="I190" t="inlineStr">
        <is>
          <t>договір</t>
        </is>
      </c>
    </row>
    <row r="191">
      <c r="A191" s="4" t="inlineStr">
        <is>
          <t>UA-2025-09-09-013711-a</t>
        </is>
      </c>
      <c r="B191" t="inlineStr">
        <is>
          <t>2025-09-16</t>
        </is>
      </c>
      <c r="C191" t="inlineStr">
        <is>
          <t>Управління поліції охорони у Волинській області</t>
        </is>
      </c>
      <c r="D191" t="inlineStr">
        <is>
          <t>Волинська область</t>
        </is>
      </c>
      <c r="E191" s="13" t="n">
        <v>444000</v>
      </c>
      <c r="F191" s="5" t="n">
        <v>467000</v>
      </c>
      <c r="G191" t="inlineStr">
        <is>
          <t>Запит пропозицій</t>
        </is>
      </c>
      <c r="H191" t="inlineStr">
        <is>
          <t>Машини для обробки даних (апаратна частина)</t>
        </is>
      </c>
      <c r="I191" t="inlineStr">
        <is>
          <t>договір</t>
        </is>
      </c>
    </row>
    <row r="192">
      <c r="A192" s="4" t="inlineStr">
        <is>
          <t>UA-2025-11-05-006520-a</t>
        </is>
      </c>
      <c r="B192" t="inlineStr">
        <is>
          <t>2025-11-27</t>
        </is>
      </c>
      <c r="C192" t="inlineStr">
        <is>
          <t>Військова частина А 0959</t>
        </is>
      </c>
      <c r="D192" t="inlineStr">
        <is>
          <t>Волинська область</t>
        </is>
      </c>
      <c r="E192" s="13" t="n">
        <v>337974</v>
      </c>
      <c r="F192" s="5" t="n">
        <v>344180</v>
      </c>
      <c r="G192" t="inlineStr">
        <is>
          <t>Допорогова</t>
        </is>
      </c>
      <c r="H192" t="inlineStr">
        <is>
          <t>Комп’ютерне обладнання</t>
        </is>
      </c>
      <c r="I192" t="inlineStr">
        <is>
          <t>договір</t>
        </is>
      </c>
    </row>
    <row r="193">
      <c r="A193" s="4" t="inlineStr">
        <is>
          <t>UA-2025-11-17-011774-a</t>
        </is>
      </c>
      <c r="B193" t="inlineStr">
        <is>
          <t>2025-11-24</t>
        </is>
      </c>
      <c r="C193" t="inlineStr">
        <is>
          <t>Державна установа "Волинська фітосанітарна випробувальна лабораторія Держпродспоживслужби"</t>
        </is>
      </c>
      <c r="D193" t="inlineStr">
        <is>
          <t>Волинська область</t>
        </is>
      </c>
      <c r="E193" s="13" t="n">
        <v>43200</v>
      </c>
      <c r="F193" s="5" t="n">
        <v>52000</v>
      </c>
      <c r="G193" t="inlineStr">
        <is>
          <t>Запит пропозицій</t>
        </is>
      </c>
      <c r="H193" t="inlineStr">
        <is>
          <t>Машини для обробки даних (апаратна частина)</t>
        </is>
      </c>
      <c r="I193" t="inlineStr">
        <is>
          <t>договір</t>
        </is>
      </c>
    </row>
    <row r="195">
      <c r="A195" s="2" t="inlineStr">
        <is>
          <t>Наші зустрічі</t>
        </is>
      </c>
    </row>
    <row r="196">
      <c r="A196" s="11" t="inlineStr">
        <is>
          <t>Закупівля</t>
        </is>
      </c>
      <c r="B196" s="11" t="inlineStr">
        <is>
          <t>Дата</t>
        </is>
      </c>
      <c r="C196" s="11" t="inlineStr">
        <is>
          <t>Замовник</t>
        </is>
      </c>
      <c r="D196" s="11" t="inlineStr">
        <is>
          <t>Предмет</t>
        </is>
      </c>
      <c r="E196" s="11" t="inlineStr">
        <is>
          <t>Сума переможця, грн</t>
        </is>
      </c>
      <c r="F196" s="11" t="inlineStr">
        <is>
          <t>Наша пропозиція, грн</t>
        </is>
      </c>
      <c r="G196" s="11" t="inlineStr">
        <is>
          <t>Розрив</t>
        </is>
      </c>
      <c r="H196" s="11" t="inlineStr">
        <is>
          <t>Що сталося</t>
        </is>
      </c>
    </row>
    <row r="197">
      <c r="A197" s="4" t="inlineStr">
        <is>
          <t>UA-2025-12-19-013313-a</t>
        </is>
      </c>
      <c r="B197" t="inlineStr">
        <is>
          <t>2025-12-19</t>
        </is>
      </c>
      <c r="C197" t="inlineStr">
        <is>
          <t>Територіальне управління Державної судової адміністрації України в Волинській області</t>
        </is>
      </c>
      <c r="D197" t="inlineStr">
        <is>
          <t>Персональні комп’ютери (30213000-5) (код за ДК 021:2015: 30210000-4 — Машини для</t>
        </is>
      </c>
      <c r="E197" s="13" t="n">
        <v>1610000</v>
      </c>
      <c r="H197" t="inlineStr">
        <is>
          <t>ми не подавалися</t>
        </is>
      </c>
    </row>
    <row r="198">
      <c r="A198" s="4" t="inlineStr">
        <is>
          <t>UA-2025-09-17-011388-a</t>
        </is>
      </c>
      <c r="B198" t="inlineStr">
        <is>
          <t>2025-09-17</t>
        </is>
      </c>
      <c r="C198" t="inlineStr">
        <is>
          <t>Волинський національний університет імені Лесі Українки</t>
        </is>
      </c>
      <c r="D198" t="inlineStr">
        <is>
          <t>Комп’ютер в комплектації для навчального процесу (30213300-8). Код ДК 021:2015:3</t>
        </is>
      </c>
      <c r="E198" s="13" t="n">
        <v>948391.2</v>
      </c>
      <c r="H198" t="inlineStr">
        <is>
          <t>ми не подавалися</t>
        </is>
      </c>
    </row>
    <row r="199">
      <c r="A199" s="4" t="inlineStr">
        <is>
          <t>UA-2025-09-09-013711-a</t>
        </is>
      </c>
      <c r="B199" t="inlineStr">
        <is>
          <t>2025-09-09</t>
        </is>
      </c>
      <c r="C199" t="inlineStr">
        <is>
          <t>Управління поліції охорони у Волинській області</t>
        </is>
      </c>
      <c r="D199" t="inlineStr">
        <is>
          <t>ДК 021: 2015: 30210000-4 - Машини для обробки даних (апаратна частина) (моноблок</t>
        </is>
      </c>
      <c r="E199" s="13" t="n">
        <v>444000</v>
      </c>
      <c r="H199" t="inlineStr">
        <is>
          <t>ми не подавалися</t>
        </is>
      </c>
    </row>
    <row r="200">
      <c r="A200" s="4" t="inlineStr">
        <is>
          <t>UA-2025-11-05-006520-a</t>
        </is>
      </c>
      <c r="B200" t="inlineStr">
        <is>
          <t>2025-11-05</t>
        </is>
      </c>
      <c r="C200" t="inlineStr">
        <is>
          <t>Військова частина А 0959</t>
        </is>
      </c>
      <c r="D200" t="inlineStr">
        <is>
          <t>Монітори</t>
        </is>
      </c>
      <c r="E200" s="13" t="n">
        <v>337974</v>
      </c>
      <c r="H200" t="inlineStr">
        <is>
          <t>ми не подавалися</t>
        </is>
      </c>
    </row>
    <row r="201">
      <c r="A201" s="4" t="inlineStr">
        <is>
          <t>UA-2025-11-17-011774-a</t>
        </is>
      </c>
      <c r="B201" t="inlineStr">
        <is>
          <t>2025-11-17</t>
        </is>
      </c>
      <c r="C201" t="inlineStr">
        <is>
          <t>Державна установа "Волинська фітосанітарна випробувальна лабораторія Держпродспоживслужби"</t>
        </is>
      </c>
      <c r="D201" t="inlineStr">
        <is>
          <t>Ноутбук Dell Vostro 3530 (N1612QVNB3530UA_WP)</t>
        </is>
      </c>
      <c r="E201" s="13" t="n">
        <v>43200</v>
      </c>
      <c r="H201" t="inlineStr">
        <is>
          <t>ми не подавалися</t>
        </is>
      </c>
    </row>
    <row r="203">
      <c r="A203" s="8" t="inlineStr">
        <is>
          <t>Сильні сторони</t>
        </is>
      </c>
    </row>
    <row r="204">
      <c r="A204" t="inlineStr">
        <is>
          <t>+  портфель дистрибуції: 7 ТМ</t>
        </is>
      </c>
    </row>
    <row r="205">
      <c r="A205" t="inlineStr">
        <is>
          <t>+  наявність сертифікатів (16 файлів)</t>
        </is>
      </c>
    </row>
    <row r="206">
      <c r="A206" t="inlineStr">
        <is>
          <t>+  авторизація виробника (36 листів)</t>
        </is>
      </c>
    </row>
    <row r="207">
      <c r="A207" t="inlineStr">
        <is>
          <t>+  зростання (43% у другій половині періоду)</t>
        </is>
      </c>
    </row>
    <row r="208">
      <c r="A208" t="inlineStr">
        <is>
          <t>+  уміє вигравати у відкритих торгах</t>
        </is>
      </c>
    </row>
    <row r="209">
      <c r="A209" t="inlineStr">
        <is>
          <t>+  працює з великими контрактами</t>
        </is>
      </c>
    </row>
    <row r="211">
      <c r="A211" s="8" t="inlineStr">
        <is>
          <t>Слабкі сторони</t>
        </is>
      </c>
    </row>
    <row r="212">
      <c r="A212" t="inlineStr">
        <is>
          <t>−  слабка цінова позиція: дисконт 4,9% проти 8,3% по ринку</t>
        </is>
      </c>
    </row>
    <row r="213">
      <c r="A213" t="inlineStr">
        <is>
          <t>−  низька результативність на торгах (14,3%)</t>
        </is>
      </c>
    </row>
  </sheetData>
  <hyperlinks>
    <hyperlink xmlns:r="http://schemas.openxmlformats.org/officeDocument/2006/relationships" ref="A171" r:id="rId1"/>
    <hyperlink xmlns:r="http://schemas.openxmlformats.org/officeDocument/2006/relationships" ref="A172" r:id="rId2"/>
    <hyperlink xmlns:r="http://schemas.openxmlformats.org/officeDocument/2006/relationships" ref="A173" r:id="rId3"/>
    <hyperlink xmlns:r="http://schemas.openxmlformats.org/officeDocument/2006/relationships" ref="A174" r:id="rId4"/>
    <hyperlink xmlns:r="http://schemas.openxmlformats.org/officeDocument/2006/relationships" ref="A175" r:id="rId5"/>
    <hyperlink xmlns:r="http://schemas.openxmlformats.org/officeDocument/2006/relationships" ref="A176" r:id="rId6"/>
    <hyperlink xmlns:r="http://schemas.openxmlformats.org/officeDocument/2006/relationships" ref="A177" r:id="rId7"/>
    <hyperlink xmlns:r="http://schemas.openxmlformats.org/officeDocument/2006/relationships" ref="A178" r:id="rId8"/>
    <hyperlink xmlns:r="http://schemas.openxmlformats.org/officeDocument/2006/relationships" ref="A179" r:id="rId9"/>
    <hyperlink xmlns:r="http://schemas.openxmlformats.org/officeDocument/2006/relationships" ref="A180" r:id="rId10"/>
    <hyperlink xmlns:r="http://schemas.openxmlformats.org/officeDocument/2006/relationships" ref="A181" r:id="rId11"/>
    <hyperlink xmlns:r="http://schemas.openxmlformats.org/officeDocument/2006/relationships" ref="A182" r:id="rId12"/>
    <hyperlink xmlns:r="http://schemas.openxmlformats.org/officeDocument/2006/relationships" ref="A183" r:id="rId13"/>
    <hyperlink xmlns:r="http://schemas.openxmlformats.org/officeDocument/2006/relationships" ref="A184" r:id="rId14"/>
    <hyperlink xmlns:r="http://schemas.openxmlformats.org/officeDocument/2006/relationships" ref="A185" r:id="rId15"/>
    <hyperlink xmlns:r="http://schemas.openxmlformats.org/officeDocument/2006/relationships" ref="A189" r:id="rId16"/>
    <hyperlink xmlns:r="http://schemas.openxmlformats.org/officeDocument/2006/relationships" ref="A190" r:id="rId17"/>
    <hyperlink xmlns:r="http://schemas.openxmlformats.org/officeDocument/2006/relationships" ref="A191" r:id="rId18"/>
    <hyperlink xmlns:r="http://schemas.openxmlformats.org/officeDocument/2006/relationships" ref="A192" r:id="rId19"/>
    <hyperlink xmlns:r="http://schemas.openxmlformats.org/officeDocument/2006/relationships" ref="A193" r:id="rId20"/>
    <hyperlink xmlns:r="http://schemas.openxmlformats.org/officeDocument/2006/relationships" ref="A197" r:id="rId21"/>
    <hyperlink xmlns:r="http://schemas.openxmlformats.org/officeDocument/2006/relationships" ref="A198" r:id="rId22"/>
    <hyperlink xmlns:r="http://schemas.openxmlformats.org/officeDocument/2006/relationships" ref="A199" r:id="rId23"/>
    <hyperlink xmlns:r="http://schemas.openxmlformats.org/officeDocument/2006/relationships" ref="A200" r:id="rId24"/>
    <hyperlink xmlns:r="http://schemas.openxmlformats.org/officeDocument/2006/relationships" ref="A201" r:id="rId25"/>
  </hyperlinks>
  <pageMargins left="0.75" right="0.75" top="1" bottom="1" header="0.5" footer="0.5"/>
  <drawing xmlns:r="http://schemas.openxmlformats.org/officeDocument/2006/relationships" r:id="rId26"/>
  <tableParts count="6">
    <tablePart xmlns:r="http://schemas.openxmlformats.org/officeDocument/2006/relationships" r:id="rId27"/>
    <tablePart xmlns:r="http://schemas.openxmlformats.org/officeDocument/2006/relationships" r:id="rId28"/>
    <tablePart xmlns:r="http://schemas.openxmlformats.org/officeDocument/2006/relationships" r:id="rId29"/>
    <tablePart xmlns:r="http://schemas.openxmlformats.org/officeDocument/2006/relationships" r:id="rId30"/>
    <tablePart xmlns:r="http://schemas.openxmlformats.org/officeDocument/2006/relationships" r:id="rId31"/>
    <tablePart xmlns:r="http://schemas.openxmlformats.org/officeDocument/2006/relationships" r:id="rId32"/>
  </tableParts>
</worksheet>
</file>

<file path=xl/worksheets/sheet19.xml><?xml version="1.0" encoding="utf-8"?>
<worksheet xmlns="http://schemas.openxmlformats.org/spreadsheetml/2006/main">
  <sheetPr>
    <outlinePr summaryBelow="1" summaryRight="1"/>
    <pageSetUpPr/>
  </sheetPr>
  <dimension ref="A1:I102"/>
  <sheetViews>
    <sheetView showGridLines="0" workbookViewId="0">
      <selection activeCell="A1" sqref="A1"/>
    </sheetView>
  </sheetViews>
  <sheetFormatPr baseColWidth="8" defaultRowHeight="15"/>
  <cols>
    <col width="42" customWidth="1" min="1" max="1"/>
    <col width="37" customWidth="1" min="2" max="2"/>
    <col width="60" customWidth="1" min="3" max="3"/>
    <col width="60" customWidth="1" min="4" max="4"/>
    <col width="21" customWidth="1" min="5" max="5"/>
    <col width="22" customWidth="1" min="6" max="6"/>
    <col width="23" customWidth="1" min="7" max="7"/>
    <col width="45" customWidth="1" min="8" max="8"/>
    <col width="10" customWidth="1" min="9" max="9"/>
  </cols>
  <sheetData>
    <row r="1">
      <c r="A1" s="1" t="inlineStr">
        <is>
          <t>ФОП ДАВИДЕНКО ПАВЛО АНДРІЙОВИЧ</t>
        </is>
      </c>
    </row>
    <row r="2">
      <c r="A2" s="6" t="inlineStr">
        <is>
          <t>ЄДРПОУ 2381207253  ·  конкурент  ·  місце №6</t>
        </is>
      </c>
    </row>
    <row r="4">
      <c r="A4" s="7" t="inlineStr">
        <is>
          <t>ФОП ДАВИДЕНКО ПАВЛО АНДРІЙОВИЧ (2381207253)</t>
        </is>
      </c>
    </row>
    <row r="6">
      <c r="A6" s="8" t="inlineStr">
        <is>
          <t>Показники</t>
        </is>
      </c>
    </row>
    <row r="7">
      <c r="A7" s="9" t="inlineStr">
        <is>
          <t>Місце на ринку</t>
        </is>
      </c>
      <c r="B7" s="10" t="inlineStr">
        <is>
          <t>№6</t>
        </is>
      </c>
    </row>
    <row r="8">
      <c r="A8" s="9" t="inlineStr">
        <is>
          <t>Сума угод</t>
        </is>
      </c>
      <c r="B8" s="10" t="inlineStr">
        <is>
          <t>2,9 млн грн</t>
        </is>
      </c>
    </row>
    <row r="9">
      <c r="A9" s="9" t="inlineStr">
        <is>
          <t>Частка ринку</t>
        </is>
      </c>
      <c r="B9" s="10" t="inlineStr">
        <is>
          <t>2,4%</t>
        </is>
      </c>
    </row>
    <row r="10">
      <c r="A10" s="9" t="inlineStr">
        <is>
          <t>Угод</t>
        </is>
      </c>
      <c r="B10" s="10" t="inlineStr">
        <is>
          <t>2</t>
        </is>
      </c>
    </row>
    <row r="11">
      <c r="A11" s="9" t="inlineStr">
        <is>
          <t>Закупівель виграно</t>
        </is>
      </c>
      <c r="B11" s="10" t="inlineStr">
        <is>
          <t>2</t>
        </is>
      </c>
    </row>
    <row r="12">
      <c r="A12" s="9" t="inlineStr">
        <is>
          <t>Подань (де видно)</t>
        </is>
      </c>
      <c r="B12" s="10" t="inlineStr">
        <is>
          <t>2</t>
        </is>
      </c>
    </row>
    <row r="13">
      <c r="A13" s="9" t="inlineStr">
        <is>
          <t>Виграно з поданих</t>
        </is>
      </c>
      <c r="B13" s="10" t="inlineStr">
        <is>
          <t>2 з 2</t>
        </is>
      </c>
    </row>
    <row r="14">
      <c r="A14" s="9" t="inlineStr">
        <is>
          <t>Результативність</t>
        </is>
      </c>
      <c r="B14" s="10" t="inlineStr">
        <is>
          <t>100,0%</t>
        </is>
      </c>
    </row>
    <row r="15">
      <c r="A15" s="9" t="inlineStr">
        <is>
          <t>Середня угода</t>
        </is>
      </c>
      <c r="B15" s="10" t="inlineStr">
        <is>
          <t>1,4 млн грн</t>
        </is>
      </c>
    </row>
    <row r="16">
      <c r="A16" s="9" t="inlineStr">
        <is>
          <t>Медіанна угода</t>
        </is>
      </c>
      <c r="B16" s="10" t="inlineStr">
        <is>
          <t>1,4 млн грн</t>
        </is>
      </c>
    </row>
    <row r="17">
      <c r="A17" s="9" t="inlineStr">
        <is>
          <t>Замовників</t>
        </is>
      </c>
      <c r="B17" s="10" t="inlineStr">
        <is>
          <t>1</t>
        </is>
      </c>
    </row>
    <row r="18">
      <c r="A18" s="9" t="inlineStr">
        <is>
          <t>Областей</t>
        </is>
      </c>
      <c r="B18" s="10" t="inlineStr">
        <is>
          <t>1</t>
        </is>
      </c>
    </row>
    <row r="19">
      <c r="A19" s="9" t="inlineStr">
        <is>
          <t>Основна ТМ</t>
        </is>
      </c>
      <c r="B19" s="10" t="inlineStr">
        <is>
          <t>не визначено</t>
        </is>
      </c>
    </row>
    <row r="20">
      <c r="A20" s="9" t="inlineStr">
        <is>
          <t>Основний товар</t>
        </is>
      </c>
      <c r="B20" s="10" t="inlineStr">
        <is>
          <t>Багатофункціональний пристрій (БФП)</t>
        </is>
      </c>
    </row>
    <row r="21">
      <c r="A21" s="9" t="inlineStr">
        <is>
          <t>Дисконт (медіана)</t>
        </is>
      </c>
      <c r="B21" s="10" t="inlineStr">
        <is>
          <t>0,1%</t>
        </is>
      </c>
    </row>
    <row r="22">
      <c r="A22" s="9" t="inlineStr">
        <is>
          <t>Повторні замовники</t>
        </is>
      </c>
      <c r="B22" s="10" t="inlineStr">
        <is>
          <t>50,0%</t>
        </is>
      </c>
    </row>
    <row r="23">
      <c r="A23" s="9" t="inlineStr">
        <is>
          <t>Активність</t>
        </is>
      </c>
      <c r="B23" s="10" t="inlineStr">
        <is>
          <t>2025-11-18 — 2025-11-26</t>
        </is>
      </c>
    </row>
    <row r="24">
      <c r="A24" s="9" t="inlineStr">
        <is>
          <t>Зірвано перемог</t>
        </is>
      </c>
      <c r="B24" s="10" t="inlineStr">
        <is>
          <t>—</t>
        </is>
      </c>
    </row>
    <row r="25">
      <c r="A25" s="9" t="inlineStr">
        <is>
          <t>Причина зривів</t>
        </is>
      </c>
      <c r="B25" s="10" t="inlineStr">
        <is>
          <t>—</t>
        </is>
      </c>
    </row>
    <row r="27">
      <c r="A27" s="8" t="inlineStr">
        <is>
          <t>Висновки</t>
        </is>
      </c>
    </row>
    <row r="28">
      <c r="A28" t="inlineStr">
        <is>
          <t>•  6-е місце на ринку: 2,9 млн грн (2,4% обороту)</t>
        </is>
      </c>
    </row>
    <row r="29">
      <c r="A29" t="inlineStr">
        <is>
          <t>•  Основний товар: багатофункціональний пристрій (бфп)</t>
        </is>
      </c>
    </row>
    <row r="30">
      <c r="A30" t="inlineStr">
        <is>
          <t>•  Тримає ціну: дисконт 0,1% проти 8,3% по ринку</t>
        </is>
      </c>
    </row>
    <row r="31">
      <c r="A31" t="inlineStr">
        <is>
          <t>•  У поданих файлах — авторизаційних листів: 5</t>
        </is>
      </c>
    </row>
    <row r="33">
      <c r="A33" s="8" t="inlineStr">
        <is>
          <t>Графіки</t>
        </is>
      </c>
    </row>
    <row r="35">
      <c r="A35" s="2" t="inlineStr">
        <is>
          <t>Що саме продає</t>
        </is>
      </c>
    </row>
    <row r="36">
      <c r="A36" s="3" t="inlineStr">
        <is>
          <t>Категорія</t>
        </is>
      </c>
      <c r="B36" s="3" t="inlineStr">
        <is>
          <t>Позицій, шт</t>
        </is>
      </c>
    </row>
    <row r="37">
      <c r="A37" t="inlineStr">
        <is>
          <t>Багатофункціональний пристрій (БФП)</t>
        </is>
      </c>
      <c r="B37" s="5" t="n">
        <v>1</v>
      </c>
    </row>
    <row r="38">
      <c r="A38" t="inlineStr">
        <is>
          <t>Ноутбук</t>
        </is>
      </c>
      <c r="B38" s="5" t="n">
        <v>1</v>
      </c>
    </row>
    <row r="51">
      <c r="A51" s="2" t="inlineStr">
        <is>
          <t>Ключові замовники</t>
        </is>
      </c>
    </row>
    <row r="52">
      <c r="A52" s="3" t="inlineStr">
        <is>
          <t>Категорія</t>
        </is>
      </c>
      <c r="B52" s="3" t="inlineStr">
        <is>
          <t>Сума, грн</t>
        </is>
      </c>
    </row>
    <row r="53">
      <c r="A53" t="inlineStr">
        <is>
          <t>ГОЛОВНЕ УПРАВЛІННЯ ПЕНСІЙНОГО ФОНДУ УКРА</t>
        </is>
      </c>
      <c r="B53" s="5" t="n">
        <v>2855900</v>
      </c>
    </row>
    <row r="67">
      <c r="A67" s="8" t="inlineStr">
        <is>
          <t>Таблиці</t>
        </is>
      </c>
    </row>
    <row r="69">
      <c r="A69" s="2" t="inlineStr">
        <is>
          <t>Товари</t>
        </is>
      </c>
    </row>
    <row r="70">
      <c r="A70" s="11" t="inlineStr">
        <is>
          <t>Товар</t>
        </is>
      </c>
      <c r="B70" s="11" t="inlineStr">
        <is>
          <t>Позицій</t>
        </is>
      </c>
    </row>
    <row r="71">
      <c r="A71" t="inlineStr">
        <is>
          <t>Багатофункціональний пристрій (БФП)</t>
        </is>
      </c>
      <c r="B71" s="5" t="n">
        <v>1</v>
      </c>
    </row>
    <row r="72">
      <c r="A72" t="inlineStr">
        <is>
          <t>Ноутбук</t>
        </is>
      </c>
      <c r="B72" s="5" t="n">
        <v>1</v>
      </c>
    </row>
    <row r="74">
      <c r="A74" s="2" t="inlineStr">
        <is>
          <t>Документи</t>
        </is>
      </c>
    </row>
    <row r="75">
      <c r="A75" s="11" t="inlineStr">
        <is>
          <t>Тип документа</t>
        </is>
      </c>
      <c r="B75" s="11" t="inlineStr">
        <is>
          <t>Файлів</t>
        </is>
      </c>
    </row>
    <row r="76">
      <c r="A76" t="inlineStr">
        <is>
          <t>Підпис КЕП</t>
        </is>
      </c>
      <c r="B76" s="5" t="n">
        <v>58</v>
      </c>
    </row>
    <row r="77">
      <c r="A77" t="inlineStr">
        <is>
          <t>не класифіковано</t>
        </is>
      </c>
      <c r="B77" s="5" t="n">
        <v>29</v>
      </c>
    </row>
    <row r="78">
      <c r="A78" t="inlineStr">
        <is>
          <t>Установчі та реєстраційні</t>
        </is>
      </c>
      <c r="B78" s="5" t="n">
        <v>13</v>
      </c>
    </row>
    <row r="79">
      <c r="A79" t="inlineStr">
        <is>
          <t>Лист виробника / авторизація</t>
        </is>
      </c>
      <c r="B79" s="5" t="n">
        <v>5</v>
      </c>
    </row>
    <row r="80">
      <c r="A80" t="inlineStr">
        <is>
          <t>Договір</t>
        </is>
      </c>
      <c r="B80" s="5" t="n">
        <v>3</v>
      </c>
    </row>
    <row r="81">
      <c r="A81" t="inlineStr">
        <is>
          <t>Гарантія та сервіс</t>
        </is>
      </c>
      <c r="B81" s="5" t="n">
        <v>2</v>
      </c>
    </row>
    <row r="82">
      <c r="A82" t="inlineStr">
        <is>
          <t>Технічна специфікація</t>
        </is>
      </c>
      <c r="B82" s="5" t="n">
        <v>2</v>
      </c>
    </row>
    <row r="83">
      <c r="A83" t="inlineStr">
        <is>
          <t>Пропозиція учасника</t>
        </is>
      </c>
      <c r="B83" s="5" t="n">
        <v>2</v>
      </c>
    </row>
    <row r="84">
      <c r="A84" t="inlineStr">
        <is>
          <t>Досвід / аналогічні договори</t>
        </is>
      </c>
      <c r="B84" s="5" t="n">
        <v>1</v>
      </c>
    </row>
    <row r="86">
      <c r="A86" s="2" t="inlineStr">
        <is>
          <t>Угоди</t>
        </is>
      </c>
    </row>
    <row r="87">
      <c r="A87" s="11" t="inlineStr">
        <is>
          <t>Закупівля</t>
        </is>
      </c>
      <c r="B87" s="11" t="inlineStr">
        <is>
          <t>Дата</t>
        </is>
      </c>
      <c r="C87" s="11" t="inlineStr">
        <is>
          <t>Замовник</t>
        </is>
      </c>
      <c r="D87" s="11" t="inlineStr">
        <is>
          <t>Регіон</t>
        </is>
      </c>
      <c r="E87" s="11" t="inlineStr">
        <is>
          <t>Сума, грн</t>
        </is>
      </c>
      <c r="F87" s="11" t="inlineStr">
        <is>
          <t>Очікувана, грн</t>
        </is>
      </c>
      <c r="G87" s="11" t="inlineStr">
        <is>
          <t>Процедура</t>
        </is>
      </c>
      <c r="H87" s="11" t="inlineStr">
        <is>
          <t>Галузь</t>
        </is>
      </c>
      <c r="I87" s="11" t="inlineStr">
        <is>
          <t>Джерело</t>
        </is>
      </c>
    </row>
    <row r="88">
      <c r="A88" s="4" t="inlineStr">
        <is>
          <t>UA-2025-11-06-001423-a</t>
        </is>
      </c>
      <c r="B88" t="inlineStr">
        <is>
          <t>2025-11-26</t>
        </is>
      </c>
      <c r="C88" t="inlineStr">
        <is>
          <t>ГОЛОВНЕ УПРАВЛІННЯ ПЕНСІЙНОГО ФОНДУ УКРАЇНИ У ВОЛИНСЬКІЙ ОБЛАСТІ</t>
        </is>
      </c>
      <c r="D88" t="inlineStr">
        <is>
          <t>Волинська область</t>
        </is>
      </c>
      <c r="E88" s="5" t="n">
        <v>2176000</v>
      </c>
      <c r="F88" s="5" t="n">
        <v>2180000</v>
      </c>
      <c r="G88" t="inlineStr">
        <is>
          <t>Відкриті торги (нові)</t>
        </is>
      </c>
      <c r="H88" t="inlineStr">
        <is>
          <t>Комп’ютерне обладнання</t>
        </is>
      </c>
      <c r="I88" t="inlineStr">
        <is>
          <t>договір</t>
        </is>
      </c>
    </row>
    <row r="89">
      <c r="A89" s="4" t="inlineStr">
        <is>
          <t>UA-2025-10-31-010467-a</t>
        </is>
      </c>
      <c r="B89" t="inlineStr">
        <is>
          <t>2025-11-18</t>
        </is>
      </c>
      <c r="C89" t="inlineStr">
        <is>
          <t>ГОЛОВНЕ УПРАВЛІННЯ ПЕНСІЙНОГО ФОНДУ УКРАЇНИ У ВОЛИНСЬКІЙ ОБЛАСТІ</t>
        </is>
      </c>
      <c r="D89" t="inlineStr">
        <is>
          <t>Волинська область</t>
        </is>
      </c>
      <c r="E89" s="5" t="n">
        <v>679900</v>
      </c>
      <c r="F89" s="5" t="n">
        <v>680000</v>
      </c>
      <c r="G89" t="inlineStr">
        <is>
          <t>Відкриті торги (нові)</t>
        </is>
      </c>
      <c r="H89" t="inlineStr">
        <is>
          <t>Машини для обробки даних (апаратна частина)</t>
        </is>
      </c>
      <c r="I89" t="inlineStr">
        <is>
          <t>договір</t>
        </is>
      </c>
    </row>
    <row r="91">
      <c r="A91" s="2" t="inlineStr">
        <is>
          <t>Наші зустрічі</t>
        </is>
      </c>
    </row>
    <row r="92">
      <c r="A92" s="11" t="inlineStr">
        <is>
          <t>Закупівля</t>
        </is>
      </c>
      <c r="B92" s="11" t="inlineStr">
        <is>
          <t>Дата</t>
        </is>
      </c>
      <c r="C92" s="11" t="inlineStr">
        <is>
          <t>Замовник</t>
        </is>
      </c>
      <c r="D92" s="11" t="inlineStr">
        <is>
          <t>Предмет</t>
        </is>
      </c>
      <c r="E92" s="11" t="inlineStr">
        <is>
          <t>Сума переможця, грн</t>
        </is>
      </c>
      <c r="F92" s="11" t="inlineStr">
        <is>
          <t>Наша пропозиція, грн</t>
        </is>
      </c>
      <c r="G92" s="11" t="inlineStr">
        <is>
          <t>Розрив</t>
        </is>
      </c>
      <c r="H92" s="11" t="inlineStr">
        <is>
          <t>Що сталося</t>
        </is>
      </c>
    </row>
    <row r="93">
      <c r="A93" s="4" t="inlineStr">
        <is>
          <t>UA-2025-11-06-001423-a</t>
        </is>
      </c>
      <c r="B93" t="inlineStr">
        <is>
          <t>2025-11-06</t>
        </is>
      </c>
      <c r="C93" t="inlineStr">
        <is>
          <t>ГОЛОВНЕ УПРАВЛІННЯ ПЕНСІЙНОГО ФОНДУ УКРАЇНИ У ВОЛИНСЬКІЙ ОБЛАСТІ</t>
        </is>
      </c>
      <c r="D93" t="inlineStr">
        <is>
          <t>Багатофункціональні монохромні лазерні пристрої (ДК 021:2015 — 30230000-0 Комп’ю</t>
        </is>
      </c>
      <c r="E93" s="5" t="n">
        <v>2176000</v>
      </c>
      <c r="H93" t="inlineStr">
        <is>
          <t>ми не подавалися</t>
        </is>
      </c>
    </row>
    <row r="94">
      <c r="A94" s="4" t="inlineStr">
        <is>
          <t>UA-2025-10-31-010467-a</t>
        </is>
      </c>
      <c r="B94" t="inlineStr">
        <is>
          <t>2025-10-31</t>
        </is>
      </c>
      <c r="C94" t="inlineStr">
        <is>
          <t>ГОЛОВНЕ УПРАВЛІННЯ ПЕНСІЙНОГО ФОНДУ УКРАЇНИ У ВОЛИНСЬКІЙ ОБЛАСТІ</t>
        </is>
      </c>
      <c r="D94" t="inlineStr">
        <is>
          <t>Ноутбуки (діагональ екрану — не менше 17,0") (ДК 021:2015 — 30210000-4 Машини дл</t>
        </is>
      </c>
      <c r="E94" s="5" t="n">
        <v>679900</v>
      </c>
      <c r="H94" t="inlineStr">
        <is>
          <t>ми не подавалися</t>
        </is>
      </c>
    </row>
    <row r="96">
      <c r="A96" s="8" t="inlineStr">
        <is>
          <t>Сильні сторони</t>
        </is>
      </c>
    </row>
    <row r="97">
      <c r="A97" t="inlineStr">
        <is>
          <t>+  авторизація виробника (5 листів)</t>
        </is>
      </c>
    </row>
    <row r="98">
      <c r="A98" t="inlineStr">
        <is>
          <t>+  працює з великими контрактами</t>
        </is>
      </c>
    </row>
    <row r="100">
      <c r="A100" s="8" t="inlineStr">
        <is>
          <t>Слабкі сторони</t>
        </is>
      </c>
    </row>
    <row r="101">
      <c r="A101" t="inlineStr">
        <is>
          <t>−  сертифікатів у поданих файлах не знайдено</t>
        </is>
      </c>
    </row>
    <row r="102">
      <c r="A102" t="inlineStr">
        <is>
          <t>−  слабка цінова позиція: дисконт 0,1% проти 8,3% по ринку</t>
        </is>
      </c>
    </row>
  </sheetData>
  <hyperlinks>
    <hyperlink xmlns:r="http://schemas.openxmlformats.org/officeDocument/2006/relationships" ref="A88" r:id="rId1"/>
    <hyperlink xmlns:r="http://schemas.openxmlformats.org/officeDocument/2006/relationships" ref="A89" r:id="rId2"/>
    <hyperlink xmlns:r="http://schemas.openxmlformats.org/officeDocument/2006/relationships" ref="A93" r:id="rId3"/>
    <hyperlink xmlns:r="http://schemas.openxmlformats.org/officeDocument/2006/relationships" ref="A94" r:id="rId4"/>
  </hyperlinks>
  <pageMargins left="0.75" right="0.75" top="1" bottom="1" header="0.5" footer="0.5"/>
  <drawing xmlns:r="http://schemas.openxmlformats.org/officeDocument/2006/relationships" r:id="rId5"/>
  <tableParts count="4">
    <tablePart xmlns:r="http://schemas.openxmlformats.org/officeDocument/2006/relationships" r:id="rId6"/>
    <tablePart xmlns:r="http://schemas.openxmlformats.org/officeDocument/2006/relationships" r:id="rId7"/>
    <tablePart xmlns:r="http://schemas.openxmlformats.org/officeDocument/2006/relationships" r:id="rId8"/>
    <tablePart xmlns:r="http://schemas.openxmlformats.org/officeDocument/2006/relationships" r:id="rId9"/>
  </tableParts>
</worksheet>
</file>

<file path=xl/worksheets/sheet20.xml><?xml version="1.0" encoding="utf-8"?>
<worksheet xmlns="http://schemas.openxmlformats.org/spreadsheetml/2006/main">
  <sheetPr>
    <outlinePr summaryBelow="1" summaryRight="1"/>
    <pageSetUpPr/>
  </sheetPr>
  <dimension ref="A1:I228"/>
  <sheetViews>
    <sheetView showGridLines="0" workbookViewId="0">
      <selection activeCell="A1" sqref="A1"/>
    </sheetView>
  </sheetViews>
  <sheetFormatPr baseColWidth="8" defaultRowHeight="15"/>
  <cols>
    <col width="42" customWidth="1" min="1" max="1"/>
    <col width="35" customWidth="1" min="2" max="2"/>
    <col width="60" customWidth="1" min="3" max="3"/>
    <col width="60" customWidth="1" min="4" max="4"/>
    <col width="35" customWidth="1" min="5" max="5"/>
    <col width="60" customWidth="1" min="6" max="6"/>
    <col width="23" customWidth="1" min="7" max="7"/>
    <col width="45" customWidth="1" min="8" max="8"/>
    <col width="10" customWidth="1" min="9" max="9"/>
  </cols>
  <sheetData>
    <row r="1">
      <c r="A1" s="1" t="inlineStr">
        <is>
          <t>ТОВ «ЮДІТРЕЙД»</t>
        </is>
      </c>
    </row>
    <row r="2">
      <c r="A2" s="6" t="inlineStr">
        <is>
          <t>ЄДРПОУ 42036301  ·  конкурент  ·  місце №7</t>
        </is>
      </c>
    </row>
    <row r="4">
      <c r="A4" s="7" t="inlineStr">
        <is>
          <t>ТОВ «ЮДІТРЕЙД» (42036301)</t>
        </is>
      </c>
    </row>
    <row r="6">
      <c r="A6" s="8" t="inlineStr">
        <is>
          <t>Показники</t>
        </is>
      </c>
    </row>
    <row r="7">
      <c r="A7" s="9" t="inlineStr">
        <is>
          <t>Місце на ринку</t>
        </is>
      </c>
      <c r="B7" s="10" t="inlineStr">
        <is>
          <t>№7</t>
        </is>
      </c>
    </row>
    <row r="8">
      <c r="A8" s="9" t="inlineStr">
        <is>
          <t>Сума угод</t>
        </is>
      </c>
      <c r="B8" s="10" t="inlineStr">
        <is>
          <t>2,5 млн грн</t>
        </is>
      </c>
    </row>
    <row r="9">
      <c r="A9" s="9" t="inlineStr">
        <is>
          <t>Частка ринку</t>
        </is>
      </c>
      <c r="B9" s="10" t="inlineStr">
        <is>
          <t>2,1%</t>
        </is>
      </c>
    </row>
    <row r="10">
      <c r="A10" s="9" t="inlineStr">
        <is>
          <t>Угод</t>
        </is>
      </c>
      <c r="B10" s="10" t="inlineStr">
        <is>
          <t>10</t>
        </is>
      </c>
    </row>
    <row r="11">
      <c r="A11" s="9" t="inlineStr">
        <is>
          <t>Закупівель виграно</t>
        </is>
      </c>
      <c r="B11" s="10" t="inlineStr">
        <is>
          <t>10</t>
        </is>
      </c>
    </row>
    <row r="12">
      <c r="A12" s="9" t="inlineStr">
        <is>
          <t>Подань (де видно)</t>
        </is>
      </c>
      <c r="B12" s="10" t="inlineStr">
        <is>
          <t>28</t>
        </is>
      </c>
    </row>
    <row r="13">
      <c r="A13" s="9" t="inlineStr">
        <is>
          <t>Виграно з поданих</t>
        </is>
      </c>
      <c r="B13" s="10" t="inlineStr">
        <is>
          <t>10 з 28</t>
        </is>
      </c>
    </row>
    <row r="14">
      <c r="A14" s="9" t="inlineStr">
        <is>
          <t>Результативність</t>
        </is>
      </c>
      <c r="B14" s="10" t="inlineStr">
        <is>
          <t>35,7%</t>
        </is>
      </c>
    </row>
    <row r="15">
      <c r="A15" s="9" t="inlineStr">
        <is>
          <t>Середня угода</t>
        </is>
      </c>
      <c r="B15" s="10" t="inlineStr">
        <is>
          <t>250,4 тис. грн</t>
        </is>
      </c>
    </row>
    <row r="16">
      <c r="A16" s="9" t="inlineStr">
        <is>
          <t>Медіанна угода</t>
        </is>
      </c>
      <c r="B16" s="10" t="inlineStr">
        <is>
          <t>184,7 тис. грн</t>
        </is>
      </c>
    </row>
    <row r="17">
      <c r="A17" s="9" t="inlineStr">
        <is>
          <t>Замовників</t>
        </is>
      </c>
      <c r="B17" s="10" t="inlineStr">
        <is>
          <t>10</t>
        </is>
      </c>
    </row>
    <row r="18">
      <c r="A18" s="9" t="inlineStr">
        <is>
          <t>Областей</t>
        </is>
      </c>
      <c r="B18" s="10" t="inlineStr">
        <is>
          <t>1</t>
        </is>
      </c>
    </row>
    <row r="19">
      <c r="A19" s="9" t="inlineStr">
        <is>
          <t>Основна ТМ</t>
        </is>
      </c>
      <c r="B19" s="10" t="inlineStr">
        <is>
          <t>Intel</t>
        </is>
      </c>
    </row>
    <row r="20">
      <c r="A20" s="9" t="inlineStr">
        <is>
          <t>Основний товар</t>
        </is>
      </c>
      <c r="B20" s="10" t="inlineStr">
        <is>
          <t>Ноутбук</t>
        </is>
      </c>
    </row>
    <row r="21">
      <c r="A21" s="9" t="inlineStr">
        <is>
          <t>Дисконт (медіана)</t>
        </is>
      </c>
      <c r="B21" s="10" t="inlineStr">
        <is>
          <t>6,7%</t>
        </is>
      </c>
    </row>
    <row r="22">
      <c r="A22" s="9" t="inlineStr">
        <is>
          <t>Повторні замовники</t>
        </is>
      </c>
      <c r="B22" s="10" t="inlineStr">
        <is>
          <t>0,0%</t>
        </is>
      </c>
    </row>
    <row r="23">
      <c r="A23" s="9" t="inlineStr">
        <is>
          <t>Активність</t>
        </is>
      </c>
      <c r="B23" s="10" t="inlineStr">
        <is>
          <t>2025-10-08 — 2026-08-25</t>
        </is>
      </c>
    </row>
    <row r="24">
      <c r="A24" s="9" t="inlineStr">
        <is>
          <t>Зірвано перемог</t>
        </is>
      </c>
      <c r="B24" s="10" t="inlineStr">
        <is>
          <t>4 на 1,4 млн грн</t>
        </is>
      </c>
    </row>
    <row r="25">
      <c r="A25" s="9" t="inlineStr">
        <is>
          <t>Причина зривів</t>
        </is>
      </c>
      <c r="B25" s="10" t="inlineStr">
        <is>
          <t>Невідповідність технічним вимогам</t>
        </is>
      </c>
    </row>
    <row r="27">
      <c r="A27" s="8" t="inlineStr">
        <is>
          <t>Висновки</t>
        </is>
      </c>
    </row>
    <row r="28">
      <c r="A28" t="inlineStr">
        <is>
          <t>•  7-е місце на ринку: 2,5 млн грн (2,1% обороту)</t>
        </is>
      </c>
    </row>
    <row r="29">
      <c r="A29" t="inlineStr">
        <is>
          <t>•  Основний товар: ноутбук</t>
        </is>
      </c>
    </row>
    <row r="30">
      <c r="A30" t="inlineStr">
        <is>
          <t>•  ТМ Intel у 12,1% позицій</t>
        </is>
      </c>
    </row>
    <row r="31">
      <c r="A31" t="inlineStr">
        <is>
          <t>•  Портфель із 18 ТМ</t>
        </is>
      </c>
    </row>
    <row r="32">
      <c r="A32" t="inlineStr">
        <is>
          <t>•  Грає у відкритих процедурах: лише 0,0% угод без торгів</t>
        </is>
      </c>
    </row>
    <row r="33">
      <c r="A33" t="inlineStr">
        <is>
          <t>•  Географічно сфокусований: Волинська область (100,0% угод)</t>
        </is>
      </c>
    </row>
    <row r="34">
      <c r="A34" t="inlineStr">
        <is>
          <t>•  Результативність на торгах: 35,7% (10 з 28)</t>
        </is>
      </c>
    </row>
    <row r="35">
      <c r="A35" t="inlineStr">
        <is>
          <t>•  Динаміка: зростає (140% у другій половині періоду)</t>
        </is>
      </c>
    </row>
    <row r="36">
      <c r="A36" t="inlineStr">
        <is>
          <t>•  У поданих файлах — сертифікатів: 86, авторизаційних листів: 430</t>
        </is>
      </c>
    </row>
    <row r="37">
      <c r="A37" t="inlineStr">
        <is>
          <t>•  Зривається 28,6% виграшів: 4 з 14 на 1,4 млн грн, найчастіше — невідповідність технічним вимогам</t>
        </is>
      </c>
    </row>
    <row r="39">
      <c r="A39" s="8" t="inlineStr">
        <is>
          <t>Графіки</t>
        </is>
      </c>
    </row>
    <row r="41">
      <c r="A41" s="2" t="inlineStr">
        <is>
          <t>Динаміка по місяцях</t>
        </is>
      </c>
    </row>
    <row r="42">
      <c r="A42" s="3" t="inlineStr">
        <is>
          <t>Період</t>
        </is>
      </c>
      <c r="B42" s="3" t="inlineStr">
        <is>
          <t>Сума угод, грн</t>
        </is>
      </c>
    </row>
    <row r="43">
      <c r="A43" t="inlineStr">
        <is>
          <t>2025-10</t>
        </is>
      </c>
      <c r="B43" s="5" t="n">
        <v>134625</v>
      </c>
    </row>
    <row r="44">
      <c r="A44" t="inlineStr">
        <is>
          <t>2025-12</t>
        </is>
      </c>
      <c r="B44" s="5" t="n">
        <v>259921.92</v>
      </c>
    </row>
    <row r="45">
      <c r="A45" t="inlineStr">
        <is>
          <t>2026-03</t>
        </is>
      </c>
      <c r="B45" s="5" t="n">
        <v>268680</v>
      </c>
    </row>
    <row r="46">
      <c r="A46" t="inlineStr">
        <is>
          <t>2026-04</t>
        </is>
      </c>
      <c r="B46" s="5" t="n">
        <v>72999.89999999999</v>
      </c>
    </row>
    <row r="47">
      <c r="A47" t="inlineStr">
        <is>
          <t>2026-05</t>
        </is>
      </c>
      <c r="B47" s="5" t="n">
        <v>277877.4</v>
      </c>
    </row>
    <row r="48">
      <c r="A48" t="inlineStr">
        <is>
          <t>2026-06</t>
        </is>
      </c>
      <c r="B48" s="5" t="n">
        <v>238212</v>
      </c>
    </row>
    <row r="49">
      <c r="A49" t="inlineStr">
        <is>
          <t>2026-08</t>
        </is>
      </c>
      <c r="B49" s="5" t="n">
        <v>1251903.42</v>
      </c>
    </row>
    <row r="61">
      <c r="A61" s="2" t="inlineStr">
        <is>
          <t>Торгові марки у позиціях</t>
        </is>
      </c>
    </row>
    <row r="62">
      <c r="A62" s="3" t="inlineStr">
        <is>
          <t>Категорія</t>
        </is>
      </c>
      <c r="B62" s="3" t="inlineStr">
        <is>
          <t>Позицій, шт</t>
        </is>
      </c>
    </row>
    <row r="63">
      <c r="A63" t="inlineStr">
        <is>
          <t>Intel</t>
        </is>
      </c>
      <c r="B63" s="5" t="n">
        <v>4</v>
      </c>
    </row>
    <row r="64">
      <c r="A64" t="inlineStr">
        <is>
          <t>HP</t>
        </is>
      </c>
      <c r="B64" s="5" t="n">
        <v>4</v>
      </c>
    </row>
    <row r="65">
      <c r="A65" t="inlineStr">
        <is>
          <t>MSI</t>
        </is>
      </c>
      <c r="B65" s="5" t="n">
        <v>3</v>
      </c>
    </row>
    <row r="66">
      <c r="A66" t="inlineStr">
        <is>
          <t>Vinga</t>
        </is>
      </c>
      <c r="B66" s="5" t="n">
        <v>3</v>
      </c>
    </row>
    <row r="67">
      <c r="A67" t="inlineStr">
        <is>
          <t>Acer</t>
        </is>
      </c>
      <c r="B67" s="5" t="n">
        <v>2</v>
      </c>
    </row>
    <row r="68">
      <c r="A68" t="inlineStr">
        <is>
          <t>Kingston</t>
        </is>
      </c>
      <c r="B68" s="5" t="n">
        <v>2</v>
      </c>
    </row>
    <row r="69">
      <c r="A69" t="inlineStr">
        <is>
          <t>Logitech</t>
        </is>
      </c>
      <c r="B69" s="5" t="n">
        <v>2</v>
      </c>
    </row>
    <row r="70">
      <c r="A70" t="inlineStr">
        <is>
          <t>Western Digital</t>
        </is>
      </c>
      <c r="B70" s="5" t="n">
        <v>2</v>
      </c>
    </row>
    <row r="81">
      <c r="A81" s="2" t="inlineStr">
        <is>
          <t>Що саме продає</t>
        </is>
      </c>
    </row>
    <row r="82">
      <c r="A82" s="3" t="inlineStr">
        <is>
          <t>Категорія</t>
        </is>
      </c>
      <c r="B82" s="3" t="inlineStr">
        <is>
          <t>Позицій, шт</t>
        </is>
      </c>
    </row>
    <row r="83">
      <c r="A83" t="inlineStr">
        <is>
          <t>Ноутбук</t>
        </is>
      </c>
      <c r="B83" s="5" t="n">
        <v>11</v>
      </c>
    </row>
    <row r="84">
      <c r="A84" t="inlineStr">
        <is>
          <t>Персональний комп'ютер</t>
        </is>
      </c>
      <c r="B84" s="5" t="n">
        <v>9</v>
      </c>
    </row>
    <row r="85">
      <c r="A85" t="inlineStr">
        <is>
          <t>Системний блок</t>
        </is>
      </c>
      <c r="B85" s="5" t="n">
        <v>6</v>
      </c>
    </row>
    <row r="86">
      <c r="A86" t="inlineStr">
        <is>
          <t>Монітор</t>
        </is>
      </c>
      <c r="B86" s="5" t="n">
        <v>4</v>
      </c>
    </row>
    <row r="87">
      <c r="A87" t="inlineStr">
        <is>
          <t>Джерело безперебійного живлення</t>
        </is>
      </c>
      <c r="B87" s="5" t="n">
        <v>3</v>
      </c>
    </row>
    <row r="88">
      <c r="A88" t="inlineStr">
        <is>
          <t>Планшет</t>
        </is>
      </c>
      <c r="B88" s="5" t="n">
        <v>2</v>
      </c>
    </row>
    <row r="89">
      <c r="A89" t="inlineStr">
        <is>
          <t>Накопичувач (тип не вказано)</t>
        </is>
      </c>
      <c r="B89" s="5" t="n">
        <v>1</v>
      </c>
    </row>
    <row r="90">
      <c r="A90" t="inlineStr">
        <is>
          <t>Клавіатура</t>
        </is>
      </c>
      <c r="B90" s="5" t="n">
        <v>1</v>
      </c>
    </row>
    <row r="91">
      <c r="A91" t="inlineStr">
        <is>
          <t>Жорсткий диск (HDD)</t>
        </is>
      </c>
      <c r="B91" s="5" t="n">
        <v>1</v>
      </c>
    </row>
    <row r="92">
      <c r="A92" t="inlineStr">
        <is>
          <t>Багатофункціональний пристрій (БФП)</t>
        </is>
      </c>
      <c r="B92" s="5" t="n">
        <v>1</v>
      </c>
    </row>
    <row r="99">
      <c r="A99" s="2" t="inlineStr">
        <is>
          <t>Ключові замовники</t>
        </is>
      </c>
    </row>
    <row r="100">
      <c r="A100" s="3" t="inlineStr">
        <is>
          <t>Категорія</t>
        </is>
      </c>
      <c r="B100" s="3" t="inlineStr">
        <is>
          <t>Сума, грн</t>
        </is>
      </c>
    </row>
    <row r="101">
      <c r="A101" t="inlineStr">
        <is>
          <t>КП "ВОЛИНСЬКА ОБЛАСНА ПСИХІАТРИЧНА ЛІКАР</t>
        </is>
      </c>
      <c r="B101" s="5" t="n">
        <v>864280.62</v>
      </c>
    </row>
    <row r="102">
      <c r="A102" t="inlineStr">
        <is>
          <t>УПРАВЛІННЯ СЛУЖБИ БЕЗПЕКИ УКРАЇНИ У ВОЛИ</t>
        </is>
      </c>
      <c r="B102" s="5" t="n">
        <v>387622.8</v>
      </c>
    </row>
    <row r="103">
      <c r="A103" t="inlineStr">
        <is>
          <t>Військова частина А 1008</t>
        </is>
      </c>
      <c r="B103" s="5" t="n">
        <v>268680</v>
      </c>
    </row>
    <row r="104">
      <c r="A104" t="inlineStr">
        <is>
          <t>Виконавчий комітет Луцької міської ради</t>
        </is>
      </c>
      <c r="B104" s="5" t="n">
        <v>238212</v>
      </c>
    </row>
    <row r="105">
      <c r="A105" t="inlineStr">
        <is>
          <t>КП "Медичне об'єднання Луцької міської т</t>
        </is>
      </c>
      <c r="B105" s="5" t="n">
        <v>185082.3</v>
      </c>
    </row>
    <row r="106">
      <c r="A106" t="inlineStr">
        <is>
          <t>ВОЛИНСЬКИЙ НАУКОВО-ДОСЛІДНИЙ ЕКСПЕРТНО-К</t>
        </is>
      </c>
      <c r="B106" s="5" t="n">
        <v>184286.4</v>
      </c>
    </row>
    <row r="107">
      <c r="A107" t="inlineStr">
        <is>
          <t>НОВОВОЛИНСЬКИЙ ЛІЦЕЙ №4 ІМЕНІ Т.Г.ШЕВЧЕН</t>
        </is>
      </c>
      <c r="B107" s="5" t="n">
        <v>134625</v>
      </c>
    </row>
    <row r="108">
      <c r="A108" t="inlineStr">
        <is>
          <t>ВОЛИНСЬКА ОБЛАСНА ПРОКУРАТУРА</t>
        </is>
      </c>
      <c r="B108" s="5" t="n">
        <v>92795.10000000001</v>
      </c>
    </row>
    <row r="109">
      <c r="A109" t="inlineStr">
        <is>
          <t>ГОЛОВНЕ УПРАВЛІННЯ ПЕНСІЙНОГО ФОНДУ УКРА</t>
        </is>
      </c>
      <c r="B109" s="5" t="n">
        <v>75635.52</v>
      </c>
    </row>
    <row r="110">
      <c r="A110" t="inlineStr">
        <is>
          <t>СОШИЧНЕНСЬКА СІЛЬСЬКА РАДА</t>
        </is>
      </c>
      <c r="B110" s="5" t="n">
        <v>72999.89999999999</v>
      </c>
    </row>
    <row r="117">
      <c r="A117" s="2" t="inlineStr">
        <is>
          <t>Процедури</t>
        </is>
      </c>
    </row>
    <row r="118">
      <c r="A118" s="3" t="inlineStr">
        <is>
          <t>Категорія</t>
        </is>
      </c>
      <c r="B118" s="3" t="inlineStr">
        <is>
          <t>Угод, шт</t>
        </is>
      </c>
    </row>
    <row r="119">
      <c r="A119" t="inlineStr">
        <is>
          <t>Відкриті торги (нові)</t>
        </is>
      </c>
      <c r="B119" s="5" t="n">
        <v>7</v>
      </c>
    </row>
    <row r="120">
      <c r="A120" t="inlineStr">
        <is>
          <t>Запит пропозицій</t>
        </is>
      </c>
      <c r="B120" s="5" t="n">
        <v>2</v>
      </c>
    </row>
    <row r="121">
      <c r="A121" t="inlineStr">
        <is>
          <t>Допорогова</t>
        </is>
      </c>
      <c r="B121" s="5" t="n">
        <v>1</v>
      </c>
    </row>
    <row r="137">
      <c r="A137" s="8" t="inlineStr">
        <is>
          <t>Таблиці</t>
        </is>
      </c>
    </row>
    <row r="139">
      <c r="A139" s="2" t="inlineStr">
        <is>
          <t>ТМ</t>
        </is>
      </c>
    </row>
    <row r="140">
      <c r="A140" s="11" t="inlineStr">
        <is>
          <t>Торгова марка</t>
        </is>
      </c>
      <c r="B140" s="11" t="inlineStr">
        <is>
          <t>Позицій</t>
        </is>
      </c>
      <c r="C140" s="11" t="inlineStr">
        <is>
          <t>Частка</t>
        </is>
      </c>
      <c r="D140" s="11" t="inlineStr">
        <is>
          <t>Власна ТМ за довідником</t>
        </is>
      </c>
    </row>
    <row r="141">
      <c r="A141" t="inlineStr">
        <is>
          <t>Intel</t>
        </is>
      </c>
      <c r="B141" s="5" t="n">
        <v>4</v>
      </c>
      <c r="C141" s="12" t="n">
        <v>0.1212</v>
      </c>
      <c r="D141" t="inlineStr"/>
    </row>
    <row r="142">
      <c r="A142" t="inlineStr">
        <is>
          <t>HP</t>
        </is>
      </c>
      <c r="B142" s="5" t="n">
        <v>4</v>
      </c>
      <c r="C142" s="12" t="n">
        <v>0.1212</v>
      </c>
      <c r="D142" t="inlineStr"/>
    </row>
    <row r="143">
      <c r="A143" t="inlineStr">
        <is>
          <t>MSI</t>
        </is>
      </c>
      <c r="B143" s="5" t="n">
        <v>3</v>
      </c>
      <c r="C143" s="12" t="n">
        <v>0.09089999999999999</v>
      </c>
      <c r="D143" t="inlineStr"/>
    </row>
    <row r="144">
      <c r="A144" t="inlineStr">
        <is>
          <t>Vinga</t>
        </is>
      </c>
      <c r="B144" s="5" t="n">
        <v>3</v>
      </c>
      <c r="C144" s="12" t="n">
        <v>0.09089999999999999</v>
      </c>
      <c r="D144" t="inlineStr">
        <is>
          <t>КОМЕЛ</t>
        </is>
      </c>
    </row>
    <row r="145">
      <c r="A145" t="inlineStr">
        <is>
          <t>Acer</t>
        </is>
      </c>
      <c r="B145" s="5" t="n">
        <v>2</v>
      </c>
      <c r="C145" s="12" t="n">
        <v>0.0606</v>
      </c>
      <c r="D145" t="inlineStr"/>
    </row>
    <row r="146">
      <c r="A146" t="inlineStr">
        <is>
          <t>Kingston</t>
        </is>
      </c>
      <c r="B146" s="5" t="n">
        <v>2</v>
      </c>
      <c r="C146" s="12" t="n">
        <v>0.0606</v>
      </c>
      <c r="D146" t="inlineStr"/>
    </row>
    <row r="147">
      <c r="A147" t="inlineStr">
        <is>
          <t>Logitech</t>
        </is>
      </c>
      <c r="B147" s="5" t="n">
        <v>2</v>
      </c>
      <c r="C147" s="12" t="n">
        <v>0.0606</v>
      </c>
      <c r="D147" t="inlineStr"/>
    </row>
    <row r="148">
      <c r="A148" t="inlineStr">
        <is>
          <t>Western Digital</t>
        </is>
      </c>
      <c r="B148" s="5" t="n">
        <v>2</v>
      </c>
      <c r="C148" s="12" t="n">
        <v>0.0606</v>
      </c>
      <c r="D148" t="inlineStr"/>
    </row>
    <row r="149">
      <c r="A149" t="inlineStr">
        <is>
          <t>ASUS</t>
        </is>
      </c>
      <c r="B149" s="5" t="n">
        <v>2</v>
      </c>
      <c r="C149" s="12" t="n">
        <v>0.0606</v>
      </c>
      <c r="D149" t="inlineStr"/>
    </row>
    <row r="150">
      <c r="A150" t="inlineStr">
        <is>
          <t>Deepcool</t>
        </is>
      </c>
      <c r="B150" s="5" t="n">
        <v>1</v>
      </c>
      <c r="C150" s="12" t="n">
        <v>0.0303</v>
      </c>
      <c r="D150" t="inlineStr"/>
    </row>
    <row r="151">
      <c r="A151" t="inlineStr">
        <is>
          <t>Gigabyte</t>
        </is>
      </c>
      <c r="B151" s="5" t="n">
        <v>1</v>
      </c>
      <c r="C151" s="12" t="n">
        <v>0.0303</v>
      </c>
      <c r="D151" t="inlineStr"/>
    </row>
    <row r="152">
      <c r="A152" t="inlineStr">
        <is>
          <t>GOODRAM</t>
        </is>
      </c>
      <c r="B152" s="5" t="n">
        <v>1</v>
      </c>
      <c r="C152" s="12" t="n">
        <v>0.0303</v>
      </c>
      <c r="D152" t="inlineStr"/>
    </row>
    <row r="153">
      <c r="A153" t="inlineStr">
        <is>
          <t>Chieftec</t>
        </is>
      </c>
      <c r="B153" s="5" t="n">
        <v>1</v>
      </c>
      <c r="C153" s="12" t="n">
        <v>0.0303</v>
      </c>
      <c r="D153" t="inlineStr"/>
    </row>
    <row r="154">
      <c r="A154" t="inlineStr">
        <is>
          <t>GAMEMAX</t>
        </is>
      </c>
      <c r="B154" s="5" t="n">
        <v>1</v>
      </c>
      <c r="C154" s="12" t="n">
        <v>0.0303</v>
      </c>
      <c r="D154" t="inlineStr"/>
    </row>
    <row r="155">
      <c r="A155" t="inlineStr">
        <is>
          <t>Microsoft</t>
        </is>
      </c>
      <c r="B155" s="5" t="n">
        <v>1</v>
      </c>
      <c r="C155" s="12" t="n">
        <v>0.0303</v>
      </c>
      <c r="D155" t="inlineStr"/>
    </row>
    <row r="156">
      <c r="A156" t="inlineStr">
        <is>
          <t>Dell</t>
        </is>
      </c>
      <c r="B156" s="5" t="n">
        <v>1</v>
      </c>
      <c r="C156" s="12" t="n">
        <v>0.0303</v>
      </c>
      <c r="D156" t="inlineStr"/>
    </row>
    <row r="157">
      <c r="A157" t="inlineStr">
        <is>
          <t>Samsung</t>
        </is>
      </c>
      <c r="B157" s="5" t="n">
        <v>1</v>
      </c>
      <c r="C157" s="12" t="n">
        <v>0.0303</v>
      </c>
      <c r="D157" t="inlineStr"/>
    </row>
    <row r="158">
      <c r="A158" t="inlineStr">
        <is>
          <t>Artline</t>
        </is>
      </c>
      <c r="B158" s="5" t="n">
        <v>1</v>
      </c>
      <c r="C158" s="12" t="n">
        <v>0.0303</v>
      </c>
      <c r="D158" t="inlineStr">
        <is>
          <t>АРТЛАЙН ІНТЕГРАЦІЯ</t>
        </is>
      </c>
    </row>
    <row r="160">
      <c r="A160" s="2" t="inlineStr">
        <is>
          <t>Товари</t>
        </is>
      </c>
    </row>
    <row r="161">
      <c r="A161" s="11" t="inlineStr">
        <is>
          <t>Товар</t>
        </is>
      </c>
      <c r="B161" s="11" t="inlineStr">
        <is>
          <t>Позицій</t>
        </is>
      </c>
    </row>
    <row r="162">
      <c r="A162" t="inlineStr">
        <is>
          <t>Ноутбук</t>
        </is>
      </c>
      <c r="B162" s="5" t="n">
        <v>11</v>
      </c>
    </row>
    <row r="163">
      <c r="A163" t="inlineStr">
        <is>
          <t>Персональний комп'ютер</t>
        </is>
      </c>
      <c r="B163" s="5" t="n">
        <v>9</v>
      </c>
    </row>
    <row r="164">
      <c r="A164" t="inlineStr">
        <is>
          <t>Системний блок</t>
        </is>
      </c>
      <c r="B164" s="5" t="n">
        <v>6</v>
      </c>
    </row>
    <row r="165">
      <c r="A165" t="inlineStr">
        <is>
          <t>Монітор</t>
        </is>
      </c>
      <c r="B165" s="5" t="n">
        <v>4</v>
      </c>
    </row>
    <row r="166">
      <c r="A166" t="inlineStr">
        <is>
          <t>Джерело безперебійного живлення</t>
        </is>
      </c>
      <c r="B166" s="5" t="n">
        <v>3</v>
      </c>
    </row>
    <row r="167">
      <c r="A167" t="inlineStr">
        <is>
          <t>Планшет</t>
        </is>
      </c>
      <c r="B167" s="5" t="n">
        <v>2</v>
      </c>
    </row>
    <row r="168">
      <c r="A168" t="inlineStr">
        <is>
          <t>Накопичувач (тип не вказано)</t>
        </is>
      </c>
      <c r="B168" s="5" t="n">
        <v>1</v>
      </c>
    </row>
    <row r="169">
      <c r="A169" t="inlineStr">
        <is>
          <t>Клавіатура</t>
        </is>
      </c>
      <c r="B169" s="5" t="n">
        <v>1</v>
      </c>
    </row>
    <row r="170">
      <c r="A170" t="inlineStr">
        <is>
          <t>Жорсткий диск (HDD)</t>
        </is>
      </c>
      <c r="B170" s="5" t="n">
        <v>1</v>
      </c>
    </row>
    <row r="171">
      <c r="A171" t="inlineStr">
        <is>
          <t>Багатофункціональний пристрій (БФП)</t>
        </is>
      </c>
      <c r="B171" s="5" t="n">
        <v>1</v>
      </c>
    </row>
    <row r="172">
      <c r="A172" t="inlineStr">
        <is>
          <t>Сканер</t>
        </is>
      </c>
      <c r="B172" s="5" t="n">
        <v>1</v>
      </c>
    </row>
    <row r="174">
      <c r="A174" s="2" t="inlineStr">
        <is>
          <t>Документи</t>
        </is>
      </c>
    </row>
    <row r="175">
      <c r="A175" s="11" t="inlineStr">
        <is>
          <t>Тип документа</t>
        </is>
      </c>
      <c r="B175" s="11" t="inlineStr">
        <is>
          <t>Файлів</t>
        </is>
      </c>
    </row>
    <row r="176">
      <c r="A176" t="inlineStr">
        <is>
          <t>Підпис КЕП</t>
        </is>
      </c>
      <c r="B176" s="5" t="n">
        <v>1031</v>
      </c>
    </row>
    <row r="177">
      <c r="A177" t="inlineStr">
        <is>
          <t>Лист виробника / авторизація</t>
        </is>
      </c>
      <c r="B177" s="5" t="n">
        <v>430</v>
      </c>
    </row>
    <row r="178">
      <c r="A178" t="inlineStr">
        <is>
          <t>не класифіковано</t>
        </is>
      </c>
      <c r="B178" s="5" t="n">
        <v>202</v>
      </c>
    </row>
    <row r="179">
      <c r="A179" t="inlineStr">
        <is>
          <t>Тендерна документація</t>
        </is>
      </c>
      <c r="B179" s="5" t="n">
        <v>197</v>
      </c>
    </row>
    <row r="180">
      <c r="A180" t="inlineStr">
        <is>
          <t>Установчі та реєстраційні</t>
        </is>
      </c>
      <c r="B180" s="5" t="n">
        <v>166</v>
      </c>
    </row>
    <row r="181">
      <c r="A181" t="inlineStr">
        <is>
          <t>Сертифікат / декларація відповідності</t>
        </is>
      </c>
      <c r="B181" s="5" t="n">
        <v>86</v>
      </c>
    </row>
    <row r="182">
      <c r="A182" t="inlineStr">
        <is>
          <t>Досвід / аналогічні договори</t>
        </is>
      </c>
      <c r="B182" s="5" t="n">
        <v>24</v>
      </c>
    </row>
    <row r="183">
      <c r="A183" t="inlineStr">
        <is>
          <t>Технічна специфікація</t>
        </is>
      </c>
      <c r="B183" s="5" t="n">
        <v>18</v>
      </c>
    </row>
    <row r="184">
      <c r="A184" t="inlineStr">
        <is>
          <t>Пропозиція учасника</t>
        </is>
      </c>
      <c r="B184" s="5" t="n">
        <v>17</v>
      </c>
    </row>
    <row r="185">
      <c r="A185" t="inlineStr">
        <is>
          <t>Договір</t>
        </is>
      </c>
      <c r="B185" s="5" t="n">
        <v>11</v>
      </c>
    </row>
    <row r="186">
      <c r="A186" t="inlineStr">
        <is>
          <t>Цінова пропозиція</t>
        </is>
      </c>
      <c r="B186" s="5" t="n">
        <v>7</v>
      </c>
    </row>
    <row r="187">
      <c r="A187" t="inlineStr">
        <is>
          <t>Гарантія та сервіс</t>
        </is>
      </c>
      <c r="B187" s="5" t="n">
        <v>1</v>
      </c>
    </row>
    <row r="189">
      <c r="A189" s="2" t="inlineStr">
        <is>
          <t>Зірвані перемоги</t>
        </is>
      </c>
    </row>
    <row r="190">
      <c r="A190" s="11" t="inlineStr">
        <is>
          <t>Закупівля</t>
        </is>
      </c>
      <c r="B190" s="11" t="inlineStr">
        <is>
          <t>Дата</t>
        </is>
      </c>
      <c r="C190" s="11" t="inlineStr">
        <is>
          <t>Замовник</t>
        </is>
      </c>
      <c r="D190" s="11" t="inlineStr">
        <is>
          <t>Сума, грн</t>
        </is>
      </c>
      <c r="E190" s="11" t="inlineStr">
        <is>
          <t>Причина</t>
        </is>
      </c>
      <c r="F190" s="11" t="inlineStr">
        <is>
          <t>Формулювання замовника</t>
        </is>
      </c>
    </row>
    <row r="191">
      <c r="A191" s="4" t="inlineStr">
        <is>
          <t>UA-2026-04-10-009243-a</t>
        </is>
      </c>
      <c r="B191" t="inlineStr">
        <is>
          <t>2026-05-27</t>
        </is>
      </c>
      <c r="C191" t="inlineStr">
        <is>
          <t>ГОЛОВНЕ УПРАВЛІННЯ ПЕНСІЙНОГО ФОНДУ УКРАЇНИ У ВОЛИНСЬКІЙ ОБЛАСТІ</t>
        </is>
      </c>
      <c r="D191" s="13" t="n">
        <v>937425</v>
      </c>
      <c r="E191" t="inlineStr">
        <is>
          <t>Невідповідність технічним вимогам</t>
        </is>
      </c>
      <c r="F191" t="inlineStr">
        <is>
          <t>Тендерна пропозиція учасника не відповідає умовам технічної специфікації та іншим вимогам щодо предмета закупівлі тендерної документації, крім невідповідності в інформації та/або документах, що може бути усунена учасником процедури закупівлі відповідно до пункту 43 Особливостей</t>
        </is>
      </c>
    </row>
    <row r="192">
      <c r="A192" s="4" t="inlineStr">
        <is>
          <t>UA-2025-11-28-014373-a</t>
        </is>
      </c>
      <c r="B192" t="inlineStr">
        <is>
          <t>2025-12-09</t>
        </is>
      </c>
      <c r="C192" t="inlineStr">
        <is>
          <t>Нововолинський електромеханічний фаховий коледж</t>
        </is>
      </c>
      <c r="D192" s="13" t="n">
        <v>196788</v>
      </c>
      <c r="E192" t="inlineStr">
        <is>
          <t>Невідповідність технічним вимогам</t>
        </is>
      </c>
      <c r="F192" t="inlineStr">
        <is>
          <t>Тендерна пропозиція учасника не відповідає умовам технічної специфікації та іншим вимогам щодо предмета закупівлі тендерної документації, крім невідповідності в інформації та/або документах, що може бути усунена учасником процедури закупівлі відповідно до пункту 43 Особливостей</t>
        </is>
      </c>
    </row>
    <row r="193">
      <c r="A193" s="4" t="inlineStr">
        <is>
          <t>UA-2026-03-12-003768-a</t>
        </is>
      </c>
      <c r="B193" t="inlineStr">
        <is>
          <t>2026-03-24</t>
        </is>
      </c>
      <c r="C193" t="inlineStr">
        <is>
          <t>КП "Медичне об'єднання Луцької міської територіальної громади"</t>
        </is>
      </c>
      <c r="D193" s="13" t="n">
        <v>189804</v>
      </c>
      <c r="E193" t="inlineStr">
        <is>
          <t>Невідповідність технічним вимогам</t>
        </is>
      </c>
      <c r="F193" t="inlineStr">
        <is>
          <t xml:space="preserve">не відповідає умовам технічної специфікації та іншим вимогам щодо предмета закупівлі тендерної документації, крім невідповідності в інформації та/або документах, що може бути усунена учасником процедури закупівлі відповідно до пункту 43 Особливостей;; не відповідає вимогам, установленим у тендерній </t>
        </is>
      </c>
    </row>
    <row r="194">
      <c r="A194" s="4" t="inlineStr">
        <is>
          <t>UA-2025-10-24-010296-a</t>
        </is>
      </c>
      <c r="B194" t="inlineStr">
        <is>
          <t>2025-11-10</t>
        </is>
      </c>
      <c r="C194" t="inlineStr">
        <is>
          <t>Територіальне управління Державної судової адміністрації України в Волинській області</t>
        </is>
      </c>
      <c r="D194" s="13" t="n">
        <v>79938.89999999999</v>
      </c>
      <c r="E194" t="inlineStr">
        <is>
          <t>Відмова від договору</t>
        </is>
      </c>
      <c r="F194" t="inlineStr">
        <is>
          <t>Переможець письмово відмовився від укладання договору на умовах, визначених у запиті пропозицій постачальників</t>
        </is>
      </c>
    </row>
    <row r="196">
      <c r="A196" s="2" t="inlineStr">
        <is>
          <t>Угоди</t>
        </is>
      </c>
    </row>
    <row r="197">
      <c r="A197" s="11" t="inlineStr">
        <is>
          <t>Закупівля</t>
        </is>
      </c>
      <c r="B197" s="11" t="inlineStr">
        <is>
          <t>Дата</t>
        </is>
      </c>
      <c r="C197" s="11" t="inlineStr">
        <is>
          <t>Замовник</t>
        </is>
      </c>
      <c r="D197" s="11" t="inlineStr">
        <is>
          <t>Регіон</t>
        </is>
      </c>
      <c r="E197" s="11" t="inlineStr">
        <is>
          <t>Сума, грн</t>
        </is>
      </c>
      <c r="F197" s="11" t="inlineStr">
        <is>
          <t>Очікувана, грн</t>
        </is>
      </c>
      <c r="G197" s="11" t="inlineStr">
        <is>
          <t>Процедура</t>
        </is>
      </c>
      <c r="H197" s="11" t="inlineStr">
        <is>
          <t>Галузь</t>
        </is>
      </c>
      <c r="I197" s="11" t="inlineStr">
        <is>
          <t>Джерело</t>
        </is>
      </c>
    </row>
    <row r="198">
      <c r="A198" s="4" t="inlineStr">
        <is>
          <t>UA-2026-08-07-011538-a</t>
        </is>
      </c>
      <c r="B198" t="inlineStr">
        <is>
          <t>2026-08-25</t>
        </is>
      </c>
      <c r="C198" t="inlineStr">
        <is>
          <t>КП "ВОЛИНСЬКА ОБЛАСНА ПСИХІАТРИЧНА ЛІКАРНЯ М.ЛУЦЬКА" ВОЛИНСЬКОЇ ОБЛАСНОЇ РАДИ</t>
        </is>
      </c>
      <c r="D198" t="inlineStr">
        <is>
          <t>Волинська область</t>
        </is>
      </c>
      <c r="E198" s="13" t="n">
        <v>864280.62</v>
      </c>
      <c r="F198" s="13" t="n">
        <v>788200</v>
      </c>
      <c r="G198" t="inlineStr">
        <is>
          <t>Відкриті торги (нові)</t>
        </is>
      </c>
      <c r="H198" t="inlineStr">
        <is>
          <t>Машини для обробки даних (апаратна частина)</t>
        </is>
      </c>
      <c r="I198" t="inlineStr">
        <is>
          <t>договір</t>
        </is>
      </c>
    </row>
    <row r="199">
      <c r="A199" s="4" t="inlineStr">
        <is>
          <t>UA-2026-07-10-004513-a</t>
        </is>
      </c>
      <c r="B199" t="inlineStr">
        <is>
          <t>2026-08-05</t>
        </is>
      </c>
      <c r="C199" t="inlineStr">
        <is>
          <t>УПРАВЛІННЯ СЛУЖБИ БЕЗПЕКИ УКРАЇНИ У ВОЛИНСЬКІЙ ОБЛАСТІ</t>
        </is>
      </c>
      <c r="D199" t="inlineStr">
        <is>
          <t>Волинська область</t>
        </is>
      </c>
      <c r="E199" s="13" t="n">
        <v>387622.8</v>
      </c>
      <c r="F199" s="13" t="n">
        <v>864666.67</v>
      </c>
      <c r="G199" t="inlineStr">
        <is>
          <t>Відкриті торги (нові)</t>
        </is>
      </c>
      <c r="H199" t="inlineStr">
        <is>
          <t>Комп’ютерне обладнання</t>
        </is>
      </c>
      <c r="I199" t="inlineStr">
        <is>
          <t>договір</t>
        </is>
      </c>
    </row>
    <row r="200">
      <c r="A200" s="4" t="inlineStr">
        <is>
          <t>UA-2026-03-04-000126-a</t>
        </is>
      </c>
      <c r="B200" t="inlineStr">
        <is>
          <t>2026-03-25</t>
        </is>
      </c>
      <c r="C200" t="inlineStr">
        <is>
          <t>Військова частина А 1008</t>
        </is>
      </c>
      <c r="D200" t="inlineStr">
        <is>
          <t>Волинська область</t>
        </is>
      </c>
      <c r="E200" s="13" t="n">
        <v>268680</v>
      </c>
      <c r="F200" s="13" t="n">
        <v>279980</v>
      </c>
      <c r="G200" t="inlineStr">
        <is>
          <t>Допорогова</t>
        </is>
      </c>
      <c r="H200" t="inlineStr">
        <is>
          <t>Машини для обробки даних (апаратна частина)</t>
        </is>
      </c>
      <c r="I200" t="inlineStr">
        <is>
          <t>договір</t>
        </is>
      </c>
    </row>
    <row r="201">
      <c r="A201" s="4" t="inlineStr">
        <is>
          <t>UA-2026-05-29-003362-a</t>
        </is>
      </c>
      <c r="B201" t="inlineStr">
        <is>
          <t>2026-06-23</t>
        </is>
      </c>
      <c r="C201" t="inlineStr">
        <is>
          <t>Виконавчий комітет Луцької міської ради</t>
        </is>
      </c>
      <c r="D201" t="inlineStr">
        <is>
          <t>Волинська область</t>
        </is>
      </c>
      <c r="E201" s="13" t="n">
        <v>238212</v>
      </c>
      <c r="F201" s="13" t="n">
        <v>251000</v>
      </c>
      <c r="G201" t="inlineStr">
        <is>
          <t>Відкриті торги (нові)</t>
        </is>
      </c>
      <c r="H201" t="inlineStr">
        <is>
          <t>Машини для обробки даних (апаратна частина)</t>
        </is>
      </c>
      <c r="I201" t="inlineStr">
        <is>
          <t>договір</t>
        </is>
      </c>
    </row>
    <row r="202">
      <c r="A202" s="4" t="inlineStr">
        <is>
          <t>UA-2026-04-21-012151-a</t>
        </is>
      </c>
      <c r="B202" t="inlineStr">
        <is>
          <t>2026-05-18</t>
        </is>
      </c>
      <c r="C202" t="inlineStr">
        <is>
          <t>КП "Медичне об'єднання Луцької міської територіальної громади"</t>
        </is>
      </c>
      <c r="D202" t="inlineStr">
        <is>
          <t>Волинська область</t>
        </is>
      </c>
      <c r="E202" s="13" t="n">
        <v>185082.3</v>
      </c>
      <c r="F202" s="13" t="n">
        <v>202500</v>
      </c>
      <c r="G202" t="inlineStr">
        <is>
          <t>Відкриті торги (нові)</t>
        </is>
      </c>
      <c r="H202" t="inlineStr">
        <is>
          <t>Комп’ютерне обладнання</t>
        </is>
      </c>
      <c r="I202" t="inlineStr">
        <is>
          <t>договір</t>
        </is>
      </c>
    </row>
    <row r="203">
      <c r="A203" s="4" t="inlineStr">
        <is>
          <t>UA-2025-11-17-006240-a</t>
        </is>
      </c>
      <c r="B203" t="inlineStr">
        <is>
          <t>2025-12-04</t>
        </is>
      </c>
      <c r="C203" t="inlineStr">
        <is>
          <t>ВОЛИНСЬКИЙ НАУКОВО-ДОСЛІДНИЙ ЕКСПЕРТНО-КРИМІНАЛІСТИЧНИЙ ЦЕНТР МВС УКРАЇНИ</t>
        </is>
      </c>
      <c r="D203" t="inlineStr">
        <is>
          <t>Волинська область</t>
        </is>
      </c>
      <c r="E203" s="13" t="n">
        <v>184286.4</v>
      </c>
      <c r="F203" s="13" t="n">
        <v>192655</v>
      </c>
      <c r="G203" t="inlineStr">
        <is>
          <t>Відкриті торги (нові)</t>
        </is>
      </c>
      <c r="H203" t="inlineStr">
        <is>
          <t>Машини для обробки даних (апаратна частина)</t>
        </is>
      </c>
      <c r="I203" t="inlineStr">
        <is>
          <t>договір</t>
        </is>
      </c>
    </row>
    <row r="204">
      <c r="A204" s="4" t="inlineStr">
        <is>
          <t>UA-2025-09-09-006638-a</t>
        </is>
      </c>
      <c r="B204" t="inlineStr">
        <is>
          <t>2025-10-08</t>
        </is>
      </c>
      <c r="C204" t="inlineStr">
        <is>
          <t>НОВОВОЛИНСЬКИЙ ЛІЦЕЙ №4 ІМЕНІ Т.Г.ШЕВЧЕНКА НОВОВОЛИНСЬКОЇ МІСЬКОЇ РАДИ ВОЛИНСЬКОЇ ОБЛАСТІ</t>
        </is>
      </c>
      <c r="D204" t="inlineStr">
        <is>
          <t>Волинська область</t>
        </is>
      </c>
      <c r="E204" s="13" t="n">
        <v>134625</v>
      </c>
      <c r="F204" s="13" t="n">
        <v>164430</v>
      </c>
      <c r="G204" t="inlineStr">
        <is>
          <t>Відкриті торги (нові)</t>
        </is>
      </c>
      <c r="H204" t="inlineStr">
        <is>
          <t>Машини для обробки даних (апаратна частина)</t>
        </is>
      </c>
      <c r="I204" t="inlineStr">
        <is>
          <t>договір</t>
        </is>
      </c>
    </row>
    <row r="205">
      <c r="A205" s="4" t="inlineStr">
        <is>
          <t>UA-2026-05-07-002811-a</t>
        </is>
      </c>
      <c r="B205" t="inlineStr">
        <is>
          <t>2026-05-18</t>
        </is>
      </c>
      <c r="C205" t="inlineStr">
        <is>
          <t>ВОЛИНСЬКА ОБЛАСНА ПРОКУРАТУРА</t>
        </is>
      </c>
      <c r="D205" t="inlineStr">
        <is>
          <t>Волинська область</t>
        </is>
      </c>
      <c r="E205" s="13" t="n">
        <v>92795.10000000001</v>
      </c>
      <c r="F205" s="13" t="n">
        <v>99495</v>
      </c>
      <c r="G205" t="inlineStr">
        <is>
          <t>Запит пропозицій</t>
        </is>
      </c>
      <c r="H205" t="inlineStr">
        <is>
          <t>Машини для обробки даних (апаратна частина)</t>
        </is>
      </c>
      <c r="I205" t="inlineStr">
        <is>
          <t>договір</t>
        </is>
      </c>
    </row>
    <row r="206">
      <c r="A206" s="4" t="inlineStr">
        <is>
          <t>UA-2025-12-10-005117-a</t>
        </is>
      </c>
      <c r="B206" t="inlineStr">
        <is>
          <t>2025-12-22</t>
        </is>
      </c>
      <c r="C206" t="inlineStr">
        <is>
          <t>ГОЛОВНЕ УПРАВЛІННЯ ПЕНСІЙНОГО ФОНДУ УКРАЇНИ У ВОЛИНСЬКІЙ ОБЛАСТІ</t>
        </is>
      </c>
      <c r="D206" t="inlineStr">
        <is>
          <t>Волинська область</t>
        </is>
      </c>
      <c r="E206" s="13" t="n">
        <v>75635.52</v>
      </c>
      <c r="F206" s="13" t="n">
        <v>86400</v>
      </c>
      <c r="G206" t="inlineStr">
        <is>
          <t>Запит пропозицій</t>
        </is>
      </c>
      <c r="H206" t="inlineStr">
        <is>
          <t>Машини для обробки даних (апаратна частина)</t>
        </is>
      </c>
      <c r="I206" t="inlineStr">
        <is>
          <t>договір</t>
        </is>
      </c>
    </row>
    <row r="207">
      <c r="A207" s="4" t="inlineStr">
        <is>
          <t>UA-2026-04-03-001729-a</t>
        </is>
      </c>
      <c r="B207" t="inlineStr">
        <is>
          <t>2026-04-30</t>
        </is>
      </c>
      <c r="C207" t="inlineStr">
        <is>
          <t>СОШИЧНЕНСЬКА СІЛЬСЬКА РАДА</t>
        </is>
      </c>
      <c r="D207" t="inlineStr">
        <is>
          <t>Волинська область</t>
        </is>
      </c>
      <c r="E207" s="13" t="n">
        <v>72999.89999999999</v>
      </c>
      <c r="F207" s="13" t="n">
        <v>73000</v>
      </c>
      <c r="G207" t="inlineStr">
        <is>
          <t>Відкриті торги (нові)</t>
        </is>
      </c>
      <c r="H207" t="inlineStr">
        <is>
          <t>Машини для обробки даних (апаратна частина)</t>
        </is>
      </c>
      <c r="I207" t="inlineStr">
        <is>
          <t>договір</t>
        </is>
      </c>
    </row>
    <row r="209">
      <c r="A209" s="2" t="inlineStr">
        <is>
          <t>Наші зустрічі</t>
        </is>
      </c>
    </row>
    <row r="210">
      <c r="A210" s="11" t="inlineStr">
        <is>
          <t>Закупівля</t>
        </is>
      </c>
      <c r="B210" s="11" t="inlineStr">
        <is>
          <t>Дата</t>
        </is>
      </c>
      <c r="C210" s="11" t="inlineStr">
        <is>
          <t>Замовник</t>
        </is>
      </c>
      <c r="D210" s="11" t="inlineStr">
        <is>
          <t>Предмет</t>
        </is>
      </c>
      <c r="E210" s="11" t="inlineStr">
        <is>
          <t>Сума переможця, грн</t>
        </is>
      </c>
      <c r="F210" s="11" t="inlineStr">
        <is>
          <t>Наша пропозиція, грн</t>
        </is>
      </c>
      <c r="G210" s="11" t="inlineStr">
        <is>
          <t>Розрив</t>
        </is>
      </c>
      <c r="H210" s="11" t="inlineStr">
        <is>
          <t>Що сталося</t>
        </is>
      </c>
    </row>
    <row r="211">
      <c r="A211" s="4" t="inlineStr">
        <is>
          <t>UA-2026-08-07-011538-a</t>
        </is>
      </c>
      <c r="B211" t="inlineStr">
        <is>
          <t>2026-08-07</t>
        </is>
      </c>
      <c r="C211" t="inlineStr">
        <is>
          <t>КП "ВОЛИНСЬКА ОБЛАСНА ПСИХІАТРИЧНА ЛІКАРНЯ М.ЛУЦЬКА" ВОЛИНСЬКОЇ ОБЛАСНОЇ РАДИ</t>
        </is>
      </c>
      <c r="D211" t="inlineStr">
        <is>
          <t>Комп'ютер в комплектації (ДК 021:2015:30213300-8-настільні комп'ютери (код ДК 02</t>
        </is>
      </c>
      <c r="E211" s="13" t="n">
        <v>720233.85</v>
      </c>
      <c r="F211" s="5" t="n"/>
      <c r="G211" s="12" t="n"/>
      <c r="H211" t="inlineStr">
        <is>
          <t>ми не подавалися</t>
        </is>
      </c>
    </row>
    <row r="212">
      <c r="A212" s="4" t="inlineStr">
        <is>
          <t>UA-2026-07-10-004513-a</t>
        </is>
      </c>
      <c r="B212" t="inlineStr">
        <is>
          <t>2026-07-10</t>
        </is>
      </c>
      <c r="C212" t="inlineStr">
        <is>
          <t>УПРАВЛІННЯ СЛУЖБИ БЕЗПЕКИ УКРАЇНИ У ВОЛИНСЬКІЙ ОБЛАСТІ</t>
        </is>
      </c>
      <c r="D212" t="inlineStr">
        <is>
          <t xml:space="preserve">30230000-0 Комп’ютерне обладнання Лот 1 Персональні комп'ютери (системний блок, </t>
        </is>
      </c>
      <c r="E212" s="13" t="n">
        <v>323019</v>
      </c>
      <c r="F212" s="5" t="n">
        <v>323040</v>
      </c>
      <c r="G212" s="12" t="n">
        <v>0.0001</v>
      </c>
      <c r="H212" t="inlineStr">
        <is>
          <t>програли за ціною</t>
        </is>
      </c>
    </row>
    <row r="213">
      <c r="A213" s="4" t="inlineStr">
        <is>
          <t>UA-2026-03-04-000126-a</t>
        </is>
      </c>
      <c r="B213" t="inlineStr">
        <is>
          <t>2026-03-04</t>
        </is>
      </c>
      <c r="C213" t="inlineStr">
        <is>
          <t>Військова частина А 1008</t>
        </is>
      </c>
      <c r="D213" t="inlineStr">
        <is>
          <t>Планшет Samsung Galaxy Tab A11+ SM-X230 8/­256GB Gray (SM-X230NZAPEUC) з чохлом-</t>
        </is>
      </c>
      <c r="E213" s="13" t="n">
        <v>268680</v>
      </c>
      <c r="F213" s="5" t="n"/>
      <c r="G213" s="12" t="n"/>
      <c r="H213" t="inlineStr">
        <is>
          <t>ми не подавалися</t>
        </is>
      </c>
    </row>
    <row r="214">
      <c r="A214" s="4" t="inlineStr">
        <is>
          <t>UA-2026-05-29-003362-a</t>
        </is>
      </c>
      <c r="B214" t="inlineStr">
        <is>
          <t>2026-05-29</t>
        </is>
      </c>
      <c r="C214" t="inlineStr">
        <is>
          <t>Виконавчий комітет Луцької міської ради</t>
        </is>
      </c>
      <c r="D214" t="inlineStr">
        <is>
          <t>Ігровий ноутбук ACER Predator Helios 18 PH18-73 Abyssal Black (NH.QVXEU.003) (Дл</t>
        </is>
      </c>
      <c r="E214" s="13" t="n">
        <v>238212</v>
      </c>
      <c r="F214" s="5" t="n"/>
      <c r="G214" s="12" t="n"/>
      <c r="H214" t="inlineStr">
        <is>
          <t>ми не подавалися</t>
        </is>
      </c>
    </row>
    <row r="215">
      <c r="A215" s="4" t="inlineStr">
        <is>
          <t>UA-2026-04-21-012151-a</t>
        </is>
      </c>
      <c r="B215" t="inlineStr">
        <is>
          <t>2026-04-21</t>
        </is>
      </c>
      <c r="C215" t="inlineStr">
        <is>
          <t>КП "Медичне об'єднання Луцької міської територіальної громади"</t>
        </is>
      </c>
      <c r="D215" t="inlineStr">
        <is>
          <t>код ДК021:2015 - 30230000-0: Комп’ютерне обладнання (Монітори)</t>
        </is>
      </c>
      <c r="E215" s="13" t="n">
        <v>185084</v>
      </c>
      <c r="F215" s="5" t="n"/>
      <c r="G215" s="12" t="n"/>
      <c r="H215" t="inlineStr">
        <is>
          <t>ми не подавалися</t>
        </is>
      </c>
    </row>
    <row r="216">
      <c r="A216" s="4" t="inlineStr">
        <is>
          <t>UA-2025-11-17-006240-a</t>
        </is>
      </c>
      <c r="B216" t="inlineStr">
        <is>
          <t>2025-11-17</t>
        </is>
      </c>
      <c r="C216" t="inlineStr">
        <is>
          <t>ВОЛИНСЬКИЙ НАУКОВО-ДОСЛІДНИЙ ЕКСПЕРТНО-КРИМІНАЛІСТИЧНИЙ ЦЕНТР МВС УКРАЇНИ</t>
        </is>
      </c>
      <c r="D216" t="inlineStr">
        <is>
          <t>Комп’ютери в комплекті: системний блок, монітор, маніпулятор миша, клавіатура</t>
        </is>
      </c>
      <c r="E216" s="13" t="n">
        <v>184286.4</v>
      </c>
      <c r="F216" s="5" t="n"/>
      <c r="G216" s="12" t="n"/>
      <c r="H216" t="inlineStr">
        <is>
          <t>ми не подавалися</t>
        </is>
      </c>
    </row>
    <row r="217">
      <c r="A217" s="4" t="inlineStr">
        <is>
          <t>UA-2025-09-09-006638-a</t>
        </is>
      </c>
      <c r="B217" t="inlineStr">
        <is>
          <t>2025-09-09</t>
        </is>
      </c>
      <c r="C217" t="inlineStr">
        <is>
          <t>НОВОВОЛИНСЬКИЙ ЛІЦЕЙ №4 ІМЕНІ Т.Г.ШЕВЧЕНКА НОВОВОЛИНСЬКОЇ МІСЬКОЇ РАДИ ВОЛИНСЬКОЇ ОБЛАСТІ</t>
        </is>
      </c>
      <c r="D217" t="inlineStr">
        <is>
          <t>Ноутбук Acer Aspire 3 A315-59 (NX.K6SEU.00M) 15.6", 1920х1080 (FullHD), IPS, Int</t>
        </is>
      </c>
      <c r="E217" s="13" t="n">
        <v>134625</v>
      </c>
      <c r="F217" s="5" t="n"/>
      <c r="G217" s="12" t="n"/>
      <c r="H217" t="inlineStr">
        <is>
          <t>ми не подавалися</t>
        </is>
      </c>
    </row>
    <row r="218">
      <c r="A218" s="4" t="inlineStr">
        <is>
          <t>UA-2026-05-07-002811-a</t>
        </is>
      </c>
      <c r="B218" t="inlineStr">
        <is>
          <t>2026-05-07</t>
        </is>
      </c>
      <c r="C218" t="inlineStr">
        <is>
          <t>ВОЛИНСЬКА ОБЛАСНА ПРОКУРАТУРА</t>
        </is>
      </c>
      <c r="D218" t="inlineStr">
        <is>
          <t>Системні блоки за кодом ДК 021:2015-30210000-4 - Машини для обробки даних (апара</t>
        </is>
      </c>
      <c r="E218" s="13" t="n">
        <v>92795.10000000001</v>
      </c>
      <c r="F218" s="5" t="n"/>
      <c r="G218" s="12" t="n"/>
      <c r="H218" t="inlineStr">
        <is>
          <t>ми не подавалися</t>
        </is>
      </c>
    </row>
    <row r="219">
      <c r="A219" s="4" t="inlineStr">
        <is>
          <t>UA-2025-12-10-005117-a</t>
        </is>
      </c>
      <c r="B219" t="inlineStr">
        <is>
          <t>2025-12-10</t>
        </is>
      </c>
      <c r="C219" t="inlineStr">
        <is>
          <t>ГОЛОВНЕ УПРАВЛІННЯ ПЕНСІЙНОГО ФОНДУ УКРАЇНИ У ВОЛИНСЬКІЙ ОБЛАСТІ</t>
        </is>
      </c>
      <c r="D219" t="inlineStr">
        <is>
          <t>Машини для обробки даних (апаратна частина) (Сканер планшетний)</t>
        </is>
      </c>
      <c r="E219" s="13" t="n">
        <v>75635.52</v>
      </c>
      <c r="F219" s="5" t="n"/>
      <c r="G219" s="12" t="n"/>
      <c r="H219" t="inlineStr">
        <is>
          <t>ми не подавалися</t>
        </is>
      </c>
    </row>
    <row r="220">
      <c r="A220" s="4" t="inlineStr">
        <is>
          <t>UA-2026-04-03-001729-a</t>
        </is>
      </c>
      <c r="B220" t="inlineStr">
        <is>
          <t>2026-04-03</t>
        </is>
      </c>
      <c r="C220" t="inlineStr">
        <is>
          <t>СОШИЧНЕНСЬКА СІЛЬСЬКА РАДА</t>
        </is>
      </c>
      <c r="D220" t="inlineStr">
        <is>
          <t>Системні блоки, ноутбук</t>
        </is>
      </c>
      <c r="E220" s="13" t="n">
        <v>72999.89999999999</v>
      </c>
      <c r="F220" s="5" t="n"/>
      <c r="G220" s="12" t="n"/>
      <c r="H220" t="inlineStr">
        <is>
          <t>ми не подавалися</t>
        </is>
      </c>
    </row>
    <row r="222">
      <c r="A222" s="8" t="inlineStr">
        <is>
          <t>Сильні сторони</t>
        </is>
      </c>
    </row>
    <row r="223">
      <c r="A223" t="inlineStr">
        <is>
          <t>+  портфель дистрибуції: 18 ТМ</t>
        </is>
      </c>
    </row>
    <row r="224">
      <c r="A224" t="inlineStr">
        <is>
          <t>+  наявність сертифікатів (86 файлів)</t>
        </is>
      </c>
    </row>
    <row r="225">
      <c r="A225" t="inlineStr">
        <is>
          <t>+  авторизація виробника (430 листів)</t>
        </is>
      </c>
    </row>
    <row r="226">
      <c r="A226" t="inlineStr">
        <is>
          <t>+  зростання (140% у другій половині періоду)</t>
        </is>
      </c>
    </row>
    <row r="227">
      <c r="A227" t="inlineStr">
        <is>
          <t>+  уміє вигравати у відкритих торгах</t>
        </is>
      </c>
    </row>
    <row r="228">
      <c r="A228" t="inlineStr">
        <is>
          <t>+  працює з великими контрактами</t>
        </is>
      </c>
    </row>
  </sheetData>
  <hyperlinks>
    <hyperlink xmlns:r="http://schemas.openxmlformats.org/officeDocument/2006/relationships" ref="A191" r:id="rId1"/>
    <hyperlink xmlns:r="http://schemas.openxmlformats.org/officeDocument/2006/relationships" ref="A192" r:id="rId2"/>
    <hyperlink xmlns:r="http://schemas.openxmlformats.org/officeDocument/2006/relationships" ref="A193" r:id="rId3"/>
    <hyperlink xmlns:r="http://schemas.openxmlformats.org/officeDocument/2006/relationships" ref="A194" r:id="rId4"/>
    <hyperlink xmlns:r="http://schemas.openxmlformats.org/officeDocument/2006/relationships" ref="A198" r:id="rId5"/>
    <hyperlink xmlns:r="http://schemas.openxmlformats.org/officeDocument/2006/relationships" ref="A199" r:id="rId6"/>
    <hyperlink xmlns:r="http://schemas.openxmlformats.org/officeDocument/2006/relationships" ref="A200" r:id="rId7"/>
    <hyperlink xmlns:r="http://schemas.openxmlformats.org/officeDocument/2006/relationships" ref="A201" r:id="rId8"/>
    <hyperlink xmlns:r="http://schemas.openxmlformats.org/officeDocument/2006/relationships" ref="A202" r:id="rId9"/>
    <hyperlink xmlns:r="http://schemas.openxmlformats.org/officeDocument/2006/relationships" ref="A203" r:id="rId10"/>
    <hyperlink xmlns:r="http://schemas.openxmlformats.org/officeDocument/2006/relationships" ref="A204" r:id="rId11"/>
    <hyperlink xmlns:r="http://schemas.openxmlformats.org/officeDocument/2006/relationships" ref="A205" r:id="rId12"/>
    <hyperlink xmlns:r="http://schemas.openxmlformats.org/officeDocument/2006/relationships" ref="A206" r:id="rId13"/>
    <hyperlink xmlns:r="http://schemas.openxmlformats.org/officeDocument/2006/relationships" ref="A207" r:id="rId14"/>
    <hyperlink xmlns:r="http://schemas.openxmlformats.org/officeDocument/2006/relationships" ref="A211" r:id="rId15"/>
    <hyperlink xmlns:r="http://schemas.openxmlformats.org/officeDocument/2006/relationships" ref="A212" r:id="rId16"/>
    <hyperlink xmlns:r="http://schemas.openxmlformats.org/officeDocument/2006/relationships" ref="A213" r:id="rId17"/>
    <hyperlink xmlns:r="http://schemas.openxmlformats.org/officeDocument/2006/relationships" ref="A214" r:id="rId18"/>
    <hyperlink xmlns:r="http://schemas.openxmlformats.org/officeDocument/2006/relationships" ref="A215" r:id="rId19"/>
    <hyperlink xmlns:r="http://schemas.openxmlformats.org/officeDocument/2006/relationships" ref="A216" r:id="rId20"/>
    <hyperlink xmlns:r="http://schemas.openxmlformats.org/officeDocument/2006/relationships" ref="A217" r:id="rId21"/>
    <hyperlink xmlns:r="http://schemas.openxmlformats.org/officeDocument/2006/relationships" ref="A218" r:id="rId22"/>
    <hyperlink xmlns:r="http://schemas.openxmlformats.org/officeDocument/2006/relationships" ref="A219" r:id="rId23"/>
    <hyperlink xmlns:r="http://schemas.openxmlformats.org/officeDocument/2006/relationships" ref="A220" r:id="rId24"/>
  </hyperlinks>
  <pageMargins left="0.75" right="0.75" top="1" bottom="1" header="0.5" footer="0.5"/>
  <drawing xmlns:r="http://schemas.openxmlformats.org/officeDocument/2006/relationships" r:id="rId25"/>
  <tableParts count="6">
    <tablePart xmlns:r="http://schemas.openxmlformats.org/officeDocument/2006/relationships" r:id="rId26"/>
    <tablePart xmlns:r="http://schemas.openxmlformats.org/officeDocument/2006/relationships" r:id="rId27"/>
    <tablePart xmlns:r="http://schemas.openxmlformats.org/officeDocument/2006/relationships" r:id="rId28"/>
    <tablePart xmlns:r="http://schemas.openxmlformats.org/officeDocument/2006/relationships" r:id="rId29"/>
    <tablePart xmlns:r="http://schemas.openxmlformats.org/officeDocument/2006/relationships" r:id="rId30"/>
    <tablePart xmlns:r="http://schemas.openxmlformats.org/officeDocument/2006/relationships" r:id="rId31"/>
  </tableParts>
</worksheet>
</file>

<file path=xl/worksheets/sheet21.xml><?xml version="1.0" encoding="utf-8"?>
<worksheet xmlns="http://schemas.openxmlformats.org/spreadsheetml/2006/main">
  <sheetPr>
    <outlinePr summaryBelow="1" summaryRight="1"/>
    <pageSetUpPr/>
  </sheetPr>
  <dimension ref="A1:I224"/>
  <sheetViews>
    <sheetView showGridLines="0" workbookViewId="0">
      <selection activeCell="A1" sqref="A1"/>
    </sheetView>
  </sheetViews>
  <sheetFormatPr baseColWidth="8" defaultRowHeight="15"/>
  <cols>
    <col width="42" customWidth="1" min="1" max="1"/>
    <col width="25" customWidth="1" min="2" max="2"/>
    <col width="60" customWidth="1" min="3" max="3"/>
    <col width="60" customWidth="1" min="4" max="4"/>
    <col width="29" customWidth="1" min="5" max="5"/>
    <col width="60" customWidth="1" min="6" max="6"/>
    <col width="18" customWidth="1" min="7" max="7"/>
    <col width="45" customWidth="1" min="8" max="8"/>
    <col width="23" customWidth="1" min="9" max="9"/>
  </cols>
  <sheetData>
    <row r="1">
      <c r="A1" s="1" t="inlineStr">
        <is>
          <t>ТОВ "ТІНОС-Д"</t>
        </is>
      </c>
    </row>
    <row r="2">
      <c r="A2" s="6" t="inlineStr">
        <is>
          <t>ЄДРПОУ 42289645  ·  конкурент  ·  місце №8</t>
        </is>
      </c>
    </row>
    <row r="4">
      <c r="A4" s="7" t="inlineStr">
        <is>
          <t>ТОВ "ТІНОС-Д" (42289645)</t>
        </is>
      </c>
    </row>
    <row r="6">
      <c r="A6" s="8" t="inlineStr">
        <is>
          <t>Показники</t>
        </is>
      </c>
    </row>
    <row r="7">
      <c r="A7" s="9" t="inlineStr">
        <is>
          <t>Місце на ринку</t>
        </is>
      </c>
      <c r="B7" s="10" t="inlineStr">
        <is>
          <t>№8</t>
        </is>
      </c>
    </row>
    <row r="8">
      <c r="A8" s="9" t="inlineStr">
        <is>
          <t>Сума угод</t>
        </is>
      </c>
      <c r="B8" s="10" t="inlineStr">
        <is>
          <t>2,2 млн грн</t>
        </is>
      </c>
    </row>
    <row r="9">
      <c r="A9" s="9" t="inlineStr">
        <is>
          <t>Частка ринку</t>
        </is>
      </c>
      <c r="B9" s="10" t="inlineStr">
        <is>
          <t>1,9%</t>
        </is>
      </c>
    </row>
    <row r="10">
      <c r="A10" s="9" t="inlineStr">
        <is>
          <t>Угод</t>
        </is>
      </c>
      <c r="B10" s="10" t="inlineStr">
        <is>
          <t>13</t>
        </is>
      </c>
    </row>
    <row r="11">
      <c r="A11" s="9" t="inlineStr">
        <is>
          <t>Закупівель виграно</t>
        </is>
      </c>
      <c r="B11" s="10" t="inlineStr">
        <is>
          <t>13</t>
        </is>
      </c>
    </row>
    <row r="12">
      <c r="A12" s="9" t="inlineStr">
        <is>
          <t>Подань (де видно)</t>
        </is>
      </c>
      <c r="B12" s="10" t="inlineStr">
        <is>
          <t>62</t>
        </is>
      </c>
    </row>
    <row r="13">
      <c r="A13" s="9" t="inlineStr">
        <is>
          <t>Виграно з поданих</t>
        </is>
      </c>
      <c r="B13" s="10" t="inlineStr">
        <is>
          <t>12 з 62</t>
        </is>
      </c>
    </row>
    <row r="14">
      <c r="A14" s="9" t="inlineStr">
        <is>
          <t>Результативність</t>
        </is>
      </c>
      <c r="B14" s="10" t="inlineStr">
        <is>
          <t>19,4%</t>
        </is>
      </c>
    </row>
    <row r="15">
      <c r="A15" s="9" t="inlineStr">
        <is>
          <t>Середня угода</t>
        </is>
      </c>
      <c r="B15" s="10" t="inlineStr">
        <is>
          <t>171,7 тис. грн</t>
        </is>
      </c>
    </row>
    <row r="16">
      <c r="A16" s="9" t="inlineStr">
        <is>
          <t>Медіанна угода</t>
        </is>
      </c>
      <c r="B16" s="10" t="inlineStr">
        <is>
          <t>109,1 тис. грн</t>
        </is>
      </c>
    </row>
    <row r="17">
      <c r="A17" s="9" t="inlineStr">
        <is>
          <t>Замовників</t>
        </is>
      </c>
      <c r="B17" s="10" t="inlineStr">
        <is>
          <t>7</t>
        </is>
      </c>
    </row>
    <row r="18">
      <c r="A18" s="9" t="inlineStr">
        <is>
          <t>Областей</t>
        </is>
      </c>
      <c r="B18" s="10" t="inlineStr">
        <is>
          <t>1</t>
        </is>
      </c>
    </row>
    <row r="19">
      <c r="A19" s="9" t="inlineStr">
        <is>
          <t>Основна ТМ</t>
        </is>
      </c>
      <c r="B19" s="10" t="inlineStr">
        <is>
          <t>Intel</t>
        </is>
      </c>
    </row>
    <row r="20">
      <c r="A20" s="9" t="inlineStr">
        <is>
          <t>Основний товар</t>
        </is>
      </c>
      <c r="B20" s="10" t="inlineStr">
        <is>
          <t>Ноутбук</t>
        </is>
      </c>
    </row>
    <row r="21">
      <c r="A21" s="9" t="inlineStr">
        <is>
          <t>Дисконт (медіана)</t>
        </is>
      </c>
      <c r="B21" s="10" t="inlineStr">
        <is>
          <t>0,3%</t>
        </is>
      </c>
    </row>
    <row r="22">
      <c r="A22" s="9" t="inlineStr">
        <is>
          <t>Повторні замовники</t>
        </is>
      </c>
      <c r="B22" s="10" t="inlineStr">
        <is>
          <t>46,2%</t>
        </is>
      </c>
    </row>
    <row r="23">
      <c r="A23" s="9" t="inlineStr">
        <is>
          <t>Активність</t>
        </is>
      </c>
      <c r="B23" s="10" t="inlineStr">
        <is>
          <t>2025-10-01 — 2026-08-25</t>
        </is>
      </c>
    </row>
    <row r="24">
      <c r="A24" s="9" t="inlineStr">
        <is>
          <t>Зірвано перемог</t>
        </is>
      </c>
      <c r="B24" s="10" t="inlineStr">
        <is>
          <t>20 на 2,1 млн грн</t>
        </is>
      </c>
    </row>
    <row r="25">
      <c r="A25" s="9" t="inlineStr">
        <is>
          <t>Причина зривів</t>
        </is>
      </c>
      <c r="B25" s="10" t="inlineStr">
        <is>
          <t>Відмова від договору</t>
        </is>
      </c>
    </row>
    <row r="27">
      <c r="A27" s="8" t="inlineStr">
        <is>
          <t>Висновки</t>
        </is>
      </c>
    </row>
    <row r="28">
      <c r="A28" t="inlineStr">
        <is>
          <t>•  8-е місце на ринку: 2,2 млн грн (1,9% обороту)</t>
        </is>
      </c>
    </row>
    <row r="29">
      <c r="A29" t="inlineStr">
        <is>
          <t>•  Основний товар: ноутбук</t>
        </is>
      </c>
    </row>
    <row r="30">
      <c r="A30" t="inlineStr">
        <is>
          <t>•  ТМ Intel у 37,5% позицій</t>
        </is>
      </c>
    </row>
    <row r="31">
      <c r="A31" t="inlineStr">
        <is>
          <t>•  Портфель із 6 ТМ</t>
        </is>
      </c>
    </row>
    <row r="32">
      <c r="A32" t="inlineStr">
        <is>
          <t>•  Грає у відкритих процедурах: лише 7,7% угод без торгів</t>
        </is>
      </c>
    </row>
    <row r="33">
      <c r="A33" t="inlineStr">
        <is>
          <t>•  Тримає ціну: дисконт 0,3% проти 8,3% по ринку</t>
        </is>
      </c>
    </row>
    <row r="34">
      <c r="A34" t="inlineStr">
        <is>
          <t>•  Географічно сфокусований: Волинська область (100,0% угод)</t>
        </is>
      </c>
    </row>
    <row r="35">
      <c r="A35" t="inlineStr">
        <is>
          <t>•  Тримається постійних замовників: 46,2% угод — повторні</t>
        </is>
      </c>
    </row>
    <row r="36">
      <c r="A36" t="inlineStr">
        <is>
          <t>•  Результативність на торгах: 19,4% (12 з 62)</t>
        </is>
      </c>
    </row>
    <row r="37">
      <c r="A37" t="inlineStr">
        <is>
          <t>•  Динаміка: спадає (-36% у другій половині періоду)</t>
        </is>
      </c>
    </row>
    <row r="38">
      <c r="A38" t="inlineStr">
        <is>
          <t>•  Зривається 60,6% виграшів: 20 з 33 на 2,1 млн грн, найчастіше — відмова від договору</t>
        </is>
      </c>
    </row>
    <row r="40">
      <c r="A40" s="8" t="inlineStr">
        <is>
          <t>Графіки</t>
        </is>
      </c>
    </row>
    <row r="42">
      <c r="A42" s="2" t="inlineStr">
        <is>
          <t>Динаміка по місяцях</t>
        </is>
      </c>
    </row>
    <row r="43">
      <c r="A43" s="3" t="inlineStr">
        <is>
          <t>Період</t>
        </is>
      </c>
      <c r="B43" s="3" t="inlineStr">
        <is>
          <t>Сума угод, грн</t>
        </is>
      </c>
    </row>
    <row r="44">
      <c r="A44" t="inlineStr">
        <is>
          <t>2025-10</t>
        </is>
      </c>
      <c r="B44" s="5" t="n">
        <v>77760</v>
      </c>
    </row>
    <row r="45">
      <c r="A45" t="inlineStr">
        <is>
          <t>2025-11</t>
        </is>
      </c>
      <c r="B45" s="5" t="n">
        <v>1123284</v>
      </c>
    </row>
    <row r="46">
      <c r="A46" t="inlineStr">
        <is>
          <t>2025-12</t>
        </is>
      </c>
      <c r="B46" s="5" t="n">
        <v>638796</v>
      </c>
    </row>
    <row r="47">
      <c r="A47" t="inlineStr">
        <is>
          <t>2026-05</t>
        </is>
      </c>
      <c r="B47" s="5" t="n">
        <v>349920</v>
      </c>
    </row>
    <row r="48">
      <c r="A48" t="inlineStr">
        <is>
          <t>2026-08</t>
        </is>
      </c>
      <c r="B48" s="5" t="n">
        <v>42462</v>
      </c>
    </row>
    <row r="62">
      <c r="A62" s="2" t="inlineStr">
        <is>
          <t>Торгові марки у позиціях</t>
        </is>
      </c>
    </row>
    <row r="63">
      <c r="A63" s="3" t="inlineStr">
        <is>
          <t>Категорія</t>
        </is>
      </c>
      <c r="B63" s="3" t="inlineStr">
        <is>
          <t>Позицій, шт</t>
        </is>
      </c>
    </row>
    <row r="64">
      <c r="A64" t="inlineStr">
        <is>
          <t>Intel</t>
        </is>
      </c>
      <c r="B64" s="5" t="n">
        <v>6</v>
      </c>
    </row>
    <row r="65">
      <c r="A65" t="inlineStr">
        <is>
          <t>AMD</t>
        </is>
      </c>
      <c r="B65" s="5" t="n">
        <v>4</v>
      </c>
    </row>
    <row r="66">
      <c r="A66" t="inlineStr">
        <is>
          <t>Microsoft</t>
        </is>
      </c>
      <c r="B66" s="5" t="n">
        <v>3</v>
      </c>
    </row>
    <row r="67">
      <c r="A67" t="inlineStr">
        <is>
          <t>A4Tech</t>
        </is>
      </c>
      <c r="B67" s="5" t="n">
        <v>1</v>
      </c>
    </row>
    <row r="68">
      <c r="A68" t="inlineStr">
        <is>
          <t>Vinga</t>
        </is>
      </c>
      <c r="B68" s="5" t="n">
        <v>1</v>
      </c>
    </row>
    <row r="69">
      <c r="A69" t="inlineStr">
        <is>
          <t>Canon</t>
        </is>
      </c>
      <c r="B69" s="5" t="n">
        <v>1</v>
      </c>
    </row>
    <row r="82">
      <c r="A82" s="2" t="inlineStr">
        <is>
          <t>Що саме продає</t>
        </is>
      </c>
    </row>
    <row r="83">
      <c r="A83" s="3" t="inlineStr">
        <is>
          <t>Категорія</t>
        </is>
      </c>
      <c r="B83" s="3" t="inlineStr">
        <is>
          <t>Позицій, шт</t>
        </is>
      </c>
    </row>
    <row r="84">
      <c r="A84" t="inlineStr">
        <is>
          <t>Ноутбук</t>
        </is>
      </c>
      <c r="B84" s="5" t="n">
        <v>36</v>
      </c>
    </row>
    <row r="85">
      <c r="A85" t="inlineStr">
        <is>
          <t>Персональний комп'ютер</t>
        </is>
      </c>
      <c r="B85" s="5" t="n">
        <v>23</v>
      </c>
    </row>
    <row r="86">
      <c r="A86" t="inlineStr">
        <is>
          <t>Планшет</t>
        </is>
      </c>
      <c r="B86" s="5" t="n">
        <v>10</v>
      </c>
    </row>
    <row r="87">
      <c r="A87" t="inlineStr">
        <is>
          <t>Моноблок</t>
        </is>
      </c>
      <c r="B87" s="5" t="n">
        <v>6</v>
      </c>
    </row>
    <row r="88">
      <c r="A88" t="inlineStr">
        <is>
          <t>Монітор</t>
        </is>
      </c>
      <c r="B88" s="5" t="n">
        <v>1</v>
      </c>
    </row>
    <row r="98">
      <c r="A98" s="2" t="inlineStr">
        <is>
          <t>Ключові замовники</t>
        </is>
      </c>
    </row>
    <row r="99">
      <c r="A99" s="3" t="inlineStr">
        <is>
          <t>Категорія</t>
        </is>
      </c>
      <c r="B99" s="3" t="inlineStr">
        <is>
          <t>Сума, грн</t>
        </is>
      </c>
    </row>
    <row r="100">
      <c r="A100" t="inlineStr">
        <is>
          <t>Луцький національний технічний університ</t>
        </is>
      </c>
      <c r="B100" s="5" t="n">
        <v>914214</v>
      </c>
    </row>
    <row r="101">
      <c r="A101" t="inlineStr">
        <is>
          <t>Виконавчий комітет Луцької міської ради</t>
        </is>
      </c>
      <c r="B101" s="5" t="n">
        <v>677076</v>
      </c>
    </row>
    <row r="102">
      <c r="A102" t="inlineStr">
        <is>
          <t>КНП "ЛЮБОМЛЬСЬКЕ ТЕРИТОРІАЛЬНЕ МЕДИЧНЕ О</t>
        </is>
      </c>
      <c r="B102" s="5" t="n">
        <v>203136</v>
      </c>
    </row>
    <row r="103">
      <c r="A103" t="inlineStr">
        <is>
          <t>КОПАЧІВСЬКА СІЛЬСЬКА РАДА</t>
        </is>
      </c>
      <c r="B103" s="5" t="n">
        <v>163680</v>
      </c>
    </row>
    <row r="104">
      <c r="A104" t="inlineStr">
        <is>
          <t>Управління освіти виконавчого комітету К</t>
        </is>
      </c>
      <c r="B104" s="5" t="n">
        <v>122580</v>
      </c>
    </row>
    <row r="105">
      <c r="A105" t="inlineStr">
        <is>
          <t>ВИКОНАВЧИЙ КОМІТЕТ НОВОВОЛИНСЬКОЇ МІСЬКО</t>
        </is>
      </c>
      <c r="B105" s="5" t="n">
        <v>109074</v>
      </c>
    </row>
    <row r="106">
      <c r="A106" t="inlineStr">
        <is>
          <t>КП "ЛЮБЕШІВСЬКА БАГАТОПРОФІЛЬНА ЛІКАРНЯ"</t>
        </is>
      </c>
      <c r="B106" s="5" t="n">
        <v>42462</v>
      </c>
    </row>
    <row r="114">
      <c r="A114" s="2" t="inlineStr">
        <is>
          <t>Процедури</t>
        </is>
      </c>
    </row>
    <row r="115">
      <c r="A115" s="3" t="inlineStr">
        <is>
          <t>Категорія</t>
        </is>
      </c>
      <c r="B115" s="3" t="inlineStr">
        <is>
          <t>Угод, шт</t>
        </is>
      </c>
    </row>
    <row r="116">
      <c r="A116" t="inlineStr">
        <is>
          <t>Запит пропозицій</t>
        </is>
      </c>
      <c r="B116" s="5" t="n">
        <v>12</v>
      </c>
    </row>
    <row r="117">
      <c r="A117" t="inlineStr">
        <is>
          <t>Звіт про договір</t>
        </is>
      </c>
      <c r="B117" s="5" t="n">
        <v>1</v>
      </c>
    </row>
    <row r="134">
      <c r="A134" s="8" t="inlineStr">
        <is>
          <t>Таблиці</t>
        </is>
      </c>
    </row>
    <row r="136">
      <c r="A136" s="2" t="inlineStr">
        <is>
          <t>ТМ</t>
        </is>
      </c>
    </row>
    <row r="137">
      <c r="A137" s="11" t="inlineStr">
        <is>
          <t>Торгова марка</t>
        </is>
      </c>
      <c r="B137" s="11" t="inlineStr">
        <is>
          <t>Позицій</t>
        </is>
      </c>
      <c r="C137" s="11" t="inlineStr">
        <is>
          <t>Частка</t>
        </is>
      </c>
      <c r="D137" s="11" t="inlineStr">
        <is>
          <t>Власна ТМ за довідником</t>
        </is>
      </c>
    </row>
    <row r="138">
      <c r="A138" t="inlineStr">
        <is>
          <t>Intel</t>
        </is>
      </c>
      <c r="B138" s="5" t="n">
        <v>6</v>
      </c>
      <c r="C138" s="12" t="n">
        <v>0.375</v>
      </c>
      <c r="D138" t="inlineStr"/>
    </row>
    <row r="139">
      <c r="A139" t="inlineStr">
        <is>
          <t>AMD</t>
        </is>
      </c>
      <c r="B139" s="5" t="n">
        <v>4</v>
      </c>
      <c r="C139" s="12" t="n">
        <v>0.25</v>
      </c>
      <c r="D139" t="inlineStr"/>
    </row>
    <row r="140">
      <c r="A140" t="inlineStr">
        <is>
          <t>Microsoft</t>
        </is>
      </c>
      <c r="B140" s="5" t="n">
        <v>3</v>
      </c>
      <c r="C140" s="12" t="n">
        <v>0.1875</v>
      </c>
      <c r="D140" t="inlineStr"/>
    </row>
    <row r="141">
      <c r="A141" t="inlineStr">
        <is>
          <t>A4Tech</t>
        </is>
      </c>
      <c r="B141" s="5" t="n">
        <v>1</v>
      </c>
      <c r="C141" s="12" t="n">
        <v>0.0625</v>
      </c>
      <c r="D141" t="inlineStr"/>
    </row>
    <row r="142">
      <c r="A142" t="inlineStr">
        <is>
          <t>Vinga</t>
        </is>
      </c>
      <c r="B142" s="5" t="n">
        <v>1</v>
      </c>
      <c r="C142" s="12" t="n">
        <v>0.0625</v>
      </c>
      <c r="D142" t="inlineStr">
        <is>
          <t>КОМЕЛ</t>
        </is>
      </c>
    </row>
    <row r="143">
      <c r="A143" t="inlineStr">
        <is>
          <t>Canon</t>
        </is>
      </c>
      <c r="B143" s="5" t="n">
        <v>1</v>
      </c>
      <c r="C143" s="12" t="n">
        <v>0.0625</v>
      </c>
      <c r="D143" t="inlineStr"/>
    </row>
    <row r="145">
      <c r="A145" s="2" t="inlineStr">
        <is>
          <t>Товари</t>
        </is>
      </c>
    </row>
    <row r="146">
      <c r="A146" s="11" t="inlineStr">
        <is>
          <t>Товар</t>
        </is>
      </c>
      <c r="B146" s="11" t="inlineStr">
        <is>
          <t>Позицій</t>
        </is>
      </c>
    </row>
    <row r="147">
      <c r="A147" t="inlineStr">
        <is>
          <t>Ноутбук</t>
        </is>
      </c>
      <c r="B147" s="5" t="n">
        <v>36</v>
      </c>
    </row>
    <row r="148">
      <c r="A148" t="inlineStr">
        <is>
          <t>Персональний комп'ютер</t>
        </is>
      </c>
      <c r="B148" s="5" t="n">
        <v>23</v>
      </c>
    </row>
    <row r="149">
      <c r="A149" t="inlineStr">
        <is>
          <t>Планшет</t>
        </is>
      </c>
      <c r="B149" s="5" t="n">
        <v>10</v>
      </c>
    </row>
    <row r="150">
      <c r="A150" t="inlineStr">
        <is>
          <t>Моноблок</t>
        </is>
      </c>
      <c r="B150" s="5" t="n">
        <v>6</v>
      </c>
    </row>
    <row r="151">
      <c r="A151" t="inlineStr">
        <is>
          <t>Монітор</t>
        </is>
      </c>
      <c r="B151" s="5" t="n">
        <v>1</v>
      </c>
    </row>
    <row r="153">
      <c r="A153" s="2" t="inlineStr">
        <is>
          <t>Документи</t>
        </is>
      </c>
    </row>
    <row r="154">
      <c r="A154" s="11" t="inlineStr">
        <is>
          <t>Тип документа</t>
        </is>
      </c>
      <c r="B154" s="11" t="inlineStr">
        <is>
          <t>Файлів</t>
        </is>
      </c>
    </row>
    <row r="155">
      <c r="A155" t="inlineStr">
        <is>
          <t>Підпис КЕП</t>
        </is>
      </c>
      <c r="B155" s="5" t="n">
        <v>131</v>
      </c>
    </row>
    <row r="156">
      <c r="A156" t="inlineStr">
        <is>
          <t>Установчі та реєстраційні</t>
        </is>
      </c>
      <c r="B156" s="5" t="n">
        <v>18</v>
      </c>
    </row>
    <row r="157">
      <c r="A157" t="inlineStr">
        <is>
          <t>не класифіковано</t>
        </is>
      </c>
      <c r="B157" s="5" t="n">
        <v>16</v>
      </c>
    </row>
    <row r="159">
      <c r="A159" s="2" t="inlineStr">
        <is>
          <t>Зірвані перемоги</t>
        </is>
      </c>
    </row>
    <row r="160">
      <c r="A160" s="11" t="inlineStr">
        <is>
          <t>Закупівля</t>
        </is>
      </c>
      <c r="B160" s="11" t="inlineStr">
        <is>
          <t>Дата</t>
        </is>
      </c>
      <c r="C160" s="11" t="inlineStr">
        <is>
          <t>Замовник</t>
        </is>
      </c>
      <c r="D160" s="11" t="inlineStr">
        <is>
          <t>Сума, грн</t>
        </is>
      </c>
      <c r="E160" s="11" t="inlineStr">
        <is>
          <t>Причина</t>
        </is>
      </c>
      <c r="F160" s="11" t="inlineStr">
        <is>
          <t>Формулювання замовника</t>
        </is>
      </c>
    </row>
    <row r="161">
      <c r="A161" s="4" t="inlineStr">
        <is>
          <t>UA-2025-11-17-012681-a</t>
        </is>
      </c>
      <c r="B161" t="inlineStr">
        <is>
          <t>2025-12-02</t>
        </is>
      </c>
      <c r="C161" t="inlineStr">
        <is>
          <t>Виконавчий комітет Луцької міської ради</t>
        </is>
      </c>
      <c r="D161" s="5" t="n">
        <v>368400</v>
      </c>
      <c r="E161" t="inlineStr">
        <is>
          <t>Не підписав договір у строк</t>
        </is>
      </c>
      <c r="F161" t="inlineStr">
        <is>
          <t>Переможець не підписав договір у строк, визначений абзацом першим пункту 66 цього Порядку</t>
        </is>
      </c>
    </row>
    <row r="162">
      <c r="A162" s="4" t="inlineStr">
        <is>
          <t>UA-2025-10-29-001814-a</t>
        </is>
      </c>
      <c r="B162" t="inlineStr">
        <is>
          <t>2025-11-06</t>
        </is>
      </c>
      <c r="C162" t="inlineStr">
        <is>
          <t>Маневицька селищна рада</t>
        </is>
      </c>
      <c r="D162" s="5" t="n">
        <v>248352</v>
      </c>
      <c r="E162" t="inlineStr">
        <is>
          <t>Відмова від договору</t>
        </is>
      </c>
      <c r="F162" t="inlineStr">
        <is>
          <t>письмово відмовився від укладання договору на умовах, визначених у запиті пропозицій постачальників</t>
        </is>
      </c>
    </row>
    <row r="163">
      <c r="A163" s="4" t="inlineStr">
        <is>
          <t>UA-2026-06-17-012977-a</t>
        </is>
      </c>
      <c r="B163" t="inlineStr">
        <is>
          <t>2026-06-23</t>
        </is>
      </c>
      <c r="C163" t="inlineStr">
        <is>
          <t>Виконавчий комітет Луцької міської ради</t>
        </is>
      </c>
      <c r="D163" s="5" t="n">
        <v>237960</v>
      </c>
      <c r="E163" t="inlineStr">
        <is>
          <t>Відмова від договору</t>
        </is>
      </c>
      <c r="F163" t="inlineStr">
        <is>
          <t>Переможець письмово відмовився від укладення договору на умовах, визначених замовником у запиті пропозицій постачальників, шляхом заповнення електронних форм з окремими полями та у проекті договору, що є складовою частиною запиту пропозицій постачальників</t>
        </is>
      </c>
    </row>
    <row r="164">
      <c r="A164" s="4" t="inlineStr">
        <is>
          <t>UA-2025-12-05-014534-a</t>
        </is>
      </c>
      <c r="B164" t="inlineStr">
        <is>
          <t>2025-12-12</t>
        </is>
      </c>
      <c r="C164" t="inlineStr">
        <is>
          <t>УПРАВЛІННЯ ГУМАНІТАРНОЇ ПОЛІТИКИ КАМІНЬ-КАШИРСЬКОЇ МІСЬКОЇ РАДИ</t>
        </is>
      </c>
      <c r="D164" s="5" t="n">
        <v>192192</v>
      </c>
      <c r="E164" t="inlineStr">
        <is>
          <t>Відмова від договору</t>
        </is>
      </c>
      <c r="F164" t="inlineStr">
        <is>
          <t>Переможець письмово відмовився від укладання договору на умовах, визначених у запиті пропозицій постачальників</t>
        </is>
      </c>
    </row>
    <row r="165">
      <c r="A165" s="4" t="inlineStr">
        <is>
          <t>UA-2026-02-06-003851-a</t>
        </is>
      </c>
      <c r="B165" t="inlineStr">
        <is>
          <t>2026-02-12</t>
        </is>
      </c>
      <c r="C165" t="inlineStr">
        <is>
          <t>ДЕПАРТАМЕНТ З ПИТАНЬ ВЕТЕРАНСЬКОЇ ПОЛІТИКИ ЛУЦЬКОЇ МІСЬКОЇ РАДИ</t>
        </is>
      </c>
      <c r="D165" s="5" t="n">
        <v>157824</v>
      </c>
      <c r="E165" t="inlineStr">
        <is>
          <t>Відмова від договору</t>
        </is>
      </c>
      <c r="F165" t="inlineStr">
        <is>
          <t>Переможець письмово відмовився від укладення договору на умовах, визначених замовником у запиті пропозицій постачальників, шляхом заповнення електронних форм з окремими полями та у проекті договору, що є складовою частиною запиту пропозицій постачальників</t>
        </is>
      </c>
    </row>
    <row r="166">
      <c r="A166" s="4" t="inlineStr">
        <is>
          <t>UA-2025-11-26-017289-a</t>
        </is>
      </c>
      <c r="B166" t="inlineStr">
        <is>
          <t>2025-11-29</t>
        </is>
      </c>
      <c r="C166" t="inlineStr">
        <is>
          <t>ВІЙСЬКОВА ЧАСТИНА 1141 НАЦІОНАЛЬНОЇ ГВАРДІЇ УКРАЇНИ</t>
        </is>
      </c>
      <c r="D166" s="5" t="n">
        <v>113670</v>
      </c>
      <c r="E166" t="inlineStr">
        <is>
          <t>Відмова від договору</t>
        </is>
      </c>
      <c r="F166" t="inlineStr">
        <is>
          <t>Переможець письмово відмовився від укладання договору на умовах, визначених у запиті пропозицій постачальників</t>
        </is>
      </c>
    </row>
    <row r="167">
      <c r="A167" s="4" t="inlineStr">
        <is>
          <t>UA-2026-04-17-005811-a</t>
        </is>
      </c>
      <c r="B167" t="inlineStr">
        <is>
          <t>2026-04-22</t>
        </is>
      </c>
      <c r="C167" t="inlineStr">
        <is>
          <t>Любомльська міська рада</t>
        </is>
      </c>
      <c r="D167" s="5" t="n">
        <v>94440</v>
      </c>
      <c r="E167" t="inlineStr">
        <is>
          <t>Відмова від договору</t>
        </is>
      </c>
      <c r="F167" t="inlineStr">
        <is>
          <t>Письмово відмовився від укладення договору на умовах, визначених замовником у запиті пропозицій постачальників, шляхом заповнення електронних форм з окремими полями та у проекті договору, що є складовою частиною запиту пропозицій постачальників</t>
        </is>
      </c>
    </row>
    <row r="168">
      <c r="A168" s="4" t="inlineStr">
        <is>
          <t>UA-2026-01-27-008052-a</t>
        </is>
      </c>
      <c r="B168" t="inlineStr">
        <is>
          <t>2026-02-02</t>
        </is>
      </c>
      <c r="C168" t="inlineStr">
        <is>
          <t>Виконавчий комітет Ратнівської селищної ради</t>
        </is>
      </c>
      <c r="D168" s="5" t="n">
        <v>80460</v>
      </c>
      <c r="E168" t="inlineStr">
        <is>
          <t>Відмова від договору</t>
        </is>
      </c>
      <c r="F168" t="inlineStr">
        <is>
          <t>Переможець письмово відмовився від укладення договору на умовах, визначених замовником у запиті пропозицій постачальників, шляхом заповнення електронних форм з окремими полями та у проекті договору, що є складовою частиною запиту пропозицій постачальників</t>
        </is>
      </c>
    </row>
    <row r="169">
      <c r="A169" s="4" t="inlineStr">
        <is>
          <t>UA-2026-04-06-002585-a</t>
        </is>
      </c>
      <c r="B169" t="inlineStr">
        <is>
          <t>2026-04-09</t>
        </is>
      </c>
      <c r="C169" t="inlineStr">
        <is>
          <t>КП «ВОЛИНСЬКЕ ОБЛАСНЕ ТЕРИТОРІАЛЬНЕ МЕДИЧНЕ ОБ’ЄДНАНННЯ ЗАХИСТУ МАТЕРИНСТВА І ДИТИНСТВА» ВОЛИНСЬКОЇ ОБЛАСНОЇ РАДИ</t>
        </is>
      </c>
      <c r="D169" s="5" t="n">
        <v>75960</v>
      </c>
      <c r="E169" t="inlineStr">
        <is>
          <t>Відмова від договору</t>
        </is>
      </c>
      <c r="F169" t="inlineStr">
        <is>
          <t>Переможець письмово відмовився від укладення договору на умовах, визначених замовником у запиті пропозицій постачальників, шляхом заповнення електронних форм з окремими полями та у проекті договору, що є складовою частиною запиту пропозицій постачальників</t>
        </is>
      </c>
    </row>
    <row r="170">
      <c r="A170" s="4" t="inlineStr">
        <is>
          <t>UA-2026-08-19-010837-a</t>
        </is>
      </c>
      <c r="B170" t="inlineStr">
        <is>
          <t>2026-08-25</t>
        </is>
      </c>
      <c r="C170" t="inlineStr">
        <is>
          <t>Любомльська міська рада</t>
        </is>
      </c>
      <c r="D170" s="5" t="n">
        <v>69120</v>
      </c>
      <c r="E170" t="inlineStr">
        <is>
          <t>Відмова від договору</t>
        </is>
      </c>
      <c r="F170" t="inlineStr">
        <is>
          <t>Письмово відмовився від укладення договору на умовах, визначених замовником у запиті пропозицій постачальників, шляхом заповнення електронних форм з окремими полями та у проекті договору, що є складовою частиною запиту пропозицій постачальників</t>
        </is>
      </c>
    </row>
    <row r="171">
      <c r="A171" s="4" t="inlineStr">
        <is>
          <t>UA-2026-04-29-011229-a</t>
        </is>
      </c>
      <c r="B171" t="inlineStr">
        <is>
          <t>2026-05-05</t>
        </is>
      </c>
      <c r="C171" t="inlineStr">
        <is>
          <t>ВИРОБНИЧЕ УПРАВЛІННЯ КОМУНАЛЬНОГО ГОСПОДАРСТВА НОВОВОЛИНСКОЇ МІСЬКОЇ РАДИ</t>
        </is>
      </c>
      <c r="D171" s="5" t="n">
        <v>65940</v>
      </c>
      <c r="E171" t="inlineStr">
        <is>
          <t>Відмова від договору</t>
        </is>
      </c>
      <c r="F171" t="inlineStr">
        <is>
          <t>Переможець письмово відмовився від укладення договору на умовах, визначених замовником у запиті пропозицій постачальників, шляхом заповнення електронних форм з окремими полями та у проекті договору, що є складовою частиною запиту пропозицій постачальників</t>
        </is>
      </c>
    </row>
    <row r="172">
      <c r="A172" s="4" t="inlineStr">
        <is>
          <t>UA-2026-05-18-012093-a</t>
        </is>
      </c>
      <c r="B172" t="inlineStr">
        <is>
          <t>2026-05-27</t>
        </is>
      </c>
      <c r="C172" t="inlineStr">
        <is>
          <t>ВИРОБНИЧЕ УПРАВЛІННЯ КОМУНАЛЬНОГО ГОСПОДАРСТВА НОВОВОЛИНСКОЇ МІСЬКОЇ РАДИ</t>
        </is>
      </c>
      <c r="D172" s="5" t="n">
        <v>62232</v>
      </c>
      <c r="E172" t="inlineStr">
        <is>
          <t>Відмова від договору</t>
        </is>
      </c>
      <c r="F172" t="inlineStr">
        <is>
          <t>Переможець письмово відмовився від укладення договору на умовах, визначених замовником у запиті пропозицій постачальників, шляхом заповнення електронних форм з окремими полями та у проекті договору, що є складовою частиною запиту пропозицій постачальників</t>
        </is>
      </c>
    </row>
    <row r="173">
      <c r="A173" s="4" t="inlineStr">
        <is>
          <t>UA-2026-06-11-011181-a</t>
        </is>
      </c>
      <c r="B173" t="inlineStr">
        <is>
          <t>2026-06-18</t>
        </is>
      </c>
      <c r="C173" t="inlineStr">
        <is>
          <t>ВИКОНАВЧИЙ КОМІТЕТ НОВОВОЛИНСЬКОЇ МІСЬКОЇ РАДИ</t>
        </is>
      </c>
      <c r="D173" s="5" t="n">
        <v>56760</v>
      </c>
      <c r="E173" t="inlineStr">
        <is>
          <t>Відмова від договору</t>
        </is>
      </c>
      <c r="F173" t="inlineStr">
        <is>
          <t>Переможець письмово відмовився від укладення договору на умовах, визначених замовником у запиті пропозицій постачальників, шляхом заповнення електронних форм з окремими полями та у проекті договору, що є складовою частиною запиту пропозицій постачальників</t>
        </is>
      </c>
    </row>
    <row r="174">
      <c r="A174" s="4" t="inlineStr">
        <is>
          <t>UA-2025-09-16-014691-a</t>
        </is>
      </c>
      <c r="B174" t="inlineStr">
        <is>
          <t>2025-09-25</t>
        </is>
      </c>
      <c r="C174" t="inlineStr">
        <is>
          <t>НОВОВОЛИНСЬКИЙ ЛІЦЕЙ № 7 НОВОВОЛИНСЬКОЇ МІСЬКОЇ РАДИ ВОЛИНСЬКОЇ ОБЛАСТІ</t>
        </is>
      </c>
      <c r="D174" s="5" t="n">
        <v>56718</v>
      </c>
      <c r="E174" t="inlineStr">
        <is>
          <t>Не підписав договір у строк</t>
        </is>
      </c>
      <c r="F174" t="inlineStr">
        <is>
          <t>Переможець не підписав договір у строк, визначений абзацом першим пункту 66 цього Порядку</t>
        </is>
      </c>
    </row>
    <row r="175">
      <c r="A175" s="4" t="inlineStr">
        <is>
          <t>UA-2025-10-10-009139-a</t>
        </is>
      </c>
      <c r="B175" t="inlineStr">
        <is>
          <t>2025-10-20</t>
        </is>
      </c>
      <c r="C175" t="inlineStr">
        <is>
          <t>Поромівська сільська рада</t>
        </is>
      </c>
      <c r="D175" s="5" t="n">
        <v>54612</v>
      </c>
      <c r="E175" t="inlineStr">
        <is>
          <t>Відмова від договору</t>
        </is>
      </c>
      <c r="F175" t="inlineStr">
        <is>
          <t>письмово відмовився від укладання договору на умовах, визначених у запиті пропозицій постачальників</t>
        </is>
      </c>
    </row>
    <row r="176">
      <c r="A176" s="4" t="inlineStr">
        <is>
          <t>UA-2026-06-12-000135-a</t>
        </is>
      </c>
      <c r="B176" t="inlineStr">
        <is>
          <t>2026-06-18</t>
        </is>
      </c>
      <c r="C176" t="inlineStr">
        <is>
          <t>ВІЙСЬКОВА ЧАСТИНА 1141 НАЦІОНАЛЬНОЇ ГВАРДІЇ УКРАЇНИ</t>
        </is>
      </c>
      <c r="D176" s="5" t="n">
        <v>46824</v>
      </c>
      <c r="E176" t="inlineStr">
        <is>
          <t>Відмова від договору</t>
        </is>
      </c>
      <c r="F176" t="inlineStr">
        <is>
          <t>Переможець письмово відмовився від укладення договору на умовах, визначених замовником у запиті пропозицій постачальників, шляхом заповнення електронних форм з окремими полями та у проекті договору, що є складовою частиною запиту пропозицій постачальників</t>
        </is>
      </c>
    </row>
    <row r="177">
      <c r="A177" s="4" t="inlineStr">
        <is>
          <t>UA-2026-08-19-008008-a</t>
        </is>
      </c>
      <c r="B177" t="inlineStr">
        <is>
          <t>2026-08-31</t>
        </is>
      </c>
      <c r="C177" t="inlineStr">
        <is>
          <t>Заболоттівська селищна рада</t>
        </is>
      </c>
      <c r="D177" s="5" t="n">
        <v>36580</v>
      </c>
      <c r="E177" t="inlineStr">
        <is>
          <t>Відмова від договору</t>
        </is>
      </c>
      <c r="F177" t="inlineStr">
        <is>
          <t>письмово відмовився від укладення договору на умовах, визначених замовником у запиті пропозицій постачальників, шляхом заповнення електронних форм з окремими полями та у проекті договору, що є складовою частиною запиту пропозицій постачальників.</t>
        </is>
      </c>
    </row>
    <row r="178">
      <c r="A178" s="4" t="inlineStr">
        <is>
          <t>UA-2026-05-18-012091-a</t>
        </is>
      </c>
      <c r="B178" t="inlineStr">
        <is>
          <t>2026-05-29</t>
        </is>
      </c>
      <c r="C178" t="inlineStr">
        <is>
          <t>Виконавчий комітет Луцької міської ради</t>
        </is>
      </c>
      <c r="D178" s="5" t="n">
        <v>25632</v>
      </c>
      <c r="E178" t="inlineStr">
        <is>
          <t>Відмова від договору</t>
        </is>
      </c>
      <c r="F178" t="inlineStr">
        <is>
          <t>Переможець письмово відмовився від укладення договору на умовах, визначених замовником у запиті пропозицій постачальників, шляхом заповнення електронних форм з окремими полями та у проекті договору, що є складовою частиною запиту пропозицій постачальників</t>
        </is>
      </c>
    </row>
    <row r="179">
      <c r="A179" s="4" t="inlineStr">
        <is>
          <t>UA-2026-01-27-018088-a</t>
        </is>
      </c>
      <c r="B179" t="inlineStr">
        <is>
          <t>2026-02-03</t>
        </is>
      </c>
      <c r="C179" t="inlineStr">
        <is>
          <t>ВІЙСЬКОВА ЧАСТИНА 1141 НАЦІОНАЛЬНОЇ ГВАРДІЇ УКРАЇНИ</t>
        </is>
      </c>
      <c r="D179" s="5" t="n">
        <v>24084</v>
      </c>
      <c r="E179" t="inlineStr">
        <is>
          <t>Відмова від договору</t>
        </is>
      </c>
      <c r="F179" t="inlineStr">
        <is>
          <t>Переможець письмово відмовився від укладення договору на умовах, визначених замовником у запиті пропозицій постачальників, шляхом заповнення електронних форм з окремими полями та у проекті договору, що є складовою частиною запиту пропозицій постачальників</t>
        </is>
      </c>
    </row>
    <row r="180">
      <c r="A180" s="4" t="inlineStr">
        <is>
          <t>UA-2026-04-06-009248-a</t>
        </is>
      </c>
      <c r="B180" t="inlineStr">
        <is>
          <t>2026-04-14</t>
        </is>
      </c>
      <c r="C180" t="inlineStr">
        <is>
          <t>Департамент молоді та спорту Луцької міської ради</t>
        </is>
      </c>
      <c r="D180" s="5" t="n">
        <v>23694</v>
      </c>
      <c r="E180" t="inlineStr">
        <is>
          <t>Відмова від договору</t>
        </is>
      </c>
      <c r="F180" t="inlineStr">
        <is>
          <t>письмово відмовився від укладення договору на умовах, визначених замовником у запиті пропозицій постачальників, шляхом заповнення електронних форм з окремими полями та у проекті договору, що є складовою частиною запиту пропозицій постачальників.</t>
        </is>
      </c>
    </row>
    <row r="182">
      <c r="A182" s="2" t="inlineStr">
        <is>
          <t>Угоди</t>
        </is>
      </c>
    </row>
    <row r="183">
      <c r="A183" s="11" t="inlineStr">
        <is>
          <t>Закупівля</t>
        </is>
      </c>
      <c r="B183" s="11" t="inlineStr">
        <is>
          <t>Дата</t>
        </is>
      </c>
      <c r="C183" s="11" t="inlineStr">
        <is>
          <t>Замовник</t>
        </is>
      </c>
      <c r="D183" s="11" t="inlineStr">
        <is>
          <t>Регіон</t>
        </is>
      </c>
      <c r="E183" s="11" t="inlineStr">
        <is>
          <t>Сума, грн</t>
        </is>
      </c>
      <c r="F183" s="11" t="inlineStr">
        <is>
          <t>Очікувана, грн</t>
        </is>
      </c>
      <c r="G183" s="11" t="inlineStr">
        <is>
          <t>Процедура</t>
        </is>
      </c>
      <c r="H183" s="11" t="inlineStr">
        <is>
          <t>Галузь</t>
        </is>
      </c>
      <c r="I183" s="11" t="inlineStr">
        <is>
          <t>Джерело</t>
        </is>
      </c>
    </row>
    <row r="184">
      <c r="A184" s="4" t="inlineStr">
        <is>
          <t>UA-2025-11-18-010645-a</t>
        </is>
      </c>
      <c r="B184" t="inlineStr">
        <is>
          <t>2025-11-29</t>
        </is>
      </c>
      <c r="C184" t="inlineStr">
        <is>
          <t>Луцький національний технічний університет</t>
        </is>
      </c>
      <c r="D184" t="inlineStr">
        <is>
          <t>Волинська область</t>
        </is>
      </c>
      <c r="E184" s="5" t="n">
        <v>478440</v>
      </c>
      <c r="F184" s="13" t="n">
        <v>493920</v>
      </c>
      <c r="G184" t="inlineStr">
        <is>
          <t>Запит пропозицій</t>
        </is>
      </c>
      <c r="H184" t="inlineStr">
        <is>
          <t>Машини для обробки даних (апаратна частина)</t>
        </is>
      </c>
      <c r="I184" t="inlineStr">
        <is>
          <t>договір</t>
        </is>
      </c>
    </row>
    <row r="185">
      <c r="A185" s="4" t="inlineStr">
        <is>
          <t>UA-2025-11-15-000640-a</t>
        </is>
      </c>
      <c r="B185" t="inlineStr">
        <is>
          <t>2025-11-29</t>
        </is>
      </c>
      <c r="C185" t="inlineStr">
        <is>
          <t>Луцький національний технічний університет</t>
        </is>
      </c>
      <c r="D185" t="inlineStr">
        <is>
          <t>Волинська область</t>
        </is>
      </c>
      <c r="E185" s="5" t="n">
        <v>435774</v>
      </c>
      <c r="F185" s="13" t="n">
        <v>436651.8</v>
      </c>
      <c r="G185" t="inlineStr">
        <is>
          <t>Запит пропозицій</t>
        </is>
      </c>
      <c r="H185" t="inlineStr">
        <is>
          <t>Машини для обробки даних (апаратна частина)</t>
        </is>
      </c>
      <c r="I185" t="inlineStr">
        <is>
          <t>договір</t>
        </is>
      </c>
    </row>
    <row r="186">
      <c r="A186" s="4" t="inlineStr">
        <is>
          <t>UA-2026-04-30-009739-a</t>
        </is>
      </c>
      <c r="B186" t="inlineStr">
        <is>
          <t>2026-05-05</t>
        </is>
      </c>
      <c r="C186" t="inlineStr">
        <is>
          <t>Виконавчий комітет Луцької міської ради</t>
        </is>
      </c>
      <c r="D186" t="inlineStr">
        <is>
          <t>Волинська область</t>
        </is>
      </c>
      <c r="E186" s="5" t="n">
        <v>349920</v>
      </c>
      <c r="F186" s="13" t="n">
        <v>350000</v>
      </c>
      <c r="G186" t="inlineStr">
        <is>
          <t>Запит пропозицій</t>
        </is>
      </c>
      <c r="H186" t="inlineStr">
        <is>
          <t>Машини для обробки даних (апаратна частина)</t>
        </is>
      </c>
      <c r="I186" t="inlineStr">
        <is>
          <t>рішення про переможця</t>
        </is>
      </c>
    </row>
    <row r="187">
      <c r="A187" s="4" t="inlineStr">
        <is>
          <t>UA-2025-12-04-007447-a</t>
        </is>
      </c>
      <c r="B187" t="inlineStr">
        <is>
          <t>2025-12-09</t>
        </is>
      </c>
      <c r="C187" t="inlineStr">
        <is>
          <t>КОПАЧІВСЬКА СІЛЬСЬКА РАДА</t>
        </is>
      </c>
      <c r="D187" t="inlineStr">
        <is>
          <t>Волинська область</t>
        </is>
      </c>
      <c r="E187" s="5" t="n">
        <v>163680</v>
      </c>
      <c r="F187" s="13" t="n">
        <v>204000</v>
      </c>
      <c r="G187" t="inlineStr">
        <is>
          <t>Запит пропозицій</t>
        </is>
      </c>
      <c r="H187" t="inlineStr">
        <is>
          <t>Машини для обробки даних (апаратна частина)</t>
        </is>
      </c>
      <c r="I187" t="inlineStr">
        <is>
          <t>рішення про переможця</t>
        </is>
      </c>
    </row>
    <row r="188">
      <c r="A188" s="4" t="inlineStr">
        <is>
          <t>UA-2025-12-11-002243-a</t>
        </is>
      </c>
      <c r="B188" t="inlineStr">
        <is>
          <t>2025-12-16</t>
        </is>
      </c>
      <c r="C188" t="inlineStr">
        <is>
          <t>Виконавчий комітет Луцької міської ради</t>
        </is>
      </c>
      <c r="D188" t="inlineStr">
        <is>
          <t>Волинська область</t>
        </is>
      </c>
      <c r="E188" s="5" t="n">
        <v>149400</v>
      </c>
      <c r="F188" s="13" t="n">
        <v>150000</v>
      </c>
      <c r="G188" t="inlineStr">
        <is>
          <t>Запит пропозицій</t>
        </is>
      </c>
      <c r="H188" t="inlineStr">
        <is>
          <t>Машини для обробки даних (апаратна частина)</t>
        </is>
      </c>
      <c r="I188" t="inlineStr">
        <is>
          <t>рішення про переможця</t>
        </is>
      </c>
    </row>
    <row r="189">
      <c r="A189" s="4" t="inlineStr">
        <is>
          <t>UA-2025-12-12-007408-a</t>
        </is>
      </c>
      <c r="B189" t="inlineStr">
        <is>
          <t>2025-12-22</t>
        </is>
      </c>
      <c r="C189" t="inlineStr">
        <is>
          <t>Управління освіти виконавчого комітету Ковельської міської ради</t>
        </is>
      </c>
      <c r="D189" t="inlineStr">
        <is>
          <t>Волинська область</t>
        </is>
      </c>
      <c r="E189" s="5" t="n">
        <v>122580</v>
      </c>
      <c r="F189" s="13" t="n">
        <v>122993</v>
      </c>
      <c r="G189" t="inlineStr">
        <is>
          <t>Запит пропозицій</t>
        </is>
      </c>
      <c r="H189" t="inlineStr">
        <is>
          <t>Машини для обробки даних (апаратна частина)</t>
        </is>
      </c>
      <c r="I189" t="inlineStr">
        <is>
          <t>договір</t>
        </is>
      </c>
    </row>
    <row r="190">
      <c r="A190" s="4" t="inlineStr">
        <is>
          <t>UA-2025-10-27-006892-a</t>
        </is>
      </c>
      <c r="B190" t="inlineStr">
        <is>
          <t>2025-11-05</t>
        </is>
      </c>
      <c r="C190" t="inlineStr">
        <is>
          <t>ВИКОНАВЧИЙ КОМІТЕТ НОВОВОЛИНСЬКОЇ МІСЬКОЇ РАДИ</t>
        </is>
      </c>
      <c r="D190" t="inlineStr">
        <is>
          <t>Волинська область</t>
        </is>
      </c>
      <c r="E190" s="5" t="n">
        <v>109074</v>
      </c>
      <c r="F190" s="13" t="n">
        <v>130000</v>
      </c>
      <c r="G190" t="inlineStr">
        <is>
          <t>Запит пропозицій</t>
        </is>
      </c>
      <c r="H190" t="inlineStr">
        <is>
          <t>Машини для обробки даних (апаратна частина)</t>
        </is>
      </c>
      <c r="I190" t="inlineStr">
        <is>
          <t>договір</t>
        </is>
      </c>
    </row>
    <row r="191">
      <c r="A191" s="4" t="inlineStr">
        <is>
          <t>UA-2025-10-27-014765-a</t>
        </is>
      </c>
      <c r="B191" t="inlineStr">
        <is>
          <t>2025-11-17</t>
        </is>
      </c>
      <c r="C191" t="inlineStr">
        <is>
          <t>Виконавчий комітет Луцької міської ради</t>
        </is>
      </c>
      <c r="D191" t="inlineStr">
        <is>
          <t>Волинська область</t>
        </is>
      </c>
      <c r="E191" s="5" t="n">
        <v>99996</v>
      </c>
      <c r="F191" s="13" t="n">
        <v>100000</v>
      </c>
      <c r="G191" t="inlineStr">
        <is>
          <t>Запит пропозицій</t>
        </is>
      </c>
      <c r="H191" t="inlineStr">
        <is>
          <t>Машини для обробки даних (апаратна частина)</t>
        </is>
      </c>
      <c r="I191" t="inlineStr">
        <is>
          <t>рішення про переможця</t>
        </is>
      </c>
    </row>
    <row r="192">
      <c r="A192" s="4" t="inlineStr">
        <is>
          <t>UA-2025-11-27-015828-a</t>
        </is>
      </c>
      <c r="B192" t="inlineStr">
        <is>
          <t>2025-12-17</t>
        </is>
      </c>
      <c r="C192" t="inlineStr">
        <is>
          <t>КНП "ЛЮБОМЛЬСЬКЕ ТЕРИТОРІАЛЬНЕ МЕДИЧНЕ ОБ'ЄДНАННЯ" ЛЮБОМЛЬСЬКОЇ МІСЬКОЇ РАДИ</t>
        </is>
      </c>
      <c r="D192" t="inlineStr">
        <is>
          <t>Волинська область</t>
        </is>
      </c>
      <c r="E192" s="5" t="n">
        <v>98982</v>
      </c>
      <c r="F192" s="13" t="n">
        <v>111000</v>
      </c>
      <c r="G192" t="inlineStr">
        <is>
          <t>Запит пропозицій</t>
        </is>
      </c>
      <c r="H192" t="inlineStr">
        <is>
          <t>Машини для обробки даних (апаратна частина)</t>
        </is>
      </c>
      <c r="I192" t="inlineStr">
        <is>
          <t>договір</t>
        </is>
      </c>
    </row>
    <row r="193">
      <c r="A193" s="4" t="inlineStr">
        <is>
          <t>UA-2025-09-18-012137-a</t>
        </is>
      </c>
      <c r="B193" t="inlineStr">
        <is>
          <t>2025-10-01</t>
        </is>
      </c>
      <c r="C193" t="inlineStr">
        <is>
          <t>Виконавчий комітет Луцької міської ради</t>
        </is>
      </c>
      <c r="D193" t="inlineStr">
        <is>
          <t>Волинська область</t>
        </is>
      </c>
      <c r="E193" s="5" t="n">
        <v>77760</v>
      </c>
      <c r="F193" s="13" t="n">
        <v>78000</v>
      </c>
      <c r="G193" t="inlineStr">
        <is>
          <t>Запит пропозицій</t>
        </is>
      </c>
      <c r="H193" t="inlineStr">
        <is>
          <t>Машини для обробки даних (апаратна частина)</t>
        </is>
      </c>
      <c r="I193" t="inlineStr">
        <is>
          <t>договір</t>
        </is>
      </c>
    </row>
    <row r="194">
      <c r="A194" s="4" t="inlineStr">
        <is>
          <t>UA-2025-12-15-022330-a</t>
        </is>
      </c>
      <c r="B194" t="inlineStr">
        <is>
          <t>2025-12-22</t>
        </is>
      </c>
      <c r="C194" t="inlineStr">
        <is>
          <t>КНП "ЛЮБОМЛЬСЬКЕ ТЕРИТОРІАЛЬНЕ МЕДИЧНЕ ОБ'ЄДНАННЯ" ЛЮБОМЛЬСЬКОЇ МІСЬКОЇ РАДИ</t>
        </is>
      </c>
      <c r="D194" t="inlineStr">
        <is>
          <t>Волинська область</t>
        </is>
      </c>
      <c r="E194" s="5" t="n">
        <v>75288</v>
      </c>
      <c r="F194" s="13" t="n">
        <v>76000</v>
      </c>
      <c r="G194" t="inlineStr">
        <is>
          <t>Запит пропозицій</t>
        </is>
      </c>
      <c r="H194" t="inlineStr">
        <is>
          <t>Машини для обробки даних (апаратна частина)</t>
        </is>
      </c>
      <c r="I194" t="inlineStr">
        <is>
          <t>договір</t>
        </is>
      </c>
    </row>
    <row r="195">
      <c r="A195" s="4" t="inlineStr">
        <is>
          <t>UA-2026-08-18-005693-a</t>
        </is>
      </c>
      <c r="B195" t="inlineStr">
        <is>
          <t>2026-08-25</t>
        </is>
      </c>
      <c r="C195" t="inlineStr">
        <is>
          <t>КП "ЛЮБЕШІВСЬКА БАГАТОПРОФІЛЬНА ЛІКАРНЯ" ЛЮБЕШІВСЬКОЇ СЕЛИЩНОЇ РАДИ</t>
        </is>
      </c>
      <c r="D195" t="inlineStr">
        <is>
          <t>Волинська область</t>
        </is>
      </c>
      <c r="E195" s="5" t="n">
        <v>42462</v>
      </c>
      <c r="F195" s="13" t="n">
        <v>42000</v>
      </c>
      <c r="G195" t="inlineStr">
        <is>
          <t>Запит пропозицій</t>
        </is>
      </c>
      <c r="H195" t="inlineStr">
        <is>
          <t>Машини для обробки даних (апаратна частина)</t>
        </is>
      </c>
      <c r="I195" t="inlineStr">
        <is>
          <t>договір</t>
        </is>
      </c>
    </row>
    <row r="196">
      <c r="A196" s="4" t="inlineStr">
        <is>
          <t>UA-2025-12-23-020817-a</t>
        </is>
      </c>
      <c r="B196" t="inlineStr">
        <is>
          <t>2025-12-23</t>
        </is>
      </c>
      <c r="C196" t="inlineStr">
        <is>
          <t>КНП "ЛЮБОМЛЬСЬКЕ ТЕРИТОРІАЛЬНЕ МЕДИЧНЕ ОБ'ЄДНАННЯ" ЛЮБОМЛЬСЬКОЇ МІСЬКОЇ РАДИ</t>
        </is>
      </c>
      <c r="D196" t="inlineStr">
        <is>
          <t>Волинська область</t>
        </is>
      </c>
      <c r="E196" s="5" t="n">
        <v>28866</v>
      </c>
      <c r="F196" s="13" t="n">
        <v>28866</v>
      </c>
      <c r="G196" t="inlineStr">
        <is>
          <t>Звіт про договір</t>
        </is>
      </c>
      <c r="H196" t="inlineStr">
        <is>
          <t>Комп’ютерне обладнання</t>
        </is>
      </c>
      <c r="I196" t="inlineStr">
        <is>
          <t>договір</t>
        </is>
      </c>
    </row>
    <row r="198">
      <c r="A198" s="2" t="inlineStr">
        <is>
          <t>Наші зустрічі</t>
        </is>
      </c>
    </row>
    <row r="199">
      <c r="A199" s="11" t="inlineStr">
        <is>
          <t>Закупівля</t>
        </is>
      </c>
      <c r="B199" s="11" t="inlineStr">
        <is>
          <t>Дата</t>
        </is>
      </c>
      <c r="C199" s="11" t="inlineStr">
        <is>
          <t>Замовник</t>
        </is>
      </c>
      <c r="D199" s="11" t="inlineStr">
        <is>
          <t>Предмет</t>
        </is>
      </c>
      <c r="E199" s="11" t="inlineStr">
        <is>
          <t>Сума переможця, грн</t>
        </is>
      </c>
      <c r="F199" s="11" t="inlineStr">
        <is>
          <t>Наша пропозиція, грн</t>
        </is>
      </c>
      <c r="G199" s="11" t="inlineStr">
        <is>
          <t>Розрив</t>
        </is>
      </c>
      <c r="H199" s="11" t="inlineStr">
        <is>
          <t>Що сталося</t>
        </is>
      </c>
    </row>
    <row r="200">
      <c r="A200" s="4" t="inlineStr">
        <is>
          <t>UA-2025-11-18-010645-a</t>
        </is>
      </c>
      <c r="B200" t="inlineStr">
        <is>
          <t>2025-11-18</t>
        </is>
      </c>
      <c r="C200" t="inlineStr">
        <is>
          <t>Луцький національний технічний університет</t>
        </is>
      </c>
      <c r="D200" t="inlineStr">
        <is>
          <t>Машини для обробки даних (апаратна частина)</t>
        </is>
      </c>
      <c r="E200" s="5" t="n">
        <v>478440</v>
      </c>
      <c r="F200" s="5" t="n"/>
      <c r="G200" s="12" t="n"/>
      <c r="H200" t="inlineStr">
        <is>
          <t>ми не подавалися</t>
        </is>
      </c>
    </row>
    <row r="201">
      <c r="A201" s="4" t="inlineStr">
        <is>
          <t>UA-2025-11-15-000640-a</t>
        </is>
      </c>
      <c r="B201" t="inlineStr">
        <is>
          <t>2025-11-15</t>
        </is>
      </c>
      <c r="C201" t="inlineStr">
        <is>
          <t>Луцький національний технічний університет</t>
        </is>
      </c>
      <c r="D201" t="inlineStr">
        <is>
          <t>Машини для обробки даних (апаратна частина)</t>
        </is>
      </c>
      <c r="E201" s="5" t="n">
        <v>435774</v>
      </c>
      <c r="F201" s="5" t="n"/>
      <c r="G201" s="12" t="n"/>
      <c r="H201" t="inlineStr">
        <is>
          <t>ми не подавалися</t>
        </is>
      </c>
    </row>
    <row r="202">
      <c r="A202" s="4" t="inlineStr">
        <is>
          <t>UA-2026-04-30-009739-a</t>
        </is>
      </c>
      <c r="B202" t="inlineStr">
        <is>
          <t>2026-04-30</t>
        </is>
      </c>
      <c r="C202" t="inlineStr">
        <is>
          <t>Виконавчий комітет Луцької міської ради</t>
        </is>
      </c>
      <c r="D202" t="inlineStr">
        <is>
          <t>Ноутбуки</t>
        </is>
      </c>
      <c r="E202" s="5" t="n">
        <v>349920</v>
      </c>
      <c r="F202" s="5" t="n"/>
      <c r="G202" s="12" t="n"/>
      <c r="H202" t="inlineStr">
        <is>
          <t>ми не подавалися</t>
        </is>
      </c>
    </row>
    <row r="203">
      <c r="A203" s="4" t="inlineStr">
        <is>
          <t>UA-2025-12-04-007447-a</t>
        </is>
      </c>
      <c r="B203" t="inlineStr">
        <is>
          <t>2025-12-04</t>
        </is>
      </c>
      <c r="C203" t="inlineStr">
        <is>
          <t>КОПАЧІВСЬКА СІЛЬСЬКА РАДА</t>
        </is>
      </c>
      <c r="D203" t="inlineStr">
        <is>
          <t>Комп’ютери настільні та ноутбуки (ДК 021:2015: 30210000-4Машини для обробки дани</t>
        </is>
      </c>
      <c r="E203" s="5" t="n">
        <v>163680</v>
      </c>
      <c r="F203" s="5" t="n">
        <v>203364</v>
      </c>
      <c r="G203" s="12" t="n">
        <v>0.2424</v>
      </c>
      <c r="H203" t="inlineStr">
        <is>
          <t>програли за ціною</t>
        </is>
      </c>
    </row>
    <row r="204">
      <c r="A204" s="4" t="inlineStr">
        <is>
          <t>UA-2025-12-11-002243-a</t>
        </is>
      </c>
      <c r="B204" t="inlineStr">
        <is>
          <t>2025-12-11</t>
        </is>
      </c>
      <c r="C204" t="inlineStr">
        <is>
          <t>Виконавчий комітет Луцької міської ради</t>
        </is>
      </c>
      <c r="D204" t="inlineStr">
        <is>
          <t>Ноутбук ASUS Expertbook B1 B1502CVA-BQ2127X (90NX06X1-M02KP0)</t>
        </is>
      </c>
      <c r="E204" s="5" t="n">
        <v>149400</v>
      </c>
      <c r="F204" s="5" t="n"/>
      <c r="G204" s="12" t="n"/>
      <c r="H204" t="inlineStr">
        <is>
          <t>ми не подавалися</t>
        </is>
      </c>
    </row>
    <row r="205">
      <c r="A205" s="4" t="inlineStr">
        <is>
          <t>UA-2025-12-12-007408-a</t>
        </is>
      </c>
      <c r="B205" t="inlineStr">
        <is>
          <t>2025-12-12</t>
        </is>
      </c>
      <c r="C205" t="inlineStr">
        <is>
          <t>Управління освіти виконавчого комітету Ковельської міської ради</t>
        </is>
      </c>
      <c r="D205" t="inlineStr">
        <is>
          <t>Ноутбук для педагогічного працівника високого рівня: 15.6", Intel Core i5 12(13)</t>
        </is>
      </c>
      <c r="E205" s="5" t="n">
        <v>122580</v>
      </c>
      <c r="F205" s="5" t="n"/>
      <c r="G205" s="12" t="n"/>
      <c r="H205" t="inlineStr">
        <is>
          <t>ми не подавалися</t>
        </is>
      </c>
    </row>
    <row r="206">
      <c r="A206" s="4" t="inlineStr">
        <is>
          <t>UA-2025-10-27-006892-a</t>
        </is>
      </c>
      <c r="B206" t="inlineStr">
        <is>
          <t>2025-10-27</t>
        </is>
      </c>
      <c r="C206" t="inlineStr">
        <is>
          <t>ВИКОНАВЧИЙ КОМІТЕТ НОВОВОЛИНСЬКОЇ МІСЬКОЇ РАДИ</t>
        </is>
      </c>
      <c r="D206" t="inlineStr">
        <is>
          <t>Системні блоки, ноутбуки</t>
        </is>
      </c>
      <c r="E206" s="5" t="n">
        <v>109074</v>
      </c>
      <c r="F206" s="5" t="n"/>
      <c r="G206" s="12" t="n"/>
      <c r="H206" t="inlineStr">
        <is>
          <t>ми не подавалися</t>
        </is>
      </c>
    </row>
    <row r="207">
      <c r="A207" s="4" t="inlineStr">
        <is>
          <t>UA-2025-10-27-014765-a</t>
        </is>
      </c>
      <c r="B207" t="inlineStr">
        <is>
          <t>2025-10-27</t>
        </is>
      </c>
      <c r="C207" t="inlineStr">
        <is>
          <t>Виконавчий комітет Луцької міської ради</t>
        </is>
      </c>
      <c r="D207" t="inlineStr">
        <is>
          <t>Ноутбук Lenovo ThinkPad L16 Black Gen 1</t>
        </is>
      </c>
      <c r="E207" s="5" t="n">
        <v>99996</v>
      </c>
      <c r="F207" s="5" t="n"/>
      <c r="G207" s="12" t="n"/>
      <c r="H207" t="inlineStr">
        <is>
          <t>ми не подавалися</t>
        </is>
      </c>
    </row>
    <row r="208">
      <c r="A208" s="4" t="inlineStr">
        <is>
          <t>UA-2025-11-27-015828-a</t>
        </is>
      </c>
      <c r="B208" t="inlineStr">
        <is>
          <t>2025-11-27</t>
        </is>
      </c>
      <c r="C208" t="inlineStr">
        <is>
          <t>КНП "ЛЮБОМЛЬСЬКЕ ТЕРИТОРІАЛЬНЕ МЕДИЧНЕ ОБ'ЄДНАННЯ" ЛЮБОМЛЬСЬКОЇ МІСЬКОЇ РАДИ</t>
        </is>
      </c>
      <c r="D208" t="inlineStr">
        <is>
          <t>Комп'ютери настільні; Ноутбуки</t>
        </is>
      </c>
      <c r="E208" s="5" t="n">
        <v>98982</v>
      </c>
      <c r="F208" s="5" t="n"/>
      <c r="G208" s="12" t="n"/>
      <c r="H208" t="inlineStr">
        <is>
          <t>ми не подавалися</t>
        </is>
      </c>
    </row>
    <row r="209">
      <c r="A209" s="4" t="inlineStr">
        <is>
          <t>UA-2025-09-18-012137-a</t>
        </is>
      </c>
      <c r="B209" t="inlineStr">
        <is>
          <t>2025-09-18</t>
        </is>
      </c>
      <c r="C209" t="inlineStr">
        <is>
          <t>Виконавчий комітет Луцької міської ради</t>
        </is>
      </c>
      <c r="D209" t="inlineStr">
        <is>
          <t>Планшет Lenovo Tab K11 Plus 8/256 LTE Luna Grey (ZAEW0001UA)</t>
        </is>
      </c>
      <c r="E209" s="5" t="n">
        <v>77760</v>
      </c>
      <c r="F209" s="5" t="n"/>
      <c r="G209" s="12" t="n"/>
      <c r="H209" t="inlineStr">
        <is>
          <t>ми не подавалися</t>
        </is>
      </c>
    </row>
    <row r="210">
      <c r="A210" s="4" t="inlineStr">
        <is>
          <t>UA-2025-12-15-022330-a</t>
        </is>
      </c>
      <c r="B210" t="inlineStr">
        <is>
          <t>2025-12-15</t>
        </is>
      </c>
      <c r="C210" t="inlineStr">
        <is>
          <t>КНП "ЛЮБОМЛЬСЬКЕ ТЕРИТОРІАЛЬНЕ МЕДИЧНЕ ОБ'ЄДНАННЯ" ЛЮБОМЛЬСЬКОЇ МІСЬКОЇ РАДИ</t>
        </is>
      </c>
      <c r="D210" t="inlineStr">
        <is>
          <t>Комп'ютери настільні</t>
        </is>
      </c>
      <c r="E210" s="5" t="n">
        <v>75288</v>
      </c>
      <c r="F210" s="5" t="n"/>
      <c r="G210" s="12" t="n"/>
      <c r="H210" t="inlineStr">
        <is>
          <t>ми не подавалися</t>
        </is>
      </c>
    </row>
    <row r="211">
      <c r="A211" s="4" t="inlineStr">
        <is>
          <t>UA-2026-08-18-005693-a</t>
        </is>
      </c>
      <c r="B211" t="inlineStr">
        <is>
          <t>2026-08-18</t>
        </is>
      </c>
      <c r="C211" t="inlineStr">
        <is>
          <t>КП "ЛЮБЕШІВСЬКА БАГАТОПРОФІЛЬНА ЛІКАРНЯ" ЛЮБЕШІВСЬКОЇ СЕЛИЩНОЇ РАДИ</t>
        </is>
      </c>
      <c r="D211" t="inlineStr">
        <is>
          <t>Комп'ютери настільні</t>
        </is>
      </c>
      <c r="E211" s="5" t="n">
        <v>35385</v>
      </c>
      <c r="F211" s="5" t="n"/>
      <c r="G211" s="12" t="n"/>
      <c r="H211" t="inlineStr">
        <is>
          <t>ми не подавалися</t>
        </is>
      </c>
    </row>
    <row r="212">
      <c r="A212" s="4" t="inlineStr">
        <is>
          <t>UA-2025-12-23-020817-a</t>
        </is>
      </c>
      <c r="B212" t="inlineStr">
        <is>
          <t>2025-12-23</t>
        </is>
      </c>
      <c r="C212" t="inlineStr">
        <is>
          <t>КНП "ЛЮБОМЛЬСЬКЕ ТЕРИТОРІАЛЬНЕ МЕДИЧНЕ ОБ'ЄДНАННЯ" ЛЮБОМЛЬСЬКОЇ МІСЬКОЇ РАДИ</t>
        </is>
      </c>
      <c r="D212" t="inlineStr">
        <is>
          <t>Комп'ютерне обладнання</t>
        </is>
      </c>
      <c r="E212" s="5" t="n">
        <v>28866</v>
      </c>
      <c r="F212" s="5" t="n"/>
      <c r="G212" s="12" t="n"/>
      <c r="H212" t="inlineStr">
        <is>
          <t>ми не подавалися</t>
        </is>
      </c>
    </row>
    <row r="214">
      <c r="A214" s="8" t="inlineStr">
        <is>
          <t>Сильні сторони</t>
        </is>
      </c>
    </row>
    <row r="215">
      <c r="A215" t="inlineStr">
        <is>
          <t>+  портфель дистрибуції: 6 ТМ</t>
        </is>
      </c>
    </row>
    <row r="216">
      <c r="A216" t="inlineStr">
        <is>
          <t>+  стабільна база замовників (46,2% повторних)</t>
        </is>
      </c>
    </row>
    <row r="217">
      <c r="A217" t="inlineStr">
        <is>
          <t>+  уміє вигравати у відкритих торгах</t>
        </is>
      </c>
    </row>
    <row r="218">
      <c r="A218" t="inlineStr">
        <is>
          <t>+  працює з великими контрактами</t>
        </is>
      </c>
    </row>
    <row r="220">
      <c r="A220" s="8" t="inlineStr">
        <is>
          <t>Слабкі сторони</t>
        </is>
      </c>
    </row>
    <row r="221">
      <c r="A221" t="inlineStr">
        <is>
          <t>−  сертифікатів у поданих файлах не знайдено</t>
        </is>
      </c>
    </row>
    <row r="222">
      <c r="A222" t="inlineStr">
        <is>
          <t>−  слабка цінова позиція: дисконт 0,3% проти 8,3% по ринку</t>
        </is>
      </c>
    </row>
    <row r="223">
      <c r="A223" t="inlineStr">
        <is>
          <t>−  низька результативність на торгах (19,4%)</t>
        </is>
      </c>
    </row>
    <row r="224">
      <c r="A224" t="inlineStr">
        <is>
          <t>−  спад (-36% у другій половині періоду)</t>
        </is>
      </c>
    </row>
  </sheetData>
  <hyperlinks>
    <hyperlink xmlns:r="http://schemas.openxmlformats.org/officeDocument/2006/relationships" ref="A161" r:id="rId1"/>
    <hyperlink xmlns:r="http://schemas.openxmlformats.org/officeDocument/2006/relationships" ref="A162" r:id="rId2"/>
    <hyperlink xmlns:r="http://schemas.openxmlformats.org/officeDocument/2006/relationships" ref="A163" r:id="rId3"/>
    <hyperlink xmlns:r="http://schemas.openxmlformats.org/officeDocument/2006/relationships" ref="A164" r:id="rId4"/>
    <hyperlink xmlns:r="http://schemas.openxmlformats.org/officeDocument/2006/relationships" ref="A165" r:id="rId5"/>
    <hyperlink xmlns:r="http://schemas.openxmlformats.org/officeDocument/2006/relationships" ref="A166" r:id="rId6"/>
    <hyperlink xmlns:r="http://schemas.openxmlformats.org/officeDocument/2006/relationships" ref="A167" r:id="rId7"/>
    <hyperlink xmlns:r="http://schemas.openxmlformats.org/officeDocument/2006/relationships" ref="A168" r:id="rId8"/>
    <hyperlink xmlns:r="http://schemas.openxmlformats.org/officeDocument/2006/relationships" ref="A169" r:id="rId9"/>
    <hyperlink xmlns:r="http://schemas.openxmlformats.org/officeDocument/2006/relationships" ref="A170" r:id="rId10"/>
    <hyperlink xmlns:r="http://schemas.openxmlformats.org/officeDocument/2006/relationships" ref="A171" r:id="rId11"/>
    <hyperlink xmlns:r="http://schemas.openxmlformats.org/officeDocument/2006/relationships" ref="A172" r:id="rId12"/>
    <hyperlink xmlns:r="http://schemas.openxmlformats.org/officeDocument/2006/relationships" ref="A173" r:id="rId13"/>
    <hyperlink xmlns:r="http://schemas.openxmlformats.org/officeDocument/2006/relationships" ref="A174" r:id="rId14"/>
    <hyperlink xmlns:r="http://schemas.openxmlformats.org/officeDocument/2006/relationships" ref="A175" r:id="rId15"/>
    <hyperlink xmlns:r="http://schemas.openxmlformats.org/officeDocument/2006/relationships" ref="A176" r:id="rId16"/>
    <hyperlink xmlns:r="http://schemas.openxmlformats.org/officeDocument/2006/relationships" ref="A177" r:id="rId17"/>
    <hyperlink xmlns:r="http://schemas.openxmlformats.org/officeDocument/2006/relationships" ref="A178" r:id="rId18"/>
    <hyperlink xmlns:r="http://schemas.openxmlformats.org/officeDocument/2006/relationships" ref="A179" r:id="rId19"/>
    <hyperlink xmlns:r="http://schemas.openxmlformats.org/officeDocument/2006/relationships" ref="A180" r:id="rId20"/>
    <hyperlink xmlns:r="http://schemas.openxmlformats.org/officeDocument/2006/relationships" ref="A184" r:id="rId21"/>
    <hyperlink xmlns:r="http://schemas.openxmlformats.org/officeDocument/2006/relationships" ref="A185" r:id="rId22"/>
    <hyperlink xmlns:r="http://schemas.openxmlformats.org/officeDocument/2006/relationships" ref="A186" r:id="rId23"/>
    <hyperlink xmlns:r="http://schemas.openxmlformats.org/officeDocument/2006/relationships" ref="A187" r:id="rId24"/>
    <hyperlink xmlns:r="http://schemas.openxmlformats.org/officeDocument/2006/relationships" ref="A188" r:id="rId25"/>
    <hyperlink xmlns:r="http://schemas.openxmlformats.org/officeDocument/2006/relationships" ref="A189" r:id="rId26"/>
    <hyperlink xmlns:r="http://schemas.openxmlformats.org/officeDocument/2006/relationships" ref="A190" r:id="rId27"/>
    <hyperlink xmlns:r="http://schemas.openxmlformats.org/officeDocument/2006/relationships" ref="A191" r:id="rId28"/>
    <hyperlink xmlns:r="http://schemas.openxmlformats.org/officeDocument/2006/relationships" ref="A192" r:id="rId29"/>
    <hyperlink xmlns:r="http://schemas.openxmlformats.org/officeDocument/2006/relationships" ref="A193" r:id="rId30"/>
    <hyperlink xmlns:r="http://schemas.openxmlformats.org/officeDocument/2006/relationships" ref="A194" r:id="rId31"/>
    <hyperlink xmlns:r="http://schemas.openxmlformats.org/officeDocument/2006/relationships" ref="A195" r:id="rId32"/>
    <hyperlink xmlns:r="http://schemas.openxmlformats.org/officeDocument/2006/relationships" ref="A196" r:id="rId33"/>
    <hyperlink xmlns:r="http://schemas.openxmlformats.org/officeDocument/2006/relationships" ref="A200" r:id="rId34"/>
    <hyperlink xmlns:r="http://schemas.openxmlformats.org/officeDocument/2006/relationships" ref="A201" r:id="rId35"/>
    <hyperlink xmlns:r="http://schemas.openxmlformats.org/officeDocument/2006/relationships" ref="A202" r:id="rId36"/>
    <hyperlink xmlns:r="http://schemas.openxmlformats.org/officeDocument/2006/relationships" ref="A203" r:id="rId37"/>
    <hyperlink xmlns:r="http://schemas.openxmlformats.org/officeDocument/2006/relationships" ref="A204" r:id="rId38"/>
    <hyperlink xmlns:r="http://schemas.openxmlformats.org/officeDocument/2006/relationships" ref="A205" r:id="rId39"/>
    <hyperlink xmlns:r="http://schemas.openxmlformats.org/officeDocument/2006/relationships" ref="A206" r:id="rId40"/>
    <hyperlink xmlns:r="http://schemas.openxmlformats.org/officeDocument/2006/relationships" ref="A207" r:id="rId41"/>
    <hyperlink xmlns:r="http://schemas.openxmlformats.org/officeDocument/2006/relationships" ref="A208" r:id="rId42"/>
    <hyperlink xmlns:r="http://schemas.openxmlformats.org/officeDocument/2006/relationships" ref="A209" r:id="rId43"/>
    <hyperlink xmlns:r="http://schemas.openxmlformats.org/officeDocument/2006/relationships" ref="A210" r:id="rId44"/>
    <hyperlink xmlns:r="http://schemas.openxmlformats.org/officeDocument/2006/relationships" ref="A211" r:id="rId45"/>
    <hyperlink xmlns:r="http://schemas.openxmlformats.org/officeDocument/2006/relationships" ref="A212" r:id="rId46"/>
  </hyperlinks>
  <pageMargins left="0.75" right="0.75" top="1" bottom="1" header="0.5" footer="0.5"/>
  <drawing xmlns:r="http://schemas.openxmlformats.org/officeDocument/2006/relationships" r:id="rId47"/>
  <tableParts count="6">
    <tablePart xmlns:r="http://schemas.openxmlformats.org/officeDocument/2006/relationships" r:id="rId48"/>
    <tablePart xmlns:r="http://schemas.openxmlformats.org/officeDocument/2006/relationships" r:id="rId49"/>
    <tablePart xmlns:r="http://schemas.openxmlformats.org/officeDocument/2006/relationships" r:id="rId50"/>
    <tablePart xmlns:r="http://schemas.openxmlformats.org/officeDocument/2006/relationships" r:id="rId51"/>
    <tablePart xmlns:r="http://schemas.openxmlformats.org/officeDocument/2006/relationships" r:id="rId52"/>
    <tablePart xmlns:r="http://schemas.openxmlformats.org/officeDocument/2006/relationships" r:id="rId53"/>
  </tableParts>
</worksheet>
</file>

<file path=xl/worksheets/sheet22.xml><?xml version="1.0" encoding="utf-8"?>
<worksheet xmlns="http://schemas.openxmlformats.org/spreadsheetml/2006/main">
  <sheetPr>
    <outlinePr summaryBelow="1" summaryRight="1"/>
    <pageSetUpPr/>
  </sheetPr>
  <dimension ref="A1:I97"/>
  <sheetViews>
    <sheetView showGridLines="0" workbookViewId="0">
      <selection activeCell="A1" sqref="A1"/>
    </sheetView>
  </sheetViews>
  <sheetFormatPr baseColWidth="8" defaultRowHeight="15"/>
  <cols>
    <col width="42" customWidth="1" min="1" max="1"/>
    <col width="25" customWidth="1" min="2" max="2"/>
    <col width="60" customWidth="1" min="3" max="3"/>
    <col width="60" customWidth="1" min="4" max="4"/>
    <col width="21" customWidth="1" min="5" max="5"/>
    <col width="22" customWidth="1" min="6" max="6"/>
    <col width="23" customWidth="1" min="7" max="7"/>
    <col width="45" customWidth="1" min="8" max="8"/>
    <col width="10" customWidth="1" min="9" max="9"/>
  </cols>
  <sheetData>
    <row r="1">
      <c r="A1" s="1" t="inlineStr">
        <is>
          <t>ТОВ "ТЕХНО ГАЛАКТИКА"</t>
        </is>
      </c>
    </row>
    <row r="2">
      <c r="A2" s="6" t="inlineStr">
        <is>
          <t>ЄДРПОУ 45884059  ·  конкурент  ·  місце №9</t>
        </is>
      </c>
    </row>
    <row r="4">
      <c r="A4" s="7" t="inlineStr">
        <is>
          <t>ТОВ "ТЕХНО ГАЛАКТИКА" (45884059)</t>
        </is>
      </c>
    </row>
    <row r="6">
      <c r="A6" s="8" t="inlineStr">
        <is>
          <t>Показники</t>
        </is>
      </c>
    </row>
    <row r="7">
      <c r="A7" s="9" t="inlineStr">
        <is>
          <t>Місце на ринку</t>
        </is>
      </c>
      <c r="B7" s="10" t="inlineStr">
        <is>
          <t>№9</t>
        </is>
      </c>
    </row>
    <row r="8">
      <c r="A8" s="9" t="inlineStr">
        <is>
          <t>Сума угод</t>
        </is>
      </c>
      <c r="B8" s="10" t="inlineStr">
        <is>
          <t>2,2 млн грн</t>
        </is>
      </c>
    </row>
    <row r="9">
      <c r="A9" s="9" t="inlineStr">
        <is>
          <t>Частка ринку</t>
        </is>
      </c>
      <c r="B9" s="10" t="inlineStr">
        <is>
          <t>1,9%</t>
        </is>
      </c>
    </row>
    <row r="10">
      <c r="A10" s="9" t="inlineStr">
        <is>
          <t>Угод</t>
        </is>
      </c>
      <c r="B10" s="10" t="inlineStr">
        <is>
          <t>2</t>
        </is>
      </c>
    </row>
    <row r="11">
      <c r="A11" s="9" t="inlineStr">
        <is>
          <t>Закупівель виграно</t>
        </is>
      </c>
      <c r="B11" s="10" t="inlineStr">
        <is>
          <t>2</t>
        </is>
      </c>
    </row>
    <row r="12">
      <c r="A12" s="9" t="inlineStr">
        <is>
          <t>Подань (де видно)</t>
        </is>
      </c>
      <c r="B12" s="10" t="inlineStr">
        <is>
          <t>2</t>
        </is>
      </c>
    </row>
    <row r="13">
      <c r="A13" s="9" t="inlineStr">
        <is>
          <t>Виграно з поданих</t>
        </is>
      </c>
      <c r="B13" s="10" t="inlineStr">
        <is>
          <t>2 з 2</t>
        </is>
      </c>
    </row>
    <row r="14">
      <c r="A14" s="9" t="inlineStr">
        <is>
          <t>Результативність</t>
        </is>
      </c>
      <c r="B14" s="10" t="inlineStr">
        <is>
          <t>100,0%</t>
        </is>
      </c>
    </row>
    <row r="15">
      <c r="A15" s="9" t="inlineStr">
        <is>
          <t>Середня угода</t>
        </is>
      </c>
      <c r="B15" s="10" t="inlineStr">
        <is>
          <t>1,1 млн грн</t>
        </is>
      </c>
    </row>
    <row r="16">
      <c r="A16" s="9" t="inlineStr">
        <is>
          <t>Медіанна угода</t>
        </is>
      </c>
      <c r="B16" s="10" t="inlineStr">
        <is>
          <t>1,1 млн грн</t>
        </is>
      </c>
    </row>
    <row r="17">
      <c r="A17" s="9" t="inlineStr">
        <is>
          <t>Замовників</t>
        </is>
      </c>
      <c r="B17" s="10" t="inlineStr">
        <is>
          <t>1</t>
        </is>
      </c>
    </row>
    <row r="18">
      <c r="A18" s="9" t="inlineStr">
        <is>
          <t>Областей</t>
        </is>
      </c>
      <c r="B18" s="10" t="inlineStr">
        <is>
          <t>1</t>
        </is>
      </c>
    </row>
    <row r="19">
      <c r="A19" s="9" t="inlineStr">
        <is>
          <t>Основна ТМ</t>
        </is>
      </c>
      <c r="B19" s="10" t="inlineStr">
        <is>
          <t>не визначено</t>
        </is>
      </c>
    </row>
    <row r="20">
      <c r="A20" s="9" t="inlineStr">
        <is>
          <t>Основний товар</t>
        </is>
      </c>
      <c r="B20" s="10" t="inlineStr">
        <is>
          <t>Персональний комп'ютер</t>
        </is>
      </c>
    </row>
    <row r="21">
      <c r="A21" s="9" t="inlineStr">
        <is>
          <t>Дисконт (медіана)</t>
        </is>
      </c>
      <c r="B21" s="10" t="inlineStr">
        <is>
          <t>—</t>
        </is>
      </c>
    </row>
    <row r="22">
      <c r="A22" s="9" t="inlineStr">
        <is>
          <t>Повторні замовники</t>
        </is>
      </c>
      <c r="B22" s="10" t="inlineStr">
        <is>
          <t>50,0%</t>
        </is>
      </c>
    </row>
    <row r="23">
      <c r="A23" s="9" t="inlineStr">
        <is>
          <t>Активність</t>
        </is>
      </c>
      <c r="B23" s="10" t="inlineStr">
        <is>
          <t>2026-08-10 — 2026-08-14</t>
        </is>
      </c>
    </row>
    <row r="24">
      <c r="A24" s="9" t="inlineStr">
        <is>
          <t>Зірвано перемог</t>
        </is>
      </c>
      <c r="B24" s="10" t="inlineStr">
        <is>
          <t>—</t>
        </is>
      </c>
    </row>
    <row r="25">
      <c r="A25" s="9" t="inlineStr">
        <is>
          <t>Причина зривів</t>
        </is>
      </c>
      <c r="B25" s="10" t="inlineStr">
        <is>
          <t>—</t>
        </is>
      </c>
    </row>
    <row r="27">
      <c r="A27" s="8" t="inlineStr">
        <is>
          <t>Висновки</t>
        </is>
      </c>
    </row>
    <row r="28">
      <c r="A28" t="inlineStr">
        <is>
          <t>•  9-е місце на ринку: 2,2 млн грн (1,9% обороту)</t>
        </is>
      </c>
    </row>
    <row r="29">
      <c r="A29" t="inlineStr">
        <is>
          <t>•  Основний товар: персональний комп'ютер</t>
        </is>
      </c>
    </row>
    <row r="30">
      <c r="A30" t="inlineStr">
        <is>
          <t>•  У поданих файлах — сертифікатів: 4, авторизаційних листів: 4</t>
        </is>
      </c>
    </row>
    <row r="32">
      <c r="A32" s="8" t="inlineStr">
        <is>
          <t>Графіки</t>
        </is>
      </c>
    </row>
    <row r="34">
      <c r="A34" s="2" t="inlineStr">
        <is>
          <t>Що саме продає</t>
        </is>
      </c>
    </row>
    <row r="35">
      <c r="A35" s="3" t="inlineStr">
        <is>
          <t>Категорія</t>
        </is>
      </c>
      <c r="B35" s="3" t="inlineStr">
        <is>
          <t>Позицій, шт</t>
        </is>
      </c>
    </row>
    <row r="36">
      <c r="A36" t="inlineStr">
        <is>
          <t>Персональний комп'ютер</t>
        </is>
      </c>
      <c r="B36" s="5" t="n">
        <v>2</v>
      </c>
    </row>
    <row r="50">
      <c r="A50" s="2" t="inlineStr">
        <is>
          <t>Ключові замовники</t>
        </is>
      </c>
    </row>
    <row r="51">
      <c r="A51" s="3" t="inlineStr">
        <is>
          <t>Категорія</t>
        </is>
      </c>
      <c r="B51" s="3" t="inlineStr">
        <is>
          <t>Сума, грн</t>
        </is>
      </c>
    </row>
    <row r="52">
      <c r="A52" t="inlineStr">
        <is>
          <t>ОПОРНИЙ ЗАКЛАД ЗАГАЛЬНОЇ СЕРЕДНЬОЇ ОСВІТ</t>
        </is>
      </c>
      <c r="B52" s="5" t="n">
        <v>2199480</v>
      </c>
    </row>
    <row r="66">
      <c r="A66" s="8" t="inlineStr">
        <is>
          <t>Таблиці</t>
        </is>
      </c>
    </row>
    <row r="68">
      <c r="A68" s="2" t="inlineStr">
        <is>
          <t>Товари</t>
        </is>
      </c>
    </row>
    <row r="69">
      <c r="A69" s="11" t="inlineStr">
        <is>
          <t>Товар</t>
        </is>
      </c>
      <c r="B69" s="11" t="inlineStr">
        <is>
          <t>Позицій</t>
        </is>
      </c>
    </row>
    <row r="70">
      <c r="A70" t="inlineStr">
        <is>
          <t>Персональний комп'ютер</t>
        </is>
      </c>
      <c r="B70" s="5" t="n">
        <v>2</v>
      </c>
    </row>
    <row r="72">
      <c r="A72" s="2" t="inlineStr">
        <is>
          <t>Документи</t>
        </is>
      </c>
    </row>
    <row r="73">
      <c r="A73" s="11" t="inlineStr">
        <is>
          <t>Тип документа</t>
        </is>
      </c>
      <c r="B73" s="11" t="inlineStr">
        <is>
          <t>Файлів</t>
        </is>
      </c>
    </row>
    <row r="74">
      <c r="A74" t="inlineStr">
        <is>
          <t>не класифіковано</t>
        </is>
      </c>
      <c r="B74" s="5" t="n">
        <v>74</v>
      </c>
    </row>
    <row r="75">
      <c r="A75" t="inlineStr">
        <is>
          <t>Установчі та реєстраційні</t>
        </is>
      </c>
      <c r="B75" s="5" t="n">
        <v>24</v>
      </c>
    </row>
    <row r="76">
      <c r="A76" t="inlineStr">
        <is>
          <t>Підпис КЕП</t>
        </is>
      </c>
      <c r="B76" s="5" t="n">
        <v>6</v>
      </c>
    </row>
    <row r="77">
      <c r="A77" t="inlineStr">
        <is>
          <t>Лист виробника / авторизація</t>
        </is>
      </c>
      <c r="B77" s="5" t="n">
        <v>4</v>
      </c>
    </row>
    <row r="78">
      <c r="A78" t="inlineStr">
        <is>
          <t>Тендерна документація</t>
        </is>
      </c>
      <c r="B78" s="5" t="n">
        <v>4</v>
      </c>
    </row>
    <row r="79">
      <c r="A79" t="inlineStr">
        <is>
          <t>Досвід / аналогічні договори</t>
        </is>
      </c>
      <c r="B79" s="5" t="n">
        <v>4</v>
      </c>
    </row>
    <row r="80">
      <c r="A80" t="inlineStr">
        <is>
          <t>Договір</t>
        </is>
      </c>
      <c r="B80" s="5" t="n">
        <v>4</v>
      </c>
    </row>
    <row r="81">
      <c r="A81" t="inlineStr">
        <is>
          <t>Сертифікат / декларація відповідності</t>
        </is>
      </c>
      <c r="B81" s="5" t="n">
        <v>4</v>
      </c>
    </row>
    <row r="82">
      <c r="A82" t="inlineStr">
        <is>
          <t>Технічна специфікація</t>
        </is>
      </c>
      <c r="B82" s="5" t="n">
        <v>1</v>
      </c>
    </row>
    <row r="84">
      <c r="A84" s="2" t="inlineStr">
        <is>
          <t>Угоди</t>
        </is>
      </c>
    </row>
    <row r="85">
      <c r="A85" s="11" t="inlineStr">
        <is>
          <t>Закупівля</t>
        </is>
      </c>
      <c r="B85" s="11" t="inlineStr">
        <is>
          <t>Дата</t>
        </is>
      </c>
      <c r="C85" s="11" t="inlineStr">
        <is>
          <t>Замовник</t>
        </is>
      </c>
      <c r="D85" s="11" t="inlineStr">
        <is>
          <t>Регіон</t>
        </is>
      </c>
      <c r="E85" s="11" t="inlineStr">
        <is>
          <t>Сума, грн</t>
        </is>
      </c>
      <c r="F85" s="11" t="inlineStr">
        <is>
          <t>Очікувана, грн</t>
        </is>
      </c>
      <c r="G85" s="11" t="inlineStr">
        <is>
          <t>Процедура</t>
        </is>
      </c>
      <c r="H85" s="11" t="inlineStr">
        <is>
          <t>Галузь</t>
        </is>
      </c>
      <c r="I85" s="11" t="inlineStr">
        <is>
          <t>Джерело</t>
        </is>
      </c>
    </row>
    <row r="86">
      <c r="A86" s="4" t="inlineStr">
        <is>
          <t>UA-2026-07-21-008617-a</t>
        </is>
      </c>
      <c r="B86" t="inlineStr">
        <is>
          <t>2026-08-10</t>
        </is>
      </c>
      <c r="C86" t="inlineStr">
        <is>
          <t>ОПОРНИЙ ЗАКЛАД ЗАГАЛЬНОЇ СЕРЕДНЬОЇ ОСВІТИ "ЛОКАЧИНСЬКИЙ ЛІЦЕЙ"ЛОКАЧИНСЬКОЇ СЕЛИЩНОЇ РАДИ ВОЛОДИМИРСЬКОГО РАЙОНУ ВОЛИНСЬКОЇ ОБЛАСТІ</t>
        </is>
      </c>
      <c r="D86" t="inlineStr">
        <is>
          <t>Волинська область</t>
        </is>
      </c>
      <c r="E86" s="5" t="n">
        <v>1837080</v>
      </c>
      <c r="F86" s="5" t="n">
        <v>1557225</v>
      </c>
      <c r="G86" t="inlineStr">
        <is>
          <t>Відкриті торги (нові)</t>
        </is>
      </c>
      <c r="H86" t="inlineStr">
        <is>
          <t>Машини для обробки даних (апаратна частина)</t>
        </is>
      </c>
      <c r="I86" t="inlineStr">
        <is>
          <t>договір</t>
        </is>
      </c>
    </row>
    <row r="87">
      <c r="A87" s="4" t="inlineStr">
        <is>
          <t>UA-2026-07-24-007514-a</t>
        </is>
      </c>
      <c r="B87" t="inlineStr">
        <is>
          <t>2026-08-14</t>
        </is>
      </c>
      <c r="C87" t="inlineStr">
        <is>
          <t>ОПОРНИЙ ЗАКЛАД ЗАГАЛЬНОЇ СЕРЕДНЬОЇ ОСВІТИ "ЛОКАЧИНСЬКИЙ ЛІЦЕЙ"ЛОКАЧИНСЬКОЇ СЕЛИЩНОЇ РАДИ ВОЛОДИМИРСЬКОГО РАЙОНУ ВОЛИНСЬКОЇ ОБЛАСТІ</t>
        </is>
      </c>
      <c r="D87" t="inlineStr">
        <is>
          <t>Волинська область</t>
        </is>
      </c>
      <c r="E87" s="5" t="n">
        <v>362400</v>
      </c>
      <c r="F87" s="5" t="n">
        <v>303150</v>
      </c>
      <c r="G87" t="inlineStr">
        <is>
          <t>Відкриті торги (нові)</t>
        </is>
      </c>
      <c r="H87" t="inlineStr">
        <is>
          <t>Машини для обробки даних (апаратна частина)</t>
        </is>
      </c>
      <c r="I87" t="inlineStr">
        <is>
          <t>договір</t>
        </is>
      </c>
    </row>
    <row r="89">
      <c r="A89" s="2" t="inlineStr">
        <is>
          <t>Наші зустрічі</t>
        </is>
      </c>
    </row>
    <row r="90">
      <c r="A90" s="11" t="inlineStr">
        <is>
          <t>Закупівля</t>
        </is>
      </c>
      <c r="B90" s="11" t="inlineStr">
        <is>
          <t>Дата</t>
        </is>
      </c>
      <c r="C90" s="11" t="inlineStr">
        <is>
          <t>Замовник</t>
        </is>
      </c>
      <c r="D90" s="11" t="inlineStr">
        <is>
          <t>Предмет</t>
        </is>
      </c>
      <c r="E90" s="11" t="inlineStr">
        <is>
          <t>Сума переможця, грн</t>
        </is>
      </c>
      <c r="F90" s="11" t="inlineStr">
        <is>
          <t>Наша пропозиція, грн</t>
        </is>
      </c>
      <c r="G90" s="11" t="inlineStr">
        <is>
          <t>Розрив</t>
        </is>
      </c>
      <c r="H90" s="11" t="inlineStr">
        <is>
          <t>Що сталося</t>
        </is>
      </c>
    </row>
    <row r="91">
      <c r="A91" s="4" t="inlineStr">
        <is>
          <t>UA-2026-07-21-008617-a</t>
        </is>
      </c>
      <c r="B91" t="inlineStr">
        <is>
          <t>2026-07-21</t>
        </is>
      </c>
      <c r="C91" t="inlineStr">
        <is>
          <t>ОПОРНИЙ ЗАКЛАД ЗАГАЛЬНОЇ СЕРЕДНЬОЇ ОСВІТИ "ЛОКАЧИНСЬКИЙ ЛІЦЕЙ"ЛОКАЧИНСЬКОЇ СЕЛИЩНОЇ РАДИ ВОЛОДИМИРСЬКОГО РАЙОНУ ВОЛИНСЬКОЇ ОБЛАСТІ</t>
        </is>
      </c>
      <c r="D91" t="inlineStr">
        <is>
          <t>Персональний комп’ютер НУШ Код ДК 021:2015 30210000-4 Машини для обробки даних</t>
        </is>
      </c>
      <c r="E91" s="5" t="n">
        <v>1530900</v>
      </c>
      <c r="H91" t="inlineStr">
        <is>
          <t>ми не подавалися</t>
        </is>
      </c>
    </row>
    <row r="92">
      <c r="A92" s="4" t="inlineStr">
        <is>
          <t>UA-2026-07-24-007514-a</t>
        </is>
      </c>
      <c r="B92" t="inlineStr">
        <is>
          <t>2026-07-24</t>
        </is>
      </c>
      <c r="C92" t="inlineStr">
        <is>
          <t>ОПОРНИЙ ЗАКЛАД ЗАГАЛЬНОЇ СЕРЕДНЬОЇ ОСВІТИ "ЛОКАЧИНСЬКИЙ ЛІЦЕЙ"ЛОКАЧИНСЬКОЇ СЕЛИЩНОЇ РАДИ ВОЛОДИМИРСЬКОГО РАЙОНУ ВОЛИНСЬКОЇ ОБЛАСТІ</t>
        </is>
      </c>
      <c r="D92" t="inlineStr">
        <is>
          <t>Персональний комп’ютер (форм-фактора десктоп) НУШ Код ДК 021:2015 30210000-4 Маш</t>
        </is>
      </c>
      <c r="E92" s="5" t="n">
        <v>302000</v>
      </c>
      <c r="H92" t="inlineStr">
        <is>
          <t>ми не подавалися</t>
        </is>
      </c>
    </row>
    <row r="94">
      <c r="A94" s="8" t="inlineStr">
        <is>
          <t>Сильні сторони</t>
        </is>
      </c>
    </row>
    <row r="95">
      <c r="A95" t="inlineStr">
        <is>
          <t>+  наявність сертифікатів (4 файлів)</t>
        </is>
      </c>
    </row>
    <row r="96">
      <c r="A96" t="inlineStr">
        <is>
          <t>+  авторизація виробника (4 листів)</t>
        </is>
      </c>
    </row>
    <row r="97">
      <c r="A97" t="inlineStr">
        <is>
          <t>+  працює з великими контрактами</t>
        </is>
      </c>
    </row>
  </sheetData>
  <hyperlinks>
    <hyperlink xmlns:r="http://schemas.openxmlformats.org/officeDocument/2006/relationships" ref="A86" r:id="rId1"/>
    <hyperlink xmlns:r="http://schemas.openxmlformats.org/officeDocument/2006/relationships" ref="A87" r:id="rId2"/>
    <hyperlink xmlns:r="http://schemas.openxmlformats.org/officeDocument/2006/relationships" ref="A91" r:id="rId3"/>
    <hyperlink xmlns:r="http://schemas.openxmlformats.org/officeDocument/2006/relationships" ref="A92" r:id="rId4"/>
  </hyperlinks>
  <pageMargins left="0.75" right="0.75" top="1" bottom="1" header="0.5" footer="0.5"/>
  <drawing xmlns:r="http://schemas.openxmlformats.org/officeDocument/2006/relationships" r:id="rId5"/>
  <tableParts count="4">
    <tablePart xmlns:r="http://schemas.openxmlformats.org/officeDocument/2006/relationships" r:id="rId6"/>
    <tablePart xmlns:r="http://schemas.openxmlformats.org/officeDocument/2006/relationships" r:id="rId7"/>
    <tablePart xmlns:r="http://schemas.openxmlformats.org/officeDocument/2006/relationships" r:id="rId8"/>
    <tablePart xmlns:r="http://schemas.openxmlformats.org/officeDocument/2006/relationships" r:id="rId9"/>
  </tableParts>
</worksheet>
</file>

<file path=xl/worksheets/sheet23.xml><?xml version="1.0" encoding="utf-8"?>
<worksheet xmlns="http://schemas.openxmlformats.org/spreadsheetml/2006/main">
  <sheetPr>
    <outlinePr summaryBelow="1" summaryRight="1"/>
    <pageSetUpPr/>
  </sheetPr>
  <dimension ref="A1:I204"/>
  <sheetViews>
    <sheetView showGridLines="0" workbookViewId="0">
      <selection activeCell="A1" sqref="A1"/>
    </sheetView>
  </sheetViews>
  <sheetFormatPr baseColWidth="8" defaultRowHeight="15"/>
  <cols>
    <col width="42" customWidth="1" min="1" max="1"/>
    <col width="35" customWidth="1" min="2" max="2"/>
    <col width="60" customWidth="1" min="3" max="3"/>
    <col width="60" customWidth="1" min="4" max="4"/>
    <col width="35" customWidth="1" min="5" max="5"/>
    <col width="60" customWidth="1" min="6" max="6"/>
    <col width="23" customWidth="1" min="7" max="7"/>
    <col width="45" customWidth="1" min="8" max="8"/>
    <col width="10" customWidth="1" min="9" max="9"/>
  </cols>
  <sheetData>
    <row r="1">
      <c r="A1" s="1" t="inlineStr">
        <is>
          <t>ТОВ "ДІСТРІ ІНВАЙТ ІТ"</t>
        </is>
      </c>
    </row>
    <row r="2">
      <c r="A2" s="6" t="inlineStr">
        <is>
          <t>ЄДРПОУ 40955533  ·  конкурент  ·  місце №10</t>
        </is>
      </c>
    </row>
    <row r="4">
      <c r="A4" s="7" t="inlineStr">
        <is>
          <t>ТОВ "ДІСТРІ ІНВАЙТ ІТ" (40955533)</t>
        </is>
      </c>
    </row>
    <row r="6">
      <c r="A6" s="8" t="inlineStr">
        <is>
          <t>Показники</t>
        </is>
      </c>
    </row>
    <row r="7">
      <c r="A7" s="9" t="inlineStr">
        <is>
          <t>Місце на ринку</t>
        </is>
      </c>
      <c r="B7" s="10" t="inlineStr">
        <is>
          <t>№10</t>
        </is>
      </c>
    </row>
    <row r="8">
      <c r="A8" s="9" t="inlineStr">
        <is>
          <t>Сума угод</t>
        </is>
      </c>
      <c r="B8" s="10" t="inlineStr">
        <is>
          <t>2,2 млн грн</t>
        </is>
      </c>
    </row>
    <row r="9">
      <c r="A9" s="9" t="inlineStr">
        <is>
          <t>Частка ринку</t>
        </is>
      </c>
      <c r="B9" s="10" t="inlineStr">
        <is>
          <t>1,8%</t>
        </is>
      </c>
    </row>
    <row r="10">
      <c r="A10" s="9" t="inlineStr">
        <is>
          <t>Угод</t>
        </is>
      </c>
      <c r="B10" s="10" t="inlineStr">
        <is>
          <t>11</t>
        </is>
      </c>
    </row>
    <row r="11">
      <c r="A11" s="9" t="inlineStr">
        <is>
          <t>Закупівель виграно</t>
        </is>
      </c>
      <c r="B11" s="10" t="inlineStr">
        <is>
          <t>11</t>
        </is>
      </c>
    </row>
    <row r="12">
      <c r="A12" s="9" t="inlineStr">
        <is>
          <t>Подань (де видно)</t>
        </is>
      </c>
      <c r="B12" s="10" t="inlineStr">
        <is>
          <t>12</t>
        </is>
      </c>
    </row>
    <row r="13">
      <c r="A13" s="9" t="inlineStr">
        <is>
          <t>Виграно з поданих</t>
        </is>
      </c>
      <c r="B13" s="10" t="inlineStr">
        <is>
          <t>8 з 12</t>
        </is>
      </c>
    </row>
    <row r="14">
      <c r="A14" s="9" t="inlineStr">
        <is>
          <t>Результативність</t>
        </is>
      </c>
      <c r="B14" s="10" t="inlineStr">
        <is>
          <t>66,7%</t>
        </is>
      </c>
    </row>
    <row r="15">
      <c r="A15" s="9" t="inlineStr">
        <is>
          <t>Середня угода</t>
        </is>
      </c>
      <c r="B15" s="10" t="inlineStr">
        <is>
          <t>198,2 тис. грн</t>
        </is>
      </c>
    </row>
    <row r="16">
      <c r="A16" s="9" t="inlineStr">
        <is>
          <t>Медіанна угода</t>
        </is>
      </c>
      <c r="B16" s="10" t="inlineStr">
        <is>
          <t>79,9 тис. грн</t>
        </is>
      </c>
    </row>
    <row r="17">
      <c r="A17" s="9" t="inlineStr">
        <is>
          <t>Замовників</t>
        </is>
      </c>
      <c r="B17" s="10" t="inlineStr">
        <is>
          <t>7</t>
        </is>
      </c>
    </row>
    <row r="18">
      <c r="A18" s="9" t="inlineStr">
        <is>
          <t>Областей</t>
        </is>
      </c>
      <c r="B18" s="10" t="inlineStr">
        <is>
          <t>1</t>
        </is>
      </c>
    </row>
    <row r="19">
      <c r="A19" s="9" t="inlineStr">
        <is>
          <t>Основна ТМ</t>
        </is>
      </c>
      <c r="B19" s="10" t="inlineStr">
        <is>
          <t>Intel</t>
        </is>
      </c>
    </row>
    <row r="20">
      <c r="A20" s="9" t="inlineStr">
        <is>
          <t>Основний товар</t>
        </is>
      </c>
      <c r="B20" s="10" t="inlineStr">
        <is>
          <t>Персональний комп'ютер</t>
        </is>
      </c>
    </row>
    <row r="21">
      <c r="A21" s="9" t="inlineStr">
        <is>
          <t>Дисконт (медіана)</t>
        </is>
      </c>
      <c r="B21" s="10" t="inlineStr">
        <is>
          <t>0,6%</t>
        </is>
      </c>
    </row>
    <row r="22">
      <c r="A22" s="9" t="inlineStr">
        <is>
          <t>Повторні замовники</t>
        </is>
      </c>
      <c r="B22" s="10" t="inlineStr">
        <is>
          <t>36,4%</t>
        </is>
      </c>
    </row>
    <row r="23">
      <c r="A23" s="9" t="inlineStr">
        <is>
          <t>Активність</t>
        </is>
      </c>
      <c r="B23" s="10" t="inlineStr">
        <is>
          <t>2025-10-27 — 2026-07-22</t>
        </is>
      </c>
    </row>
    <row r="24">
      <c r="A24" s="9" t="inlineStr">
        <is>
          <t>Зірвано перемог</t>
        </is>
      </c>
      <c r="B24" s="10" t="inlineStr">
        <is>
          <t>2 на 175,4 тис. грн</t>
        </is>
      </c>
    </row>
    <row r="25">
      <c r="A25" s="9" t="inlineStr">
        <is>
          <t>Причина зривів</t>
        </is>
      </c>
      <c r="B25" s="10" t="inlineStr">
        <is>
          <t>Невідповідність технічним вимогам</t>
        </is>
      </c>
    </row>
    <row r="27">
      <c r="A27" s="8" t="inlineStr">
        <is>
          <t>Висновки</t>
        </is>
      </c>
    </row>
    <row r="28">
      <c r="A28" t="inlineStr">
        <is>
          <t>•  10-е місце на ринку: 2,2 млн грн (1,8% обороту)</t>
        </is>
      </c>
    </row>
    <row r="29">
      <c r="A29" t="inlineStr">
        <is>
          <t>•  Основний товар: персональний комп'ютер</t>
        </is>
      </c>
    </row>
    <row r="30">
      <c r="A30" t="inlineStr">
        <is>
          <t>•  ТМ Intel у 35,7% позицій</t>
        </is>
      </c>
    </row>
    <row r="31">
      <c r="A31" t="inlineStr">
        <is>
          <t>•  Портфель із 5 ТМ</t>
        </is>
      </c>
    </row>
    <row r="32">
      <c r="A32" t="inlineStr">
        <is>
          <t>•  Тримає ціну: дисконт 0,6% проти 8,3% по ринку</t>
        </is>
      </c>
    </row>
    <row r="33">
      <c r="A33" t="inlineStr">
        <is>
          <t>•  Географічно сфокусований: Волинська область (100,0% угод)</t>
        </is>
      </c>
    </row>
    <row r="34">
      <c r="A34" t="inlineStr">
        <is>
          <t>•  Результативність на торгах: 66,7% (8 з 12)</t>
        </is>
      </c>
    </row>
    <row r="35">
      <c r="A35" t="inlineStr">
        <is>
          <t>•  Динаміка: спадає (-69% у другій половині періоду)</t>
        </is>
      </c>
    </row>
    <row r="36">
      <c r="A36" t="inlineStr">
        <is>
          <t>•  У поданих файлах — сертифікатів: 37, авторизаційних листів: 7</t>
        </is>
      </c>
    </row>
    <row r="37">
      <c r="A37" t="inlineStr">
        <is>
          <t>•  Зірваних перемог: 2 на 175,4 тис. грн, найчастіше — невідповідність технічним вимогам</t>
        </is>
      </c>
    </row>
    <row r="39">
      <c r="A39" s="8" t="inlineStr">
        <is>
          <t>Графіки</t>
        </is>
      </c>
    </row>
    <row r="41">
      <c r="A41" s="2" t="inlineStr">
        <is>
          <t>Динаміка по місяцях</t>
        </is>
      </c>
    </row>
    <row r="42">
      <c r="A42" s="3" t="inlineStr">
        <is>
          <t>Період</t>
        </is>
      </c>
      <c r="B42" s="3" t="inlineStr">
        <is>
          <t>Сума угод, грн</t>
        </is>
      </c>
    </row>
    <row r="43">
      <c r="A43" t="inlineStr">
        <is>
          <t>2025-10</t>
        </is>
      </c>
      <c r="B43" s="5" t="n">
        <v>65100</v>
      </c>
    </row>
    <row r="44">
      <c r="A44" t="inlineStr">
        <is>
          <t>2025-11</t>
        </is>
      </c>
      <c r="B44" s="5" t="n">
        <v>1050900</v>
      </c>
    </row>
    <row r="45">
      <c r="A45" t="inlineStr">
        <is>
          <t>2025-12</t>
        </is>
      </c>
      <c r="B45" s="5" t="n">
        <v>645146.4</v>
      </c>
    </row>
    <row r="46">
      <c r="A46" t="inlineStr">
        <is>
          <t>2026-02</t>
        </is>
      </c>
      <c r="B46" s="5" t="n">
        <v>148941</v>
      </c>
    </row>
    <row r="47">
      <c r="A47" t="inlineStr">
        <is>
          <t>2026-03</t>
        </is>
      </c>
      <c r="B47" s="5" t="n">
        <v>89103.24000000001</v>
      </c>
    </row>
    <row r="48">
      <c r="A48" t="inlineStr">
        <is>
          <t>2026-04</t>
        </is>
      </c>
      <c r="B48" s="5" t="n">
        <v>133073.64</v>
      </c>
    </row>
    <row r="49">
      <c r="A49" t="inlineStr">
        <is>
          <t>2026-07</t>
        </is>
      </c>
      <c r="B49" s="5" t="n">
        <v>47970</v>
      </c>
    </row>
    <row r="61">
      <c r="A61" s="2" t="inlineStr">
        <is>
          <t>Торгові марки у позиціях</t>
        </is>
      </c>
    </row>
    <row r="62">
      <c r="A62" s="3" t="inlineStr">
        <is>
          <t>Категорія</t>
        </is>
      </c>
      <c r="B62" s="3" t="inlineStr">
        <is>
          <t>Позицій, шт</t>
        </is>
      </c>
    </row>
    <row r="63">
      <c r="A63" t="inlineStr">
        <is>
          <t>Intel</t>
        </is>
      </c>
      <c r="B63" s="5" t="n">
        <v>5</v>
      </c>
    </row>
    <row r="64">
      <c r="A64" t="inlineStr">
        <is>
          <t>AMD</t>
        </is>
      </c>
      <c r="B64" s="5" t="n">
        <v>3</v>
      </c>
    </row>
    <row r="65">
      <c r="A65" t="inlineStr">
        <is>
          <t>Microsoft</t>
        </is>
      </c>
      <c r="B65" s="5" t="n">
        <v>3</v>
      </c>
    </row>
    <row r="66">
      <c r="A66" t="inlineStr">
        <is>
          <t>Impression</t>
        </is>
      </c>
      <c r="B66" s="5" t="n">
        <v>2</v>
      </c>
    </row>
    <row r="67">
      <c r="A67" t="inlineStr">
        <is>
          <t>NVIDIA</t>
        </is>
      </c>
      <c r="B67" s="5" t="n">
        <v>1</v>
      </c>
    </row>
    <row r="81">
      <c r="A81" s="2" t="inlineStr">
        <is>
          <t>Що саме продає</t>
        </is>
      </c>
    </row>
    <row r="82">
      <c r="A82" s="3" t="inlineStr">
        <is>
          <t>Категорія</t>
        </is>
      </c>
      <c r="B82" s="3" t="inlineStr">
        <is>
          <t>Позицій, шт</t>
        </is>
      </c>
    </row>
    <row r="83">
      <c r="A83" t="inlineStr">
        <is>
          <t>Персональний комп'ютер</t>
        </is>
      </c>
      <c r="B83" s="5" t="n">
        <v>7</v>
      </c>
    </row>
    <row r="84">
      <c r="A84" t="inlineStr">
        <is>
          <t>Ноутбук</t>
        </is>
      </c>
      <c r="B84" s="5" t="n">
        <v>7</v>
      </c>
    </row>
    <row r="85">
      <c r="A85" t="inlineStr">
        <is>
          <t>Системний блок</t>
        </is>
      </c>
      <c r="B85" s="5" t="n">
        <v>1</v>
      </c>
    </row>
    <row r="86">
      <c r="A86" t="inlineStr">
        <is>
          <t>Моноблок</t>
        </is>
      </c>
      <c r="B86" s="5" t="n">
        <v>1</v>
      </c>
    </row>
    <row r="97">
      <c r="A97" s="2" t="inlineStr">
        <is>
          <t>Ключові замовники</t>
        </is>
      </c>
    </row>
    <row r="98">
      <c r="A98" s="3" t="inlineStr">
        <is>
          <t>Категорія</t>
        </is>
      </c>
      <c r="B98" s="3" t="inlineStr">
        <is>
          <t>Сума, грн</t>
        </is>
      </c>
    </row>
    <row r="99">
      <c r="A99" t="inlineStr">
        <is>
          <t>ГУМАНІТАРНИЙ ВІДДІЛ КІВЕРЦІВСЬКОЇ МІСЬКО</t>
        </is>
      </c>
      <c r="B99" s="5" t="n">
        <v>1105788</v>
      </c>
    </row>
    <row r="100">
      <c r="A100" t="inlineStr">
        <is>
          <t>ВІДОКРЕМЛЕНИЙ СТРУКТУРНИЙ ПІДРОЗДІЛ "ВОЛ</t>
        </is>
      </c>
      <c r="B100" s="5" t="n">
        <v>425654.4</v>
      </c>
    </row>
    <row r="101">
      <c r="A101" t="inlineStr">
        <is>
          <t>ВОЛОДИМИРСЬКИЙ ПЕДАГОГІЧНИЙ ФАХОВИЙ КОЛЕ</t>
        </is>
      </c>
      <c r="B101" s="5" t="n">
        <v>371117.88</v>
      </c>
    </row>
    <row r="102">
      <c r="A102" t="inlineStr">
        <is>
          <t>Комунальний заклад загальної середньої о</t>
        </is>
      </c>
      <c r="B102" s="5" t="n">
        <v>90900</v>
      </c>
    </row>
    <row r="103">
      <c r="A103" t="inlineStr">
        <is>
          <t>ЛІЦЕЙ ІМЕНІ ОЛЕКСАНДРА ЦИНКАЛОВСЬКОГО ВО</t>
        </is>
      </c>
      <c r="B103" s="5" t="n">
        <v>73704</v>
      </c>
    </row>
    <row r="104">
      <c r="A104" t="inlineStr">
        <is>
          <t>ГУМАНІТАРНИЙ ВІДДІЛ ЗАТУРЦІВСЬКОЇ СІЛЬСЬ</t>
        </is>
      </c>
      <c r="B104" s="5" t="n">
        <v>65100</v>
      </c>
    </row>
    <row r="105">
      <c r="A105" t="inlineStr">
        <is>
          <t>Гуманітарний відділ Рожищенської міської</t>
        </is>
      </c>
      <c r="B105" s="5" t="n">
        <v>47970</v>
      </c>
    </row>
    <row r="113">
      <c r="A113" s="2" t="inlineStr">
        <is>
          <t>Процедури</t>
        </is>
      </c>
    </row>
    <row r="114">
      <c r="A114" s="3" t="inlineStr">
        <is>
          <t>Категорія</t>
        </is>
      </c>
      <c r="B114" s="3" t="inlineStr">
        <is>
          <t>Угод, шт</t>
        </is>
      </c>
    </row>
    <row r="115">
      <c r="A115" t="inlineStr">
        <is>
          <t>Запит пропозицій</t>
        </is>
      </c>
      <c r="B115" s="5" t="n">
        <v>4</v>
      </c>
    </row>
    <row r="116">
      <c r="A116" t="inlineStr">
        <is>
          <t>Відкриті торги (нові)</t>
        </is>
      </c>
      <c r="B116" s="5" t="n">
        <v>4</v>
      </c>
    </row>
    <row r="117">
      <c r="A117" t="inlineStr">
        <is>
          <t>Звіт про договір</t>
        </is>
      </c>
      <c r="B117" s="5" t="n">
        <v>3</v>
      </c>
    </row>
    <row r="133">
      <c r="A133" s="8" t="inlineStr">
        <is>
          <t>Таблиці</t>
        </is>
      </c>
    </row>
    <row r="135">
      <c r="A135" s="2" t="inlineStr">
        <is>
          <t>ТМ</t>
        </is>
      </c>
    </row>
    <row r="136">
      <c r="A136" s="11" t="inlineStr">
        <is>
          <t>Торгова марка</t>
        </is>
      </c>
      <c r="B136" s="11" t="inlineStr">
        <is>
          <t>Позицій</t>
        </is>
      </c>
      <c r="C136" s="11" t="inlineStr">
        <is>
          <t>Частка</t>
        </is>
      </c>
      <c r="D136" s="11" t="inlineStr">
        <is>
          <t>Власна ТМ за довідником</t>
        </is>
      </c>
    </row>
    <row r="137">
      <c r="A137" t="inlineStr">
        <is>
          <t>Intel</t>
        </is>
      </c>
      <c r="B137" s="5" t="n">
        <v>5</v>
      </c>
      <c r="C137" s="12" t="n">
        <v>0.3571</v>
      </c>
      <c r="D137" t="inlineStr"/>
    </row>
    <row r="138">
      <c r="A138" t="inlineStr">
        <is>
          <t>AMD</t>
        </is>
      </c>
      <c r="B138" s="5" t="n">
        <v>3</v>
      </c>
      <c r="C138" s="12" t="n">
        <v>0.2143</v>
      </c>
      <c r="D138" t="inlineStr"/>
    </row>
    <row r="139">
      <c r="A139" t="inlineStr">
        <is>
          <t>Microsoft</t>
        </is>
      </c>
      <c r="B139" s="5" t="n">
        <v>3</v>
      </c>
      <c r="C139" s="12" t="n">
        <v>0.2143</v>
      </c>
      <c r="D139" t="inlineStr"/>
    </row>
    <row r="140">
      <c r="A140" t="inlineStr">
        <is>
          <t>Impression</t>
        </is>
      </c>
      <c r="B140" s="5" t="n">
        <v>2</v>
      </c>
      <c r="C140" s="12" t="n">
        <v>0.1429</v>
      </c>
      <c r="D140" t="inlineStr"/>
    </row>
    <row r="141">
      <c r="A141" t="inlineStr">
        <is>
          <t>NVIDIA</t>
        </is>
      </c>
      <c r="B141" s="5" t="n">
        <v>1</v>
      </c>
      <c r="C141" s="12" t="n">
        <v>0.07140000000000001</v>
      </c>
      <c r="D141" t="inlineStr"/>
    </row>
    <row r="143">
      <c r="A143" s="2" t="inlineStr">
        <is>
          <t>Товари</t>
        </is>
      </c>
    </row>
    <row r="144">
      <c r="A144" s="11" t="inlineStr">
        <is>
          <t>Товар</t>
        </is>
      </c>
      <c r="B144" s="11" t="inlineStr">
        <is>
          <t>Позицій</t>
        </is>
      </c>
    </row>
    <row r="145">
      <c r="A145" t="inlineStr">
        <is>
          <t>Персональний комп'ютер</t>
        </is>
      </c>
      <c r="B145" s="5" t="n">
        <v>7</v>
      </c>
    </row>
    <row r="146">
      <c r="A146" t="inlineStr">
        <is>
          <t>Ноутбук</t>
        </is>
      </c>
      <c r="B146" s="5" t="n">
        <v>7</v>
      </c>
    </row>
    <row r="147">
      <c r="A147" t="inlineStr">
        <is>
          <t>Системний блок</t>
        </is>
      </c>
      <c r="B147" s="5" t="n">
        <v>1</v>
      </c>
    </row>
    <row r="148">
      <c r="A148" t="inlineStr">
        <is>
          <t>Моноблок</t>
        </is>
      </c>
      <c r="B148" s="5" t="n">
        <v>1</v>
      </c>
    </row>
    <row r="150">
      <c r="A150" s="2" t="inlineStr">
        <is>
          <t>Документи</t>
        </is>
      </c>
    </row>
    <row r="151">
      <c r="A151" s="11" t="inlineStr">
        <is>
          <t>Тип документа</t>
        </is>
      </c>
      <c r="B151" s="11" t="inlineStr">
        <is>
          <t>Файлів</t>
        </is>
      </c>
    </row>
    <row r="152">
      <c r="A152" t="inlineStr">
        <is>
          <t>Підпис КЕП</t>
        </is>
      </c>
      <c r="B152" s="5" t="n">
        <v>190</v>
      </c>
    </row>
    <row r="153">
      <c r="A153" t="inlineStr">
        <is>
          <t>не класифіковано</t>
        </is>
      </c>
      <c r="B153" s="5" t="n">
        <v>85</v>
      </c>
    </row>
    <row r="154">
      <c r="A154" t="inlineStr">
        <is>
          <t>Сертифікат / декларація відповідності</t>
        </is>
      </c>
      <c r="B154" s="5" t="n">
        <v>37</v>
      </c>
    </row>
    <row r="155">
      <c r="A155" t="inlineStr">
        <is>
          <t>Установчі та реєстраційні</t>
        </is>
      </c>
      <c r="B155" s="5" t="n">
        <v>27</v>
      </c>
    </row>
    <row r="156">
      <c r="A156" t="inlineStr">
        <is>
          <t>Досвід / аналогічні договори</t>
        </is>
      </c>
      <c r="B156" s="5" t="n">
        <v>8</v>
      </c>
    </row>
    <row r="157">
      <c r="A157" t="inlineStr">
        <is>
          <t>Тендерна документація</t>
        </is>
      </c>
      <c r="B157" s="5" t="n">
        <v>7</v>
      </c>
    </row>
    <row r="158">
      <c r="A158" t="inlineStr">
        <is>
          <t>Лист виробника / авторизація</t>
        </is>
      </c>
      <c r="B158" s="5" t="n">
        <v>7</v>
      </c>
    </row>
    <row r="159">
      <c r="A159" t="inlineStr">
        <is>
          <t>Цінова пропозиція</t>
        </is>
      </c>
      <c r="B159" s="5" t="n">
        <v>4</v>
      </c>
    </row>
    <row r="160">
      <c r="A160" t="inlineStr">
        <is>
          <t>Договір</t>
        </is>
      </c>
      <c r="B160" s="5" t="n">
        <v>2</v>
      </c>
    </row>
    <row r="162">
      <c r="A162" s="2" t="inlineStr">
        <is>
          <t>Зірвані перемоги</t>
        </is>
      </c>
    </row>
    <row r="163">
      <c r="A163" s="11" t="inlineStr">
        <is>
          <t>Закупівля</t>
        </is>
      </c>
      <c r="B163" s="11" t="inlineStr">
        <is>
          <t>Дата</t>
        </is>
      </c>
      <c r="C163" s="11" t="inlineStr">
        <is>
          <t>Замовник</t>
        </is>
      </c>
      <c r="D163" s="11" t="inlineStr">
        <is>
          <t>Сума, грн</t>
        </is>
      </c>
      <c r="E163" s="11" t="inlineStr">
        <is>
          <t>Причина</t>
        </is>
      </c>
      <c r="F163" s="11" t="inlineStr">
        <is>
          <t>Формулювання замовника</t>
        </is>
      </c>
    </row>
    <row r="164">
      <c r="A164" s="4" t="inlineStr">
        <is>
          <t>UA-2025-11-26-016214-a</t>
        </is>
      </c>
      <c r="B164" t="inlineStr">
        <is>
          <t>2025-12-03</t>
        </is>
      </c>
      <c r="C164" t="inlineStr">
        <is>
          <t>Ківерцівський фаховий медичний коледж Волинської обласної ради</t>
        </is>
      </c>
      <c r="D164" s="13" t="n">
        <v>95220</v>
      </c>
      <c r="E164" t="inlineStr">
        <is>
          <t>Відмова від договору</t>
        </is>
      </c>
      <c r="F164" t="inlineStr">
        <is>
          <t>письмово відмовився від укладання договору на умовах, визначених у запиті пропозицій постачальників</t>
        </is>
      </c>
    </row>
    <row r="165">
      <c r="A165" s="4" t="inlineStr">
        <is>
          <t>UA-2026-03-17-006352-a</t>
        </is>
      </c>
      <c r="B165" t="inlineStr">
        <is>
          <t>2026-03-27</t>
        </is>
      </c>
      <c r="C165" t="inlineStr">
        <is>
          <t>ВОЛОДИМИРСЬКИЙ ПЕДАГОГІЧНИЙ ФАХОВИЙ КОЛЕДЖ ІМЕНІ АГАТАНГЕЛА КРИМСЬКОГО ВОЛИНСЬКОЇ ОБЛАСНОЇ РАДИ</t>
        </is>
      </c>
      <c r="D165" s="13" t="n">
        <v>80183.03999999999</v>
      </c>
      <c r="E165" t="inlineStr">
        <is>
          <t>Невідповідність технічним вимогам</t>
        </is>
      </c>
      <c r="F165" t="inlineStr">
        <is>
          <t>не відповідає умовам технічної специфікації та іншим вимогам щодо предмета закупівлі тендерної документації, крім невідповідності в інформації та/або документах, що може бути усунена учасником процедури закупівлі відповідно до пункту 43 Особливостей;</t>
        </is>
      </c>
    </row>
    <row r="167">
      <c r="A167" s="2" t="inlineStr">
        <is>
          <t>Угоди</t>
        </is>
      </c>
    </row>
    <row r="168">
      <c r="A168" s="11" t="inlineStr">
        <is>
          <t>Закупівля</t>
        </is>
      </c>
      <c r="B168" s="11" t="inlineStr">
        <is>
          <t>Дата</t>
        </is>
      </c>
      <c r="C168" s="11" t="inlineStr">
        <is>
          <t>Замовник</t>
        </is>
      </c>
      <c r="D168" s="11" t="inlineStr">
        <is>
          <t>Регіон</t>
        </is>
      </c>
      <c r="E168" s="11" t="inlineStr">
        <is>
          <t>Сума, грн</t>
        </is>
      </c>
      <c r="F168" s="11" t="inlineStr">
        <is>
          <t>Очікувана, грн</t>
        </is>
      </c>
      <c r="G168" s="11" t="inlineStr">
        <is>
          <t>Процедура</t>
        </is>
      </c>
      <c r="H168" s="11" t="inlineStr">
        <is>
          <t>Галузь</t>
        </is>
      </c>
      <c r="I168" s="11" t="inlineStr">
        <is>
          <t>Джерело</t>
        </is>
      </c>
    </row>
    <row r="169">
      <c r="A169" s="4" t="inlineStr">
        <is>
          <t>UA-2025-10-27-009578-a</t>
        </is>
      </c>
      <c r="B169" t="inlineStr">
        <is>
          <t>2025-11-07</t>
        </is>
      </c>
      <c r="C169" t="inlineStr">
        <is>
          <t>ГУМАНІТАРНИЙ ВІДДІЛ КІВЕРЦІВСЬКОЇ МІСЬКОЇ РАДИ</t>
        </is>
      </c>
      <c r="D169" t="inlineStr">
        <is>
          <t>Волинська область</t>
        </is>
      </c>
      <c r="E169" s="13" t="n">
        <v>1050900</v>
      </c>
      <c r="F169" s="5" t="n">
        <v>1054000</v>
      </c>
      <c r="G169" t="inlineStr">
        <is>
          <t>Запит пропозицій</t>
        </is>
      </c>
      <c r="H169" t="inlineStr">
        <is>
          <t>Машини для обробки даних (апаратна частина)</t>
        </is>
      </c>
      <c r="I169" t="inlineStr">
        <is>
          <t>договір</t>
        </is>
      </c>
    </row>
    <row r="170">
      <c r="A170" s="4" t="inlineStr">
        <is>
          <t>UA-2025-11-14-015599-a</t>
        </is>
      </c>
      <c r="B170" t="inlineStr">
        <is>
          <t>2025-12-02</t>
        </is>
      </c>
      <c r="C170" t="inlineStr">
        <is>
          <t>ВІДОКРЕМЛЕНИЙ СТРУКТУРНИЙ ПІДРОЗДІЛ "ВОЛИНСЬКИЙ ФАХОВИЙ КОЛЕДЖ НАЦІОНАЛЬНОГО УНІВЕРСИТЕТУ ХАРЧОВИХ ТЕХНОЛОГІЙ"</t>
        </is>
      </c>
      <c r="D170" t="inlineStr">
        <is>
          <t>Волинська область</t>
        </is>
      </c>
      <c r="E170" s="13" t="n">
        <v>425654.4</v>
      </c>
      <c r="F170" s="5" t="n">
        <v>425664</v>
      </c>
      <c r="G170" t="inlineStr">
        <is>
          <t>Запит пропозицій</t>
        </is>
      </c>
      <c r="H170" t="inlineStr">
        <is>
          <t>Машини для обробки даних (апаратна частина)</t>
        </is>
      </c>
      <c r="I170" t="inlineStr">
        <is>
          <t>договір</t>
        </is>
      </c>
    </row>
    <row r="171">
      <c r="A171" s="4" t="inlineStr">
        <is>
          <t>UA-2026-01-22-017729-a</t>
        </is>
      </c>
      <c r="B171" t="inlineStr">
        <is>
          <t>2026-02-12</t>
        </is>
      </c>
      <c r="C171" t="inlineStr">
        <is>
          <t>ВОЛОДИМИРСЬКИЙ ПЕДАГОГІЧНИЙ ФАХОВИЙ КОЛЕДЖ ІМЕНІ АГАТАНГЕЛА КРИМСЬКОГО ВОЛИНСЬКОЇ ОБЛАСНОЇ РАДИ</t>
        </is>
      </c>
      <c r="D171" t="inlineStr">
        <is>
          <t>Волинська область</t>
        </is>
      </c>
      <c r="E171" s="13" t="n">
        <v>148941</v>
      </c>
      <c r="F171" s="5" t="n">
        <v>150264</v>
      </c>
      <c r="G171" t="inlineStr">
        <is>
          <t>Відкриті торги (нові)</t>
        </is>
      </c>
      <c r="H171" t="inlineStr">
        <is>
          <t>Машини для обробки даних (апаратна частина)</t>
        </is>
      </c>
      <c r="I171" t="inlineStr">
        <is>
          <t>договір</t>
        </is>
      </c>
    </row>
    <row r="172">
      <c r="A172" s="4" t="inlineStr">
        <is>
          <t>UA-2025-12-12-019206-a</t>
        </is>
      </c>
      <c r="B172" t="inlineStr">
        <is>
          <t>2025-12-12</t>
        </is>
      </c>
      <c r="C172" t="inlineStr">
        <is>
          <t>Комунальний заклад загальної середньої освіти "Луцький ліцей №22 Луцької міської ради"</t>
        </is>
      </c>
      <c r="D172" t="inlineStr">
        <is>
          <t>Волинська область</t>
        </is>
      </c>
      <c r="E172" s="13" t="n">
        <v>90900</v>
      </c>
      <c r="F172" s="5" t="n">
        <v>90900</v>
      </c>
      <c r="G172" t="inlineStr">
        <is>
          <t>Звіт про договір</t>
        </is>
      </c>
      <c r="H172" t="inlineStr">
        <is>
          <t>Машини для обробки даних (апаратна частина)</t>
        </is>
      </c>
      <c r="I172" t="inlineStr">
        <is>
          <t>договір</t>
        </is>
      </c>
    </row>
    <row r="173">
      <c r="A173" s="4" t="inlineStr">
        <is>
          <t>UA-2026-02-10-015942-a</t>
        </is>
      </c>
      <c r="B173" t="inlineStr">
        <is>
          <t>2026-03-02</t>
        </is>
      </c>
      <c r="C173" t="inlineStr">
        <is>
          <t>ВОЛОДИМИРСЬКИЙ ПЕДАГОГІЧНИЙ ФАХОВИЙ КОЛЕДЖ ІМЕНІ АГАТАНГЕЛА КРИМСЬКОГО ВОЛИНСЬКОЇ ОБЛАСНОЇ РАДИ</t>
        </is>
      </c>
      <c r="D173" t="inlineStr">
        <is>
          <t>Волинська область</t>
        </is>
      </c>
      <c r="E173" s="13" t="n">
        <v>89103.24000000001</v>
      </c>
      <c r="F173" s="5" t="n">
        <v>95850</v>
      </c>
      <c r="G173" t="inlineStr">
        <is>
          <t>Відкриті торги (нові)</t>
        </is>
      </c>
      <c r="H173" t="inlineStr">
        <is>
          <t>Машини для обробки даних (апаратна частина)</t>
        </is>
      </c>
      <c r="I173" t="inlineStr">
        <is>
          <t>договір</t>
        </is>
      </c>
    </row>
    <row r="174">
      <c r="A174" s="4" t="inlineStr">
        <is>
          <t>UA-2026-03-27-006214-a</t>
        </is>
      </c>
      <c r="B174" t="inlineStr">
        <is>
          <t>2026-04-15</t>
        </is>
      </c>
      <c r="C174" t="inlineStr">
        <is>
          <t>ВОЛОДИМИРСЬКИЙ ПЕДАГОГІЧНИЙ ФАХОВИЙ КОЛЕДЖ ІМЕНІ АГАТАНГЕЛА КРИМСЬКОГО ВОЛИНСЬКОЇ ОБЛАСНОЇ РАДИ</t>
        </is>
      </c>
      <c r="D174" t="inlineStr">
        <is>
          <t>Волинська область</t>
        </is>
      </c>
      <c r="E174" s="13" t="n">
        <v>79913.64</v>
      </c>
      <c r="F174" s="5" t="n">
        <v>87060</v>
      </c>
      <c r="G174" t="inlineStr">
        <is>
          <t>Відкриті торги (нові)</t>
        </is>
      </c>
      <c r="H174" t="inlineStr">
        <is>
          <t>Машини для обробки даних (апаратна частина)</t>
        </is>
      </c>
      <c r="I174" t="inlineStr">
        <is>
          <t>договір</t>
        </is>
      </c>
    </row>
    <row r="175">
      <c r="A175" s="4" t="inlineStr">
        <is>
          <t>UA-2025-12-11-021045-a</t>
        </is>
      </c>
      <c r="B175" t="inlineStr">
        <is>
          <t>2025-12-11</t>
        </is>
      </c>
      <c r="C175" t="inlineStr">
        <is>
          <t>ЛІЦЕЙ ІМЕНІ ОЛЕКСАНДРА ЦИНКАЛОВСЬКОГО ВОЛОДИМИРСЬКОЇ МІСЬКОЇ РАДИ</t>
        </is>
      </c>
      <c r="D175" t="inlineStr">
        <is>
          <t>Волинська область</t>
        </is>
      </c>
      <c r="E175" s="13" t="n">
        <v>73704</v>
      </c>
      <c r="F175" s="5" t="n">
        <v>73704</v>
      </c>
      <c r="G175" t="inlineStr">
        <is>
          <t>Звіт про договір</t>
        </is>
      </c>
      <c r="H175" t="inlineStr">
        <is>
          <t>Машини для обробки даних (апаратна частина)</t>
        </is>
      </c>
      <c r="I175" t="inlineStr">
        <is>
          <t>договір</t>
        </is>
      </c>
    </row>
    <row r="176">
      <c r="A176" s="4" t="inlineStr">
        <is>
          <t>UA-2025-10-21-015330-a</t>
        </is>
      </c>
      <c r="B176" t="inlineStr">
        <is>
          <t>2025-10-27</t>
        </is>
      </c>
      <c r="C176" t="inlineStr">
        <is>
          <t>ГУМАНІТАРНИЙ ВІДДІЛ ЗАТУРЦІВСЬКОЇ СІЛЬСЬКОЇ РАДИ</t>
        </is>
      </c>
      <c r="D176" t="inlineStr">
        <is>
          <t>Волинська область</t>
        </is>
      </c>
      <c r="E176" s="13" t="n">
        <v>65100</v>
      </c>
      <c r="F176" s="5" t="n">
        <v>67480</v>
      </c>
      <c r="G176" t="inlineStr">
        <is>
          <t>Запит пропозицій</t>
        </is>
      </c>
      <c r="H176" t="inlineStr">
        <is>
          <t>Машини для обробки даних (апаратна частина)</t>
        </is>
      </c>
      <c r="I176" t="inlineStr">
        <is>
          <t>договір</t>
        </is>
      </c>
    </row>
    <row r="177">
      <c r="A177" s="4" t="inlineStr">
        <is>
          <t>UA-2025-12-11-003496-a</t>
        </is>
      </c>
      <c r="B177" t="inlineStr">
        <is>
          <t>2025-12-11</t>
        </is>
      </c>
      <c r="C177" t="inlineStr">
        <is>
          <t>ГУМАНІТАРНИЙ ВІДДІЛ КІВЕРЦІВСЬКОЇ МІСЬКОЇ РАДИ</t>
        </is>
      </c>
      <c r="D177" t="inlineStr">
        <is>
          <t>Волинська область</t>
        </is>
      </c>
      <c r="E177" s="13" t="n">
        <v>54888</v>
      </c>
      <c r="F177" s="5" t="n">
        <v>54888</v>
      </c>
      <c r="G177" t="inlineStr">
        <is>
          <t>Звіт про договір</t>
        </is>
      </c>
      <c r="H177" t="inlineStr">
        <is>
          <t>Машини для обробки даних (апаратна частина)</t>
        </is>
      </c>
      <c r="I177" t="inlineStr">
        <is>
          <t>договір</t>
        </is>
      </c>
    </row>
    <row r="178">
      <c r="A178" s="4" t="inlineStr">
        <is>
          <t>UA-2026-03-10-011453-a</t>
        </is>
      </c>
      <c r="B178" t="inlineStr">
        <is>
          <t>2026-04-01</t>
        </is>
      </c>
      <c r="C178" t="inlineStr">
        <is>
          <t>ВОЛОДИМИРСЬКИЙ ПЕДАГОГІЧНИЙ ФАХОВИЙ КОЛЕДЖ ІМЕНІ АГАТАНГЕЛА КРИМСЬКОГО ВОЛИНСЬКОЇ ОБЛАСНОЇ РАДИ</t>
        </is>
      </c>
      <c r="D178" t="inlineStr">
        <is>
          <t>Волинська область</t>
        </is>
      </c>
      <c r="E178" s="13" t="n">
        <v>53160</v>
      </c>
      <c r="F178" s="5" t="n">
        <v>54650</v>
      </c>
      <c r="G178" t="inlineStr">
        <is>
          <t>Відкриті торги (нові)</t>
        </is>
      </c>
      <c r="H178" t="inlineStr">
        <is>
          <t>Машини для обробки даних (апаратна частина)</t>
        </is>
      </c>
      <c r="I178" t="inlineStr">
        <is>
          <t>договір</t>
        </is>
      </c>
    </row>
    <row r="179">
      <c r="A179" s="4" t="inlineStr">
        <is>
          <t>UA-2026-07-14-010486-a</t>
        </is>
      </c>
      <c r="B179" t="inlineStr">
        <is>
          <t>2026-07-22</t>
        </is>
      </c>
      <c r="C179" t="inlineStr">
        <is>
          <t>Гуманітарний відділ Рожищенської міської ради</t>
        </is>
      </c>
      <c r="D179" t="inlineStr">
        <is>
          <t>Волинська область</t>
        </is>
      </c>
      <c r="E179" s="13" t="n">
        <v>47970</v>
      </c>
      <c r="F179" s="5" t="n">
        <v>40000</v>
      </c>
      <c r="G179" t="inlineStr">
        <is>
          <t>Запит пропозицій</t>
        </is>
      </c>
      <c r="H179" t="inlineStr">
        <is>
          <t>Машини для обробки даних (апаратна частина)</t>
        </is>
      </c>
      <c r="I179" t="inlineStr">
        <is>
          <t>договір</t>
        </is>
      </c>
    </row>
    <row r="181">
      <c r="A181" s="2" t="inlineStr">
        <is>
          <t>Наші зустрічі</t>
        </is>
      </c>
    </row>
    <row r="182">
      <c r="A182" s="11" t="inlineStr">
        <is>
          <t>Закупівля</t>
        </is>
      </c>
      <c r="B182" s="11" t="inlineStr">
        <is>
          <t>Дата</t>
        </is>
      </c>
      <c r="C182" s="11" t="inlineStr">
        <is>
          <t>Замовник</t>
        </is>
      </c>
      <c r="D182" s="11" t="inlineStr">
        <is>
          <t>Предмет</t>
        </is>
      </c>
      <c r="E182" s="11" t="inlineStr">
        <is>
          <t>Сума переможця, грн</t>
        </is>
      </c>
      <c r="F182" s="11" t="inlineStr">
        <is>
          <t>Наша пропозиція, грн</t>
        </is>
      </c>
      <c r="G182" s="11" t="inlineStr">
        <is>
          <t>Розрив</t>
        </is>
      </c>
      <c r="H182" s="11" t="inlineStr">
        <is>
          <t>Що сталося</t>
        </is>
      </c>
    </row>
    <row r="183">
      <c r="A183" s="4" t="inlineStr">
        <is>
          <t>UA-2025-10-27-009578-a</t>
        </is>
      </c>
      <c r="B183" t="inlineStr">
        <is>
          <t>2025-10-27</t>
        </is>
      </c>
      <c r="C183" t="inlineStr">
        <is>
          <t>ГУМАНІТАРНИЙ ВІДДІЛ КІВЕРЦІВСЬКОЇ МІСЬКОЇ РАДИ</t>
        </is>
      </c>
      <c r="D183" t="inlineStr">
        <is>
          <t>Ноутбуки НУШ (30210000-4 - Машини для обробки даних (апаратна частина)</t>
        </is>
      </c>
      <c r="E183" s="13" t="n">
        <v>1050900</v>
      </c>
      <c r="H183" t="inlineStr">
        <is>
          <t>ми не подавалися</t>
        </is>
      </c>
    </row>
    <row r="184">
      <c r="A184" s="4" t="inlineStr">
        <is>
          <t>UA-2025-11-14-015599-a</t>
        </is>
      </c>
      <c r="B184" t="inlineStr">
        <is>
          <t>2025-11-14</t>
        </is>
      </c>
      <c r="C184" t="inlineStr">
        <is>
          <t>ВІДОКРЕМЛЕНИЙ СТРУКТУРНИЙ ПІДРОЗДІЛ "ВОЛИНСЬКИЙ ФАХОВИЙ КОЛЕДЖ НАЦІОНАЛЬНОГО УНІВЕРСИТЕТУ ХАРЧОВИХ ТЕХНОЛОГІЙ"</t>
        </is>
      </c>
      <c r="D184" t="inlineStr">
        <is>
          <t>Персональний комп'ютер із операційною системою</t>
        </is>
      </c>
      <c r="E184" s="13" t="n">
        <v>425654.4</v>
      </c>
      <c r="H184" t="inlineStr">
        <is>
          <t>ми не подавалися</t>
        </is>
      </c>
    </row>
    <row r="185">
      <c r="A185" s="4" t="inlineStr">
        <is>
          <t>UA-2026-01-22-017729-a</t>
        </is>
      </c>
      <c r="B185" t="inlineStr">
        <is>
          <t>2026-01-22</t>
        </is>
      </c>
      <c r="C185" t="inlineStr">
        <is>
          <t>ВОЛОДИМИРСЬКИЙ ПЕДАГОГІЧНИЙ ФАХОВИЙ КОЛЕДЖ ІМЕНІ АГАТАНГЕЛА КРИМСЬКОГО ВОЛИНСЬКОЇ ОБЛАСНОЇ РАДИ</t>
        </is>
      </c>
      <c r="D185" t="inlineStr">
        <is>
          <t>Персональні комп'ютери (в комплекті), ноутбуки код згідно ДК 021:2015 Єдиний зак</t>
        </is>
      </c>
      <c r="E185" s="13" t="n">
        <v>148941</v>
      </c>
      <c r="H185" t="inlineStr">
        <is>
          <t>ми не подавалися</t>
        </is>
      </c>
    </row>
    <row r="186">
      <c r="A186" s="4" t="inlineStr">
        <is>
          <t>UA-2025-12-12-019206-a</t>
        </is>
      </c>
      <c r="B186" t="inlineStr">
        <is>
          <t>2025-12-12</t>
        </is>
      </c>
      <c r="C186" t="inlineStr">
        <is>
          <t>Комунальний заклад загальної середньої освіти "Луцький ліцей №22 Луцької міської ради"</t>
        </is>
      </c>
      <c r="D186" t="inlineStr">
        <is>
          <t>ноутбуки для кабінетів НУШ</t>
        </is>
      </c>
      <c r="E186" s="13" t="n">
        <v>90900</v>
      </c>
      <c r="H186" t="inlineStr">
        <is>
          <t>ми не подавалися</t>
        </is>
      </c>
    </row>
    <row r="187">
      <c r="A187" s="4" t="inlineStr">
        <is>
          <t>UA-2026-02-10-015942-a</t>
        </is>
      </c>
      <c r="B187" t="inlineStr">
        <is>
          <t>2026-02-10</t>
        </is>
      </c>
      <c r="C187" t="inlineStr">
        <is>
          <t>ВОЛОДИМИРСЬКИЙ ПЕДАГОГІЧНИЙ ФАХОВИЙ КОЛЕДЖ ІМЕНІ АГАТАНГЕЛА КРИМСЬКОГО ВОЛИНСЬКОЇ ОБЛАСНОЇ РАДИ</t>
        </is>
      </c>
      <c r="D187" t="inlineStr">
        <is>
          <t>Ноутбуки код згідно ДК 021:2015 Єдиний закупівельний словник 30210000-4 - Машини</t>
        </is>
      </c>
      <c r="E187" s="13" t="n">
        <v>89103.24000000001</v>
      </c>
      <c r="H187" t="inlineStr">
        <is>
          <t>ми не подавалися</t>
        </is>
      </c>
    </row>
    <row r="188">
      <c r="A188" s="4" t="inlineStr">
        <is>
          <t>UA-2026-03-27-006214-a</t>
        </is>
      </c>
      <c r="B188" t="inlineStr">
        <is>
          <t>2026-03-27</t>
        </is>
      </c>
      <c r="C188" t="inlineStr">
        <is>
          <t>ВОЛОДИМИРСЬКИЙ ПЕДАГОГІЧНИЙ ФАХОВИЙ КОЛЕДЖ ІМЕНІ АГАТАНГЕЛА КРИМСЬКОГО ВОЛИНСЬКОЇ ОБЛАСНОЇ РАДИ</t>
        </is>
      </c>
      <c r="D188" t="inlineStr">
        <is>
          <t>Персональні комп’ютери (в комплекті), код згідно ДК 021:2015 Єдиний закупівельни</t>
        </is>
      </c>
      <c r="E188" s="13" t="n">
        <v>79913.64</v>
      </c>
      <c r="H188" t="inlineStr">
        <is>
          <t>ми не подавалися</t>
        </is>
      </c>
    </row>
    <row r="189">
      <c r="A189" s="4" t="inlineStr">
        <is>
          <t>UA-2025-12-11-021045-a</t>
        </is>
      </c>
      <c r="B189" t="inlineStr">
        <is>
          <t>2025-12-11</t>
        </is>
      </c>
      <c r="C189" t="inlineStr">
        <is>
          <t>ЛІЦЕЙ ІМЕНІ ОЛЕКСАНДРА ЦИНКАЛОВСЬКОГО ВОЛОДИМИРСЬКОЇ МІСЬКОЇ РАДИ</t>
        </is>
      </c>
      <c r="D189" t="inlineStr">
        <is>
          <t>Моноблоки</t>
        </is>
      </c>
      <c r="E189" s="13" t="n">
        <v>73704</v>
      </c>
      <c r="H189" t="inlineStr">
        <is>
          <t>ми не подавалися</t>
        </is>
      </c>
    </row>
    <row r="190">
      <c r="A190" s="4" t="inlineStr">
        <is>
          <t>UA-2025-10-21-015330-a</t>
        </is>
      </c>
      <c r="B190" t="inlineStr">
        <is>
          <t>2025-10-21</t>
        </is>
      </c>
      <c r="C190" t="inlineStr">
        <is>
          <t>ГУМАНІТАРНИЙ ВІДДІЛ ЗАТУРЦІВСЬКОЇ СІЛЬСЬКОЇ РАДИ</t>
        </is>
      </c>
      <c r="D190" t="inlineStr">
        <is>
          <t>Ноутбуки для НУШ відповідно коду ДК 021:2015 «Єдиний закупівельний словник» – 30</t>
        </is>
      </c>
      <c r="E190" s="13" t="n">
        <v>65100</v>
      </c>
      <c r="H190" t="inlineStr">
        <is>
          <t>ми не подавалися</t>
        </is>
      </c>
    </row>
    <row r="191">
      <c r="A191" s="4" t="inlineStr">
        <is>
          <t>UA-2025-12-11-003496-a</t>
        </is>
      </c>
      <c r="B191" t="inlineStr">
        <is>
          <t>2025-12-11</t>
        </is>
      </c>
      <c r="C191" t="inlineStr">
        <is>
          <t>ГУМАНІТАРНИЙ ВІДДІЛ КІВЕРЦІВСЬКОЇ МІСЬКОЇ РАДИ</t>
        </is>
      </c>
      <c r="D191" t="inlineStr">
        <is>
          <t xml:space="preserve">Персональний комп’ютер типу «тонкий клієнт» Impression NetBOX U4 (Intel Pentium </t>
        </is>
      </c>
      <c r="E191" s="13" t="n">
        <v>54888</v>
      </c>
      <c r="H191" t="inlineStr">
        <is>
          <t>ми не подавалися</t>
        </is>
      </c>
    </row>
    <row r="192">
      <c r="A192" s="4" t="inlineStr">
        <is>
          <t>UA-2026-03-10-011453-a</t>
        </is>
      </c>
      <c r="B192" t="inlineStr">
        <is>
          <t>2026-03-10</t>
        </is>
      </c>
      <c r="C192" t="inlineStr">
        <is>
          <t>ВОЛОДИМИРСЬКИЙ ПЕДАГОГІЧНИЙ ФАХОВИЙ КОЛЕДЖ ІМЕНІ АГАТАНГЕЛА КРИМСЬКОГО ВОЛИНСЬКОЇ ОБЛАСНОЇ РАДИ</t>
        </is>
      </c>
      <c r="D192" t="inlineStr">
        <is>
          <t>Системний блок Impression P+ Intel Core i5- 12400F/B660/DDR4 32GB/SSD 500GB NVME</t>
        </is>
      </c>
      <c r="E192" s="13" t="n">
        <v>53160</v>
      </c>
      <c r="H192" t="inlineStr">
        <is>
          <t>ми не подавалися</t>
        </is>
      </c>
    </row>
    <row r="193">
      <c r="A193" s="4" t="inlineStr">
        <is>
          <t>UA-2026-07-14-010486-a</t>
        </is>
      </c>
      <c r="B193" t="inlineStr">
        <is>
          <t>2026-07-14</t>
        </is>
      </c>
      <c r="C193" t="inlineStr">
        <is>
          <t>Гуманітарний відділ Рожищенської міської ради</t>
        </is>
      </c>
      <c r="D193" t="inlineStr">
        <is>
          <t>Ноутбук для кабінету природничої освітньої галузі (Нова українська школа)</t>
        </is>
      </c>
      <c r="E193" s="13" t="n">
        <v>39975</v>
      </c>
      <c r="H193" t="inlineStr">
        <is>
          <t>ми не подавалися</t>
        </is>
      </c>
    </row>
    <row r="195">
      <c r="A195" s="8" t="inlineStr">
        <is>
          <t>Сильні сторони</t>
        </is>
      </c>
    </row>
    <row r="196">
      <c r="A196" t="inlineStr">
        <is>
          <t>+  портфель дистрибуції: 5 ТМ</t>
        </is>
      </c>
    </row>
    <row r="197">
      <c r="A197" t="inlineStr">
        <is>
          <t>+  наявність сертифікатів (37 файлів)</t>
        </is>
      </c>
    </row>
    <row r="198">
      <c r="A198" t="inlineStr">
        <is>
          <t>+  авторизація виробника (7 листів)</t>
        </is>
      </c>
    </row>
    <row r="199">
      <c r="A199" t="inlineStr">
        <is>
          <t>+  висока результативність на торгах (66,7%)</t>
        </is>
      </c>
    </row>
    <row r="200">
      <c r="A200" t="inlineStr">
        <is>
          <t>+  працює з великими контрактами</t>
        </is>
      </c>
    </row>
    <row r="202">
      <c r="A202" s="8" t="inlineStr">
        <is>
          <t>Слабкі сторони</t>
        </is>
      </c>
    </row>
    <row r="203">
      <c r="A203" t="inlineStr">
        <is>
          <t>−  слабка цінова позиція: дисконт 0,6% проти 8,3% по ринку</t>
        </is>
      </c>
    </row>
    <row r="204">
      <c r="A204" t="inlineStr">
        <is>
          <t>−  спад (-69% у другій половині періоду)</t>
        </is>
      </c>
    </row>
  </sheetData>
  <hyperlinks>
    <hyperlink xmlns:r="http://schemas.openxmlformats.org/officeDocument/2006/relationships" ref="A164" r:id="rId1"/>
    <hyperlink xmlns:r="http://schemas.openxmlformats.org/officeDocument/2006/relationships" ref="A165" r:id="rId2"/>
    <hyperlink xmlns:r="http://schemas.openxmlformats.org/officeDocument/2006/relationships" ref="A169" r:id="rId3"/>
    <hyperlink xmlns:r="http://schemas.openxmlformats.org/officeDocument/2006/relationships" ref="A170" r:id="rId4"/>
    <hyperlink xmlns:r="http://schemas.openxmlformats.org/officeDocument/2006/relationships" ref="A171" r:id="rId5"/>
    <hyperlink xmlns:r="http://schemas.openxmlformats.org/officeDocument/2006/relationships" ref="A172" r:id="rId6"/>
    <hyperlink xmlns:r="http://schemas.openxmlformats.org/officeDocument/2006/relationships" ref="A173" r:id="rId7"/>
    <hyperlink xmlns:r="http://schemas.openxmlformats.org/officeDocument/2006/relationships" ref="A174" r:id="rId8"/>
    <hyperlink xmlns:r="http://schemas.openxmlformats.org/officeDocument/2006/relationships" ref="A175" r:id="rId9"/>
    <hyperlink xmlns:r="http://schemas.openxmlformats.org/officeDocument/2006/relationships" ref="A176" r:id="rId10"/>
    <hyperlink xmlns:r="http://schemas.openxmlformats.org/officeDocument/2006/relationships" ref="A177" r:id="rId11"/>
    <hyperlink xmlns:r="http://schemas.openxmlformats.org/officeDocument/2006/relationships" ref="A178" r:id="rId12"/>
    <hyperlink xmlns:r="http://schemas.openxmlformats.org/officeDocument/2006/relationships" ref="A179" r:id="rId13"/>
    <hyperlink xmlns:r="http://schemas.openxmlformats.org/officeDocument/2006/relationships" ref="A183" r:id="rId14"/>
    <hyperlink xmlns:r="http://schemas.openxmlformats.org/officeDocument/2006/relationships" ref="A184" r:id="rId15"/>
    <hyperlink xmlns:r="http://schemas.openxmlformats.org/officeDocument/2006/relationships" ref="A185" r:id="rId16"/>
    <hyperlink xmlns:r="http://schemas.openxmlformats.org/officeDocument/2006/relationships" ref="A186" r:id="rId17"/>
    <hyperlink xmlns:r="http://schemas.openxmlformats.org/officeDocument/2006/relationships" ref="A187" r:id="rId18"/>
    <hyperlink xmlns:r="http://schemas.openxmlformats.org/officeDocument/2006/relationships" ref="A188" r:id="rId19"/>
    <hyperlink xmlns:r="http://schemas.openxmlformats.org/officeDocument/2006/relationships" ref="A189" r:id="rId20"/>
    <hyperlink xmlns:r="http://schemas.openxmlformats.org/officeDocument/2006/relationships" ref="A190" r:id="rId21"/>
    <hyperlink xmlns:r="http://schemas.openxmlformats.org/officeDocument/2006/relationships" ref="A191" r:id="rId22"/>
    <hyperlink xmlns:r="http://schemas.openxmlformats.org/officeDocument/2006/relationships" ref="A192" r:id="rId23"/>
    <hyperlink xmlns:r="http://schemas.openxmlformats.org/officeDocument/2006/relationships" ref="A193" r:id="rId24"/>
  </hyperlinks>
  <pageMargins left="0.75" right="0.75" top="1" bottom="1" header="0.5" footer="0.5"/>
  <drawing xmlns:r="http://schemas.openxmlformats.org/officeDocument/2006/relationships" r:id="rId25"/>
  <tableParts count="6">
    <tablePart xmlns:r="http://schemas.openxmlformats.org/officeDocument/2006/relationships" r:id="rId26"/>
    <tablePart xmlns:r="http://schemas.openxmlformats.org/officeDocument/2006/relationships" r:id="rId27"/>
    <tablePart xmlns:r="http://schemas.openxmlformats.org/officeDocument/2006/relationships" r:id="rId28"/>
    <tablePart xmlns:r="http://schemas.openxmlformats.org/officeDocument/2006/relationships" r:id="rId29"/>
    <tablePart xmlns:r="http://schemas.openxmlformats.org/officeDocument/2006/relationships" r:id="rId30"/>
    <tablePart xmlns:r="http://schemas.openxmlformats.org/officeDocument/2006/relationships" r:id="rId31"/>
  </tableParts>
</worksheet>
</file>

<file path=xl/worksheets/sheet24.xml><?xml version="1.0" encoding="utf-8"?>
<worksheet xmlns="http://schemas.openxmlformats.org/spreadsheetml/2006/main">
  <sheetPr>
    <outlinePr summaryBelow="1" summaryRight="1"/>
    <pageSetUpPr/>
  </sheetPr>
  <dimension ref="A1:I194"/>
  <sheetViews>
    <sheetView showGridLines="0" workbookViewId="0">
      <selection activeCell="A1" sqref="A1"/>
    </sheetView>
  </sheetViews>
  <sheetFormatPr baseColWidth="8" defaultRowHeight="15"/>
  <cols>
    <col width="42" customWidth="1" min="1" max="1"/>
    <col width="25" customWidth="1" min="2" max="2"/>
    <col width="60" customWidth="1" min="3" max="3"/>
    <col width="60" customWidth="1" min="4" max="4"/>
    <col width="21" customWidth="1" min="5" max="5"/>
    <col width="22" customWidth="1" min="6" max="6"/>
    <col width="18" customWidth="1" min="7" max="7"/>
    <col width="45" customWidth="1" min="8" max="8"/>
    <col width="10" customWidth="1" min="9" max="9"/>
  </cols>
  <sheetData>
    <row r="1">
      <c r="A1" s="1" t="inlineStr">
        <is>
          <t>ТОВ "ПАРСЕРС"</t>
        </is>
      </c>
    </row>
    <row r="2">
      <c r="A2" s="6" t="inlineStr">
        <is>
          <t>ЄДРПОУ 35893554  ·  конкурент  ·  місце №11</t>
        </is>
      </c>
    </row>
    <row r="4">
      <c r="A4" s="7" t="inlineStr">
        <is>
          <t>ТОВ "ПАРСЕРС" (35893554)</t>
        </is>
      </c>
    </row>
    <row r="6">
      <c r="A6" s="8" t="inlineStr">
        <is>
          <t>Показники</t>
        </is>
      </c>
    </row>
    <row r="7">
      <c r="A7" s="9" t="inlineStr">
        <is>
          <t>Місце на ринку</t>
        </is>
      </c>
      <c r="B7" s="10" t="inlineStr">
        <is>
          <t>№11</t>
        </is>
      </c>
    </row>
    <row r="8">
      <c r="A8" s="9" t="inlineStr">
        <is>
          <t>Сума угод</t>
        </is>
      </c>
      <c r="B8" s="10" t="inlineStr">
        <is>
          <t>2,2 млн грн</t>
        </is>
      </c>
    </row>
    <row r="9">
      <c r="A9" s="9" t="inlineStr">
        <is>
          <t>Частка ринку</t>
        </is>
      </c>
      <c r="B9" s="10" t="inlineStr">
        <is>
          <t>1,8%</t>
        </is>
      </c>
    </row>
    <row r="10">
      <c r="A10" s="9" t="inlineStr">
        <is>
          <t>Угод</t>
        </is>
      </c>
      <c r="B10" s="10" t="inlineStr">
        <is>
          <t>7</t>
        </is>
      </c>
    </row>
    <row r="11">
      <c r="A11" s="9" t="inlineStr">
        <is>
          <t>Закупівель виграно</t>
        </is>
      </c>
      <c r="B11" s="10" t="inlineStr">
        <is>
          <t>7</t>
        </is>
      </c>
    </row>
    <row r="12">
      <c r="A12" s="9" t="inlineStr">
        <is>
          <t>Подань (де видно)</t>
        </is>
      </c>
      <c r="B12" s="10" t="inlineStr">
        <is>
          <t>4</t>
        </is>
      </c>
    </row>
    <row r="13">
      <c r="A13" s="9" t="inlineStr">
        <is>
          <t>Виграно з поданих</t>
        </is>
      </c>
      <c r="B13" s="10" t="inlineStr">
        <is>
          <t>3 з 4</t>
        </is>
      </c>
    </row>
    <row r="14">
      <c r="A14" s="9" t="inlineStr">
        <is>
          <t>Результативність</t>
        </is>
      </c>
      <c r="B14" s="10" t="inlineStr">
        <is>
          <t>75,0%</t>
        </is>
      </c>
    </row>
    <row r="15">
      <c r="A15" s="9" t="inlineStr">
        <is>
          <t>Середня угода</t>
        </is>
      </c>
      <c r="B15" s="10" t="inlineStr">
        <is>
          <t>310,7 тис. грн</t>
        </is>
      </c>
    </row>
    <row r="16">
      <c r="A16" s="9" t="inlineStr">
        <is>
          <t>Медіанна угода</t>
        </is>
      </c>
      <c r="B16" s="10" t="inlineStr">
        <is>
          <t>184,0 тис. грн</t>
        </is>
      </c>
    </row>
    <row r="17">
      <c r="A17" s="9" t="inlineStr">
        <is>
          <t>Замовників</t>
        </is>
      </c>
      <c r="B17" s="10" t="inlineStr">
        <is>
          <t>5</t>
        </is>
      </c>
    </row>
    <row r="18">
      <c r="A18" s="9" t="inlineStr">
        <is>
          <t>Областей</t>
        </is>
      </c>
      <c r="B18" s="10" t="inlineStr">
        <is>
          <t>1</t>
        </is>
      </c>
    </row>
    <row r="19">
      <c r="A19" s="9" t="inlineStr">
        <is>
          <t>Основна ТМ</t>
        </is>
      </c>
      <c r="B19" s="10" t="inlineStr">
        <is>
          <t>NVIDIA</t>
        </is>
      </c>
    </row>
    <row r="20">
      <c r="A20" s="9" t="inlineStr">
        <is>
          <t>Основний товар</t>
        </is>
      </c>
      <c r="B20" s="10" t="inlineStr">
        <is>
          <t>Ноутбук</t>
        </is>
      </c>
    </row>
    <row r="21">
      <c r="A21" s="9" t="inlineStr">
        <is>
          <t>Дисконт (медіана)</t>
        </is>
      </c>
      <c r="B21" s="10" t="inlineStr">
        <is>
          <t>0,0%</t>
        </is>
      </c>
    </row>
    <row r="22">
      <c r="A22" s="9" t="inlineStr">
        <is>
          <t>Повторні замовники</t>
        </is>
      </c>
      <c r="B22" s="10" t="inlineStr">
        <is>
          <t>28,6%</t>
        </is>
      </c>
    </row>
    <row r="23">
      <c r="A23" s="9" t="inlineStr">
        <is>
          <t>Активність</t>
        </is>
      </c>
      <c r="B23" s="10" t="inlineStr">
        <is>
          <t>2025-09-18 — 2026-08-25</t>
        </is>
      </c>
    </row>
    <row r="24">
      <c r="A24" s="9" t="inlineStr">
        <is>
          <t>Зірвано перемог</t>
        </is>
      </c>
      <c r="B24" s="10" t="inlineStr">
        <is>
          <t>—</t>
        </is>
      </c>
    </row>
    <row r="25">
      <c r="A25" s="9" t="inlineStr">
        <is>
          <t>Причина зривів</t>
        </is>
      </c>
      <c r="B25" s="10" t="inlineStr">
        <is>
          <t>—</t>
        </is>
      </c>
    </row>
    <row r="27">
      <c r="A27" s="8" t="inlineStr">
        <is>
          <t>Висновки</t>
        </is>
      </c>
    </row>
    <row r="28">
      <c r="A28" t="inlineStr">
        <is>
          <t>•  11-е місце на ринку: 2,2 млн грн (1,8% обороту)</t>
        </is>
      </c>
    </row>
    <row r="29">
      <c r="A29" t="inlineStr">
        <is>
          <t>•  Основний товар: ноутбук</t>
        </is>
      </c>
    </row>
    <row r="30">
      <c r="A30" t="inlineStr">
        <is>
          <t>•  ТМ NVIDIA у 12,5% позицій</t>
        </is>
      </c>
    </row>
    <row r="31">
      <c r="A31" t="inlineStr">
        <is>
          <t>•  Портфель із 11 ТМ</t>
        </is>
      </c>
    </row>
    <row r="32">
      <c r="A32" t="inlineStr">
        <is>
          <t>•  Тримає ціну: дисконт 0,0% проти 8,3% по ринку</t>
        </is>
      </c>
    </row>
    <row r="33">
      <c r="A33" t="inlineStr">
        <is>
          <t>•  Географічно сфокусований: Волинська область (100,0% угод)</t>
        </is>
      </c>
    </row>
    <row r="34">
      <c r="A34" t="inlineStr">
        <is>
          <t>•  Результативність на торгах: 75,0% (3 з 4)</t>
        </is>
      </c>
    </row>
    <row r="35">
      <c r="A35" t="inlineStr">
        <is>
          <t>•  Динаміка: спадає (-64% у другій половині періоду)</t>
        </is>
      </c>
    </row>
    <row r="37">
      <c r="A37" s="8" t="inlineStr">
        <is>
          <t>Графіки</t>
        </is>
      </c>
    </row>
    <row r="39">
      <c r="A39" s="2" t="inlineStr">
        <is>
          <t>Динаміка по місяцях</t>
        </is>
      </c>
    </row>
    <row r="40">
      <c r="A40" s="3" t="inlineStr">
        <is>
          <t>Період</t>
        </is>
      </c>
      <c r="B40" s="3" t="inlineStr">
        <is>
          <t>Сума угод, грн</t>
        </is>
      </c>
    </row>
    <row r="41">
      <c r="A41" t="inlineStr">
        <is>
          <t>2025-09</t>
        </is>
      </c>
      <c r="B41" s="5" t="n">
        <v>1373999.91</v>
      </c>
    </row>
    <row r="42">
      <c r="A42" t="inlineStr">
        <is>
          <t>2026-01</t>
        </is>
      </c>
      <c r="B42" s="5" t="n">
        <v>183999.98</v>
      </c>
    </row>
    <row r="43">
      <c r="A43" t="inlineStr">
        <is>
          <t>2026-04</t>
        </is>
      </c>
      <c r="B43" s="5" t="n">
        <v>41400</v>
      </c>
    </row>
    <row r="44">
      <c r="A44" t="inlineStr">
        <is>
          <t>2026-06</t>
        </is>
      </c>
      <c r="B44" s="5" t="n">
        <v>164000</v>
      </c>
    </row>
    <row r="45">
      <c r="A45" t="inlineStr">
        <is>
          <t>2026-07</t>
        </is>
      </c>
      <c r="B45" s="5" t="n">
        <v>7439.76</v>
      </c>
    </row>
    <row r="46">
      <c r="A46" t="inlineStr">
        <is>
          <t>2026-08</t>
        </is>
      </c>
      <c r="B46" s="5" t="n">
        <v>404238.2</v>
      </c>
    </row>
    <row r="59">
      <c r="A59" s="2" t="inlineStr">
        <is>
          <t>Торгові марки у позиціях</t>
        </is>
      </c>
    </row>
    <row r="60">
      <c r="A60" s="3" t="inlineStr">
        <is>
          <t>Категорія</t>
        </is>
      </c>
      <c r="B60" s="3" t="inlineStr">
        <is>
          <t>Позицій, шт</t>
        </is>
      </c>
    </row>
    <row r="61">
      <c r="A61" t="inlineStr">
        <is>
          <t>NVIDIA</t>
        </is>
      </c>
      <c r="B61" s="5" t="n">
        <v>2</v>
      </c>
    </row>
    <row r="62">
      <c r="A62" t="inlineStr">
        <is>
          <t>Lenovo</t>
        </is>
      </c>
      <c r="B62" s="5" t="n">
        <v>2</v>
      </c>
    </row>
    <row r="63">
      <c r="A63" t="inlineStr">
        <is>
          <t>MSI</t>
        </is>
      </c>
      <c r="B63" s="5" t="n">
        <v>2</v>
      </c>
    </row>
    <row r="64">
      <c r="A64" t="inlineStr">
        <is>
          <t>Samsung</t>
        </is>
      </c>
      <c r="B64" s="5" t="n">
        <v>2</v>
      </c>
    </row>
    <row r="65">
      <c r="A65" t="inlineStr">
        <is>
          <t>Microsoft</t>
        </is>
      </c>
      <c r="B65" s="5" t="n">
        <v>2</v>
      </c>
    </row>
    <row r="66">
      <c r="A66" t="inlineStr">
        <is>
          <t>Intel</t>
        </is>
      </c>
      <c r="B66" s="5" t="n">
        <v>1</v>
      </c>
    </row>
    <row r="67">
      <c r="A67" t="inlineStr">
        <is>
          <t>Acer</t>
        </is>
      </c>
      <c r="B67" s="5" t="n">
        <v>1</v>
      </c>
    </row>
    <row r="68">
      <c r="A68" t="inlineStr">
        <is>
          <t>AMD</t>
        </is>
      </c>
      <c r="B68" s="5" t="n">
        <v>1</v>
      </c>
    </row>
    <row r="79">
      <c r="A79" s="2" t="inlineStr">
        <is>
          <t>Що саме продає</t>
        </is>
      </c>
    </row>
    <row r="80">
      <c r="A80" s="3" t="inlineStr">
        <is>
          <t>Категорія</t>
        </is>
      </c>
      <c r="B80" s="3" t="inlineStr">
        <is>
          <t>Позицій, шт</t>
        </is>
      </c>
    </row>
    <row r="81">
      <c r="A81" t="inlineStr">
        <is>
          <t>Ноутбук</t>
        </is>
      </c>
      <c r="B81" s="5" t="n">
        <v>6</v>
      </c>
    </row>
    <row r="82">
      <c r="A82" t="inlineStr">
        <is>
          <t>Монітор</t>
        </is>
      </c>
      <c r="B82" s="5" t="n">
        <v>2</v>
      </c>
    </row>
    <row r="83">
      <c r="A83" t="inlineStr">
        <is>
          <t>Планшет</t>
        </is>
      </c>
      <c r="B83" s="5" t="n">
        <v>2</v>
      </c>
    </row>
    <row r="84">
      <c r="A84" t="inlineStr">
        <is>
          <t>Телевізор</t>
        </is>
      </c>
      <c r="B84" s="5" t="n">
        <v>1</v>
      </c>
    </row>
    <row r="85">
      <c r="A85" t="inlineStr">
        <is>
          <t>Накопичувач SSD</t>
        </is>
      </c>
      <c r="B85" s="5" t="n">
        <v>1</v>
      </c>
    </row>
    <row r="86">
      <c r="A86" t="inlineStr">
        <is>
          <t>Багатофункціональний пристрій (БФП)</t>
        </is>
      </c>
      <c r="B86" s="5" t="n">
        <v>1</v>
      </c>
    </row>
    <row r="95">
      <c r="A95" s="2" t="inlineStr">
        <is>
          <t>Ключові замовники</t>
        </is>
      </c>
    </row>
    <row r="96">
      <c r="A96" s="3" t="inlineStr">
        <is>
          <t>Категорія</t>
        </is>
      </c>
      <c r="B96" s="3" t="inlineStr">
        <is>
          <t>Сума, грн</t>
        </is>
      </c>
    </row>
    <row r="97">
      <c r="A97" t="inlineStr">
        <is>
          <t>Військова частина А 1008</t>
        </is>
      </c>
      <c r="B97" s="5" t="n">
        <v>1373999.91</v>
      </c>
    </row>
    <row r="98">
      <c r="A98" t="inlineStr">
        <is>
          <t>Вишнівська сільська рада</t>
        </is>
      </c>
      <c r="B98" s="5" t="n">
        <v>543438.1800000001</v>
      </c>
    </row>
    <row r="99">
      <c r="A99" t="inlineStr">
        <is>
          <t>Виконавчий комітет Луцької міської ради</t>
        </is>
      </c>
      <c r="B99" s="5" t="n">
        <v>208800</v>
      </c>
    </row>
    <row r="100">
      <c r="A100" t="inlineStr">
        <is>
          <t>ВІЙСЬКОВА ЧАСТИНА 1141 НАЦІОНАЛЬНОЇ ГВАР</t>
        </is>
      </c>
      <c r="B100" s="5" t="n">
        <v>41400</v>
      </c>
    </row>
    <row r="101">
      <c r="A101" t="inlineStr">
        <is>
          <t>УПРАВЛІННЯ ГУМАНІТАРНОЇ ПОЛІТИКИ ЛЮБЕШІВ</t>
        </is>
      </c>
      <c r="B101" s="5" t="n">
        <v>7439.76</v>
      </c>
    </row>
    <row r="111">
      <c r="A111" s="2" t="inlineStr">
        <is>
          <t>Процедури</t>
        </is>
      </c>
    </row>
    <row r="112">
      <c r="A112" s="3" t="inlineStr">
        <is>
          <t>Категорія</t>
        </is>
      </c>
      <c r="B112" s="3" t="inlineStr">
        <is>
          <t>Угод, шт</t>
        </is>
      </c>
    </row>
    <row r="113">
      <c r="A113" t="inlineStr">
        <is>
          <t>Звіт про договір</t>
        </is>
      </c>
      <c r="B113" s="5" t="n">
        <v>4</v>
      </c>
    </row>
    <row r="114">
      <c r="A114" t="inlineStr">
        <is>
          <t>Запит пропозицій</t>
        </is>
      </c>
      <c r="B114" s="5" t="n">
        <v>2</v>
      </c>
    </row>
    <row r="115">
      <c r="A115" t="inlineStr">
        <is>
          <t>Допорогова</t>
        </is>
      </c>
      <c r="B115" s="5" t="n">
        <v>1</v>
      </c>
    </row>
    <row r="131">
      <c r="A131" s="8" t="inlineStr">
        <is>
          <t>Таблиці</t>
        </is>
      </c>
    </row>
    <row r="133">
      <c r="A133" s="2" t="inlineStr">
        <is>
          <t>ТМ</t>
        </is>
      </c>
    </row>
    <row r="134">
      <c r="A134" s="11" t="inlineStr">
        <is>
          <t>Торгова марка</t>
        </is>
      </c>
      <c r="B134" s="11" t="inlineStr">
        <is>
          <t>Позицій</t>
        </is>
      </c>
      <c r="C134" s="11" t="inlineStr">
        <is>
          <t>Частка</t>
        </is>
      </c>
      <c r="D134" s="11" t="inlineStr">
        <is>
          <t>Власна ТМ за довідником</t>
        </is>
      </c>
    </row>
    <row r="135">
      <c r="A135" t="inlineStr">
        <is>
          <t>NVIDIA</t>
        </is>
      </c>
      <c r="B135" s="5" t="n">
        <v>2</v>
      </c>
      <c r="C135" s="12" t="n">
        <v>0.125</v>
      </c>
      <c r="D135" t="inlineStr"/>
    </row>
    <row r="136">
      <c r="A136" t="inlineStr">
        <is>
          <t>Lenovo</t>
        </is>
      </c>
      <c r="B136" s="5" t="n">
        <v>2</v>
      </c>
      <c r="C136" s="12" t="n">
        <v>0.125</v>
      </c>
      <c r="D136" t="inlineStr"/>
    </row>
    <row r="137">
      <c r="A137" t="inlineStr">
        <is>
          <t>MSI</t>
        </is>
      </c>
      <c r="B137" s="5" t="n">
        <v>2</v>
      </c>
      <c r="C137" s="12" t="n">
        <v>0.125</v>
      </c>
      <c r="D137" t="inlineStr"/>
    </row>
    <row r="138">
      <c r="A138" t="inlineStr">
        <is>
          <t>Samsung</t>
        </is>
      </c>
      <c r="B138" s="5" t="n">
        <v>2</v>
      </c>
      <c r="C138" s="12" t="n">
        <v>0.125</v>
      </c>
      <c r="D138" t="inlineStr"/>
    </row>
    <row r="139">
      <c r="A139" t="inlineStr">
        <is>
          <t>Microsoft</t>
        </is>
      </c>
      <c r="B139" s="5" t="n">
        <v>2</v>
      </c>
      <c r="C139" s="12" t="n">
        <v>0.125</v>
      </c>
      <c r="D139" t="inlineStr"/>
    </row>
    <row r="140">
      <c r="A140" t="inlineStr">
        <is>
          <t>Intel</t>
        </is>
      </c>
      <c r="B140" s="5" t="n">
        <v>1</v>
      </c>
      <c r="C140" s="12" t="n">
        <v>0.0625</v>
      </c>
      <c r="D140" t="inlineStr"/>
    </row>
    <row r="141">
      <c r="A141" t="inlineStr">
        <is>
          <t>Acer</t>
        </is>
      </c>
      <c r="B141" s="5" t="n">
        <v>1</v>
      </c>
      <c r="C141" s="12" t="n">
        <v>0.0625</v>
      </c>
      <c r="D141" t="inlineStr"/>
    </row>
    <row r="142">
      <c r="A142" t="inlineStr">
        <is>
          <t>AMD</t>
        </is>
      </c>
      <c r="B142" s="5" t="n">
        <v>1</v>
      </c>
      <c r="C142" s="12" t="n">
        <v>0.0625</v>
      </c>
      <c r="D142" t="inlineStr"/>
    </row>
    <row r="143">
      <c r="A143" t="inlineStr">
        <is>
          <t>Xiaomi</t>
        </is>
      </c>
      <c r="B143" s="5" t="n">
        <v>1</v>
      </c>
      <c r="C143" s="12" t="n">
        <v>0.0625</v>
      </c>
      <c r="D143" t="inlineStr"/>
    </row>
    <row r="144">
      <c r="A144" t="inlineStr">
        <is>
          <t>Gigabyte</t>
        </is>
      </c>
      <c r="B144" s="5" t="n">
        <v>1</v>
      </c>
      <c r="C144" s="12" t="n">
        <v>0.0625</v>
      </c>
      <c r="D144" t="inlineStr"/>
    </row>
    <row r="145">
      <c r="A145" t="inlineStr">
        <is>
          <t>2E</t>
        </is>
      </c>
      <c r="B145" s="5" t="n">
        <v>1</v>
      </c>
      <c r="C145" s="12" t="n">
        <v>0.0625</v>
      </c>
      <c r="D145" t="inlineStr"/>
    </row>
    <row r="147">
      <c r="A147" s="2" t="inlineStr">
        <is>
          <t>Товари</t>
        </is>
      </c>
    </row>
    <row r="148">
      <c r="A148" s="11" t="inlineStr">
        <is>
          <t>Товар</t>
        </is>
      </c>
      <c r="B148" s="11" t="inlineStr">
        <is>
          <t>Позицій</t>
        </is>
      </c>
    </row>
    <row r="149">
      <c r="A149" t="inlineStr">
        <is>
          <t>Ноутбук</t>
        </is>
      </c>
      <c r="B149" s="5" t="n">
        <v>6</v>
      </c>
    </row>
    <row r="150">
      <c r="A150" t="inlineStr">
        <is>
          <t>Монітор</t>
        </is>
      </c>
      <c r="B150" s="5" t="n">
        <v>2</v>
      </c>
    </row>
    <row r="151">
      <c r="A151" t="inlineStr">
        <is>
          <t>Планшет</t>
        </is>
      </c>
      <c r="B151" s="5" t="n">
        <v>2</v>
      </c>
    </row>
    <row r="152">
      <c r="A152" t="inlineStr">
        <is>
          <t>Телевізор</t>
        </is>
      </c>
      <c r="B152" s="5" t="n">
        <v>1</v>
      </c>
    </row>
    <row r="153">
      <c r="A153" t="inlineStr">
        <is>
          <t>Накопичувач SSD</t>
        </is>
      </c>
      <c r="B153" s="5" t="n">
        <v>1</v>
      </c>
    </row>
    <row r="154">
      <c r="A154" t="inlineStr">
        <is>
          <t>Багатофункціональний пристрій (БФП)</t>
        </is>
      </c>
      <c r="B154" s="5" t="n">
        <v>1</v>
      </c>
    </row>
    <row r="156">
      <c r="A156" s="2" t="inlineStr">
        <is>
          <t>Документи</t>
        </is>
      </c>
    </row>
    <row r="157">
      <c r="A157" s="11" t="inlineStr">
        <is>
          <t>Тип документа</t>
        </is>
      </c>
      <c r="B157" s="11" t="inlineStr">
        <is>
          <t>Файлів</t>
        </is>
      </c>
    </row>
    <row r="158">
      <c r="A158" t="inlineStr">
        <is>
          <t>не класифіковано</t>
        </is>
      </c>
      <c r="B158" s="5" t="n">
        <v>13</v>
      </c>
    </row>
    <row r="159">
      <c r="A159" t="inlineStr">
        <is>
          <t>Підпис КЕП</t>
        </is>
      </c>
      <c r="B159" s="5" t="n">
        <v>10</v>
      </c>
    </row>
    <row r="160">
      <c r="A160" t="inlineStr">
        <is>
          <t>Установчі та реєстраційні</t>
        </is>
      </c>
      <c r="B160" s="5" t="n">
        <v>4</v>
      </c>
    </row>
    <row r="161">
      <c r="A161" t="inlineStr">
        <is>
          <t>Технічна специфікація</t>
        </is>
      </c>
      <c r="B161" s="5" t="n">
        <v>1</v>
      </c>
    </row>
    <row r="162">
      <c r="A162" t="inlineStr">
        <is>
          <t>Цінова пропозиція</t>
        </is>
      </c>
      <c r="B162" s="5" t="n">
        <v>1</v>
      </c>
    </row>
    <row r="163">
      <c r="A163" t="inlineStr">
        <is>
          <t>Досвід / аналогічні договори</t>
        </is>
      </c>
      <c r="B163" s="5" t="n">
        <v>1</v>
      </c>
    </row>
    <row r="164">
      <c r="A164" t="inlineStr">
        <is>
          <t>Гарантія та сервіс</t>
        </is>
      </c>
      <c r="B164" s="5" t="n">
        <v>1</v>
      </c>
    </row>
    <row r="166">
      <c r="A166" s="2" t="inlineStr">
        <is>
          <t>Угоди</t>
        </is>
      </c>
    </row>
    <row r="167">
      <c r="A167" s="11" t="inlineStr">
        <is>
          <t>Закупівля</t>
        </is>
      </c>
      <c r="B167" s="11" t="inlineStr">
        <is>
          <t>Дата</t>
        </is>
      </c>
      <c r="C167" s="11" t="inlineStr">
        <is>
          <t>Замовник</t>
        </is>
      </c>
      <c r="D167" s="11" t="inlineStr">
        <is>
          <t>Регіон</t>
        </is>
      </c>
      <c r="E167" s="11" t="inlineStr">
        <is>
          <t>Сума, грн</t>
        </is>
      </c>
      <c r="F167" s="11" t="inlineStr">
        <is>
          <t>Очікувана, грн</t>
        </is>
      </c>
      <c r="G167" s="11" t="inlineStr">
        <is>
          <t>Процедура</t>
        </is>
      </c>
      <c r="H167" s="11" t="inlineStr">
        <is>
          <t>Галузь</t>
        </is>
      </c>
      <c r="I167" s="11" t="inlineStr">
        <is>
          <t>Джерело</t>
        </is>
      </c>
    </row>
    <row r="168">
      <c r="A168" s="4" t="inlineStr">
        <is>
          <t>UA-2025-09-18-011701-a</t>
        </is>
      </c>
      <c r="B168" t="inlineStr">
        <is>
          <t>2025-09-18</t>
        </is>
      </c>
      <c r="C168" t="inlineStr">
        <is>
          <t>Військова частина А 1008</t>
        </is>
      </c>
      <c r="D168" t="inlineStr">
        <is>
          <t>Волинська область</t>
        </is>
      </c>
      <c r="E168" s="13" t="n">
        <v>1373999.91</v>
      </c>
      <c r="F168" s="13" t="n">
        <v>1373999.91</v>
      </c>
      <c r="G168" t="inlineStr">
        <is>
          <t>Звіт про договір</t>
        </is>
      </c>
      <c r="H168" t="inlineStr">
        <is>
          <t>Машини для обробки даних (апаратна частина)</t>
        </is>
      </c>
      <c r="I168" t="inlineStr">
        <is>
          <t>договір</t>
        </is>
      </c>
    </row>
    <row r="169">
      <c r="A169" s="4" t="inlineStr">
        <is>
          <t>UA-2026-08-11-011984-a</t>
        </is>
      </c>
      <c r="B169" t="inlineStr">
        <is>
          <t>2026-08-21</t>
        </is>
      </c>
      <c r="C169" t="inlineStr">
        <is>
          <t>Виконавчий комітет Луцької міської ради</t>
        </is>
      </c>
      <c r="D169" t="inlineStr">
        <is>
          <t>Волинська область</t>
        </is>
      </c>
      <c r="E169" s="13" t="n">
        <v>208800</v>
      </c>
      <c r="F169" s="13" t="n">
        <v>187500</v>
      </c>
      <c r="G169" t="inlineStr">
        <is>
          <t>Запит пропозицій</t>
        </is>
      </c>
      <c r="H169" t="inlineStr">
        <is>
          <t>Машини для обробки даних (апаратна частина)</t>
        </is>
      </c>
      <c r="I169" t="inlineStr">
        <is>
          <t>договір</t>
        </is>
      </c>
    </row>
    <row r="170">
      <c r="A170" s="4" t="inlineStr">
        <is>
          <t>UA-2026-08-25-002821-a</t>
        </is>
      </c>
      <c r="B170" t="inlineStr">
        <is>
          <t>2026-08-25</t>
        </is>
      </c>
      <c r="C170" t="inlineStr">
        <is>
          <t>Вишнівська сільська рада</t>
        </is>
      </c>
      <c r="D170" t="inlineStr">
        <is>
          <t>Волинська область</t>
        </is>
      </c>
      <c r="E170" s="13" t="n">
        <v>195438.2</v>
      </c>
      <c r="F170" s="13" t="n">
        <v>195438.2</v>
      </c>
      <c r="G170" t="inlineStr">
        <is>
          <t>Звіт про договір</t>
        </is>
      </c>
      <c r="H170" t="inlineStr">
        <is>
          <t>Машини для обробки даних (апаратна частина)</t>
        </is>
      </c>
      <c r="I170" t="inlineStr">
        <is>
          <t>договір</t>
        </is>
      </c>
    </row>
    <row r="171">
      <c r="A171" s="4" t="inlineStr">
        <is>
          <t>UA-2026-01-28-014638-a</t>
        </is>
      </c>
      <c r="B171" t="inlineStr">
        <is>
          <t>2026-01-28</t>
        </is>
      </c>
      <c r="C171" t="inlineStr">
        <is>
          <t>Вишнівська сільська рада</t>
        </is>
      </c>
      <c r="D171" t="inlineStr">
        <is>
          <t>Волинська область</t>
        </is>
      </c>
      <c r="E171" s="13" t="n">
        <v>183999.98</v>
      </c>
      <c r="F171" s="13" t="n">
        <v>183999.98</v>
      </c>
      <c r="G171" t="inlineStr">
        <is>
          <t>Звіт про договір</t>
        </is>
      </c>
      <c r="H171" t="inlineStr">
        <is>
          <t>Машини для обробки даних (апаратна частина)</t>
        </is>
      </c>
      <c r="I171" t="inlineStr">
        <is>
          <t>договір</t>
        </is>
      </c>
    </row>
    <row r="172">
      <c r="A172" s="4" t="inlineStr">
        <is>
          <t>UA-2026-06-10-010026-a</t>
        </is>
      </c>
      <c r="B172" t="inlineStr">
        <is>
          <t>2026-06-10</t>
        </is>
      </c>
      <c r="C172" t="inlineStr">
        <is>
          <t>Вишнівська сільська рада</t>
        </is>
      </c>
      <c r="D172" t="inlineStr">
        <is>
          <t>Волинська область</t>
        </is>
      </c>
      <c r="E172" s="13" t="n">
        <v>164000</v>
      </c>
      <c r="F172" s="13" t="n">
        <v>164000</v>
      </c>
      <c r="G172" t="inlineStr">
        <is>
          <t>Звіт про договір</t>
        </is>
      </c>
      <c r="H172" t="inlineStr">
        <is>
          <t>Машини для обробки даних (апаратна частина)</t>
        </is>
      </c>
      <c r="I172" t="inlineStr">
        <is>
          <t>договір</t>
        </is>
      </c>
    </row>
    <row r="173">
      <c r="A173" s="4" t="inlineStr">
        <is>
          <t>UA-2026-04-12-000056-a</t>
        </is>
      </c>
      <c r="B173" t="inlineStr">
        <is>
          <t>2026-04-28</t>
        </is>
      </c>
      <c r="C173" t="inlineStr">
        <is>
          <t>ВІЙСЬКОВА ЧАСТИНА 1141 НАЦІОНАЛЬНОЇ ГВАРДІЇ УКРАЇНИ</t>
        </is>
      </c>
      <c r="D173" t="inlineStr">
        <is>
          <t>Волинська область</t>
        </is>
      </c>
      <c r="E173" s="13" t="n">
        <v>41400</v>
      </c>
      <c r="F173" s="13" t="n">
        <v>43410</v>
      </c>
      <c r="G173" t="inlineStr">
        <is>
          <t>Допорогова</t>
        </is>
      </c>
      <c r="H173" t="inlineStr">
        <is>
          <t>Комп’ютерне обладнання</t>
        </is>
      </c>
      <c r="I173" t="inlineStr">
        <is>
          <t>договір</t>
        </is>
      </c>
    </row>
    <row r="174">
      <c r="A174" s="4" t="inlineStr">
        <is>
          <t>UA-2026-07-08-009873-a</t>
        </is>
      </c>
      <c r="B174" t="inlineStr">
        <is>
          <t>2026-07-17</t>
        </is>
      </c>
      <c r="C174" t="inlineStr">
        <is>
          <t>УПРАВЛІННЯ ГУМАНІТАРНОЇ ПОЛІТИКИ ЛЮБЕШІВСЬКОЇ СЕЛИЩНОЇ РАДИ</t>
        </is>
      </c>
      <c r="D174" t="inlineStr">
        <is>
          <t>Волинська область</t>
        </is>
      </c>
      <c r="E174" s="13" t="n">
        <v>7439.76</v>
      </c>
      <c r="F174" s="13" t="n">
        <v>6666.67</v>
      </c>
      <c r="G174" t="inlineStr">
        <is>
          <t>Запит пропозицій</t>
        </is>
      </c>
      <c r="H174" t="inlineStr">
        <is>
          <t>Комп’ютерне обладнання</t>
        </is>
      </c>
      <c r="I174" t="inlineStr">
        <is>
          <t>договір</t>
        </is>
      </c>
    </row>
    <row r="176">
      <c r="A176" s="2" t="inlineStr">
        <is>
          <t>Наші зустрічі</t>
        </is>
      </c>
    </row>
    <row r="177">
      <c r="A177" s="11" t="inlineStr">
        <is>
          <t>Закупівля</t>
        </is>
      </c>
      <c r="B177" s="11" t="inlineStr">
        <is>
          <t>Дата</t>
        </is>
      </c>
      <c r="C177" s="11" t="inlineStr">
        <is>
          <t>Замовник</t>
        </is>
      </c>
      <c r="D177" s="11" t="inlineStr">
        <is>
          <t>Предмет</t>
        </is>
      </c>
      <c r="E177" s="11" t="inlineStr">
        <is>
          <t>Сума переможця, грн</t>
        </is>
      </c>
      <c r="F177" s="11" t="inlineStr">
        <is>
          <t>Наша пропозиція, грн</t>
        </is>
      </c>
      <c r="G177" s="11" t="inlineStr">
        <is>
          <t>Розрив</t>
        </is>
      </c>
      <c r="H177" s="11" t="inlineStr">
        <is>
          <t>Що сталося</t>
        </is>
      </c>
    </row>
    <row r="178">
      <c r="A178" s="4" t="inlineStr">
        <is>
          <t>UA-2025-09-18-011701-a</t>
        </is>
      </c>
      <c r="B178" t="inlineStr">
        <is>
          <t>2025-09-18</t>
        </is>
      </c>
      <c r="C178" t="inlineStr">
        <is>
          <t>Військова частина А 1008</t>
        </is>
      </c>
      <c r="D178" t="inlineStr">
        <is>
          <t xml:space="preserve">Планшет Samsung Galaxy Tab A9+ WiFi 8/128GB Graphite (SM-X210NZAESEK) (з чохлом </t>
        </is>
      </c>
      <c r="E178" s="13" t="n">
        <v>1373999.91</v>
      </c>
      <c r="H178" t="inlineStr">
        <is>
          <t>ми не подавалися</t>
        </is>
      </c>
    </row>
    <row r="179">
      <c r="A179" s="4" t="inlineStr">
        <is>
          <t>UA-2026-08-25-002821-a</t>
        </is>
      </c>
      <c r="B179" t="inlineStr">
        <is>
          <t>2026-08-25</t>
        </is>
      </c>
      <c r="C179" t="inlineStr">
        <is>
          <t>Вишнівська сільська рада</t>
        </is>
      </c>
      <c r="D179" t="inlineStr">
        <is>
          <t xml:space="preserve">Ноутбуки Acer Nitro V 16 AI ANV16-42-ROS5 Black AMD Ryzen 5 240 / 16 ГБ, DDR5 в </t>
        </is>
      </c>
      <c r="E179" s="13" t="n">
        <v>195438.2</v>
      </c>
      <c r="H179" t="inlineStr">
        <is>
          <t>ми не подавалися</t>
        </is>
      </c>
    </row>
    <row r="180">
      <c r="A180" s="4" t="inlineStr">
        <is>
          <t>UA-2026-01-28-014638-a</t>
        </is>
      </c>
      <c r="B180" t="inlineStr">
        <is>
          <t>2026-01-28</t>
        </is>
      </c>
      <c r="C180" t="inlineStr">
        <is>
          <t>Вишнівська сільська рада</t>
        </is>
      </c>
      <c r="D180" t="inlineStr">
        <is>
          <t>Ноутбуки MSI Cyborg 15</t>
        </is>
      </c>
      <c r="E180" s="13" t="n">
        <v>183999.98</v>
      </c>
      <c r="H180" t="inlineStr">
        <is>
          <t>ми не подавалися</t>
        </is>
      </c>
    </row>
    <row r="181">
      <c r="A181" s="4" t="inlineStr">
        <is>
          <t>UA-2026-08-11-011984-a</t>
        </is>
      </c>
      <c r="B181" t="inlineStr">
        <is>
          <t>2026-08-11</t>
        </is>
      </c>
      <c r="C181" t="inlineStr">
        <is>
          <t>Виконавчий комітет Луцької міської ради</t>
        </is>
      </c>
      <c r="D181" t="inlineStr">
        <is>
          <t>Планшети</t>
        </is>
      </c>
      <c r="E181" s="13" t="n">
        <v>174000</v>
      </c>
      <c r="H181" t="inlineStr">
        <is>
          <t>ми не подавалися</t>
        </is>
      </c>
    </row>
    <row r="182">
      <c r="A182" s="4" t="inlineStr">
        <is>
          <t>UA-2026-06-10-010026-a</t>
        </is>
      </c>
      <c r="B182" t="inlineStr">
        <is>
          <t>2026-06-10</t>
        </is>
      </c>
      <c r="C182" t="inlineStr">
        <is>
          <t>Вишнівська сільська рада</t>
        </is>
      </c>
      <c r="D182" t="inlineStr">
        <is>
          <t>ноутбуки - 15.6FM/R5 150/16/512/RTX 3050_6GB/DOS/BL/L una Grey LENOVO LOQ 15ARP1</t>
        </is>
      </c>
      <c r="E182" s="13" t="n">
        <v>164000</v>
      </c>
      <c r="H182" t="inlineStr">
        <is>
          <t>ми не подавалися</t>
        </is>
      </c>
    </row>
    <row r="183">
      <c r="A183" s="4" t="inlineStr">
        <is>
          <t>UA-2026-04-12-000056-a</t>
        </is>
      </c>
      <c r="B183" t="inlineStr">
        <is>
          <t>2026-04-12</t>
        </is>
      </c>
      <c r="C183" t="inlineStr">
        <is>
          <t>ВІЙСЬКОВА ЧАСТИНА 1141 НАЦІОНАЛЬНОЇ ГВАРДІЇ УКРАЇНИ</t>
        </is>
      </c>
      <c r="D183" t="inlineStr">
        <is>
          <t>монітор 2Е 31.5 D3224B (2E-D3224B-01.UA)</t>
        </is>
      </c>
      <c r="E183" s="13" t="n">
        <v>41400</v>
      </c>
      <c r="H183" t="inlineStr">
        <is>
          <t>ми не подавалися</t>
        </is>
      </c>
    </row>
    <row r="184">
      <c r="A184" s="4" t="inlineStr">
        <is>
          <t>UA-2026-07-08-009873-a</t>
        </is>
      </c>
      <c r="B184" t="inlineStr">
        <is>
          <t>2026-07-08</t>
        </is>
      </c>
      <c r="C184" t="inlineStr">
        <is>
          <t>УПРАВЛІННЯ ГУМАНІТАРНОЇ ПОЛІТИКИ ЛЮБЕШІВСЬКОЇ СЕЛИЩНОЇ РАДИ</t>
        </is>
      </c>
      <c r="D184" t="inlineStr">
        <is>
          <t>Монітор</t>
        </is>
      </c>
      <c r="E184" s="13" t="n">
        <v>6199.8</v>
      </c>
      <c r="H184" t="inlineStr">
        <is>
          <t>ми не подавалися</t>
        </is>
      </c>
    </row>
    <row r="186">
      <c r="A186" s="8" t="inlineStr">
        <is>
          <t>Сильні сторони</t>
        </is>
      </c>
    </row>
    <row r="187">
      <c r="A187" t="inlineStr">
        <is>
          <t>+  портфель дистрибуції: 11 ТМ</t>
        </is>
      </c>
    </row>
    <row r="188">
      <c r="A188" t="inlineStr">
        <is>
          <t>+  висока результативність на торгах (75,0%)</t>
        </is>
      </c>
    </row>
    <row r="189">
      <c r="A189" t="inlineStr">
        <is>
          <t>+  працює з великими контрактами</t>
        </is>
      </c>
    </row>
    <row r="191">
      <c r="A191" s="8" t="inlineStr">
        <is>
          <t>Слабкі сторони</t>
        </is>
      </c>
    </row>
    <row r="192">
      <c r="A192" t="inlineStr">
        <is>
          <t>−  сертифікатів у поданих файлах не знайдено</t>
        </is>
      </c>
    </row>
    <row r="193">
      <c r="A193" t="inlineStr">
        <is>
          <t>−  слабка цінова позиція: дисконт 0,0% проти 8,3% по ринку</t>
        </is>
      </c>
    </row>
    <row r="194">
      <c r="A194" t="inlineStr">
        <is>
          <t>−  спад (-64% у другій половині періоду)</t>
        </is>
      </c>
    </row>
  </sheetData>
  <hyperlinks>
    <hyperlink xmlns:r="http://schemas.openxmlformats.org/officeDocument/2006/relationships" ref="A168" r:id="rId1"/>
    <hyperlink xmlns:r="http://schemas.openxmlformats.org/officeDocument/2006/relationships" ref="A169" r:id="rId2"/>
    <hyperlink xmlns:r="http://schemas.openxmlformats.org/officeDocument/2006/relationships" ref="A170" r:id="rId3"/>
    <hyperlink xmlns:r="http://schemas.openxmlformats.org/officeDocument/2006/relationships" ref="A171" r:id="rId4"/>
    <hyperlink xmlns:r="http://schemas.openxmlformats.org/officeDocument/2006/relationships" ref="A172" r:id="rId5"/>
    <hyperlink xmlns:r="http://schemas.openxmlformats.org/officeDocument/2006/relationships" ref="A173" r:id="rId6"/>
    <hyperlink xmlns:r="http://schemas.openxmlformats.org/officeDocument/2006/relationships" ref="A174" r:id="rId7"/>
    <hyperlink xmlns:r="http://schemas.openxmlformats.org/officeDocument/2006/relationships" ref="A178" r:id="rId8"/>
    <hyperlink xmlns:r="http://schemas.openxmlformats.org/officeDocument/2006/relationships" ref="A179" r:id="rId9"/>
    <hyperlink xmlns:r="http://schemas.openxmlformats.org/officeDocument/2006/relationships" ref="A180" r:id="rId10"/>
    <hyperlink xmlns:r="http://schemas.openxmlformats.org/officeDocument/2006/relationships" ref="A181" r:id="rId11"/>
    <hyperlink xmlns:r="http://schemas.openxmlformats.org/officeDocument/2006/relationships" ref="A182" r:id="rId12"/>
    <hyperlink xmlns:r="http://schemas.openxmlformats.org/officeDocument/2006/relationships" ref="A183" r:id="rId13"/>
    <hyperlink xmlns:r="http://schemas.openxmlformats.org/officeDocument/2006/relationships" ref="A184" r:id="rId14"/>
  </hyperlinks>
  <pageMargins left="0.75" right="0.75" top="1" bottom="1" header="0.5" footer="0.5"/>
  <drawing xmlns:r="http://schemas.openxmlformats.org/officeDocument/2006/relationships" r:id="rId15"/>
  <tableParts count="5">
    <tablePart xmlns:r="http://schemas.openxmlformats.org/officeDocument/2006/relationships" r:id="rId16"/>
    <tablePart xmlns:r="http://schemas.openxmlformats.org/officeDocument/2006/relationships" r:id="rId17"/>
    <tablePart xmlns:r="http://schemas.openxmlformats.org/officeDocument/2006/relationships" r:id="rId18"/>
    <tablePart xmlns:r="http://schemas.openxmlformats.org/officeDocument/2006/relationships" r:id="rId19"/>
    <tablePart xmlns:r="http://schemas.openxmlformats.org/officeDocument/2006/relationships" r:id="rId20"/>
  </tableParts>
</worksheet>
</file>

<file path=xl/worksheets/sheet25.xml><?xml version="1.0" encoding="utf-8"?>
<worksheet xmlns="http://schemas.openxmlformats.org/spreadsheetml/2006/main">
  <sheetPr>
    <outlinePr summaryBelow="1" summaryRight="1"/>
    <pageSetUpPr/>
  </sheetPr>
  <dimension ref="A1:I232"/>
  <sheetViews>
    <sheetView showGridLines="0" workbookViewId="0">
      <selection activeCell="A1" sqref="A1"/>
    </sheetView>
  </sheetViews>
  <sheetFormatPr baseColWidth="8" defaultRowHeight="15"/>
  <cols>
    <col width="42" customWidth="1" min="1" max="1"/>
    <col width="25" customWidth="1" min="2" max="2"/>
    <col width="60" customWidth="1" min="3" max="3"/>
    <col width="60" customWidth="1" min="4" max="4"/>
    <col width="35" customWidth="1" min="5" max="5"/>
    <col width="60" customWidth="1" min="6" max="6"/>
    <col width="23" customWidth="1" min="7" max="7"/>
    <col width="45" customWidth="1" min="8" max="8"/>
    <col width="10" customWidth="1" min="9" max="9"/>
  </cols>
  <sheetData>
    <row r="1">
      <c r="A1" s="1" t="inlineStr">
        <is>
          <t>ТОВ "СИСТЕМАТИКА УКРАЇНА"</t>
        </is>
      </c>
    </row>
    <row r="2">
      <c r="A2" s="6" t="inlineStr">
        <is>
          <t>ЄДРПОУ 40175293  ·  конкурент  ·  місце №12</t>
        </is>
      </c>
    </row>
    <row r="4">
      <c r="A4" s="7" t="inlineStr">
        <is>
          <t>ТОВ "СИСТЕМАТИКА УКРАЇНА" (40175293)</t>
        </is>
      </c>
    </row>
    <row r="6">
      <c r="A6" s="8" t="inlineStr">
        <is>
          <t>Показники</t>
        </is>
      </c>
    </row>
    <row r="7">
      <c r="A7" s="9" t="inlineStr">
        <is>
          <t>Місце на ринку</t>
        </is>
      </c>
      <c r="B7" s="10" t="inlineStr">
        <is>
          <t>№12</t>
        </is>
      </c>
    </row>
    <row r="8">
      <c r="A8" s="9" t="inlineStr">
        <is>
          <t>Сума угод</t>
        </is>
      </c>
      <c r="B8" s="10" t="inlineStr">
        <is>
          <t>2,2 млн грн</t>
        </is>
      </c>
    </row>
    <row r="9">
      <c r="A9" s="9" t="inlineStr">
        <is>
          <t>Частка ринку</t>
        </is>
      </c>
      <c r="B9" s="10" t="inlineStr">
        <is>
          <t>1,8%</t>
        </is>
      </c>
    </row>
    <row r="10">
      <c r="A10" s="9" t="inlineStr">
        <is>
          <t>Угод</t>
        </is>
      </c>
      <c r="B10" s="10" t="inlineStr">
        <is>
          <t>12</t>
        </is>
      </c>
    </row>
    <row r="11">
      <c r="A11" s="9" t="inlineStr">
        <is>
          <t>Закупівель виграно</t>
        </is>
      </c>
      <c r="B11" s="10" t="inlineStr">
        <is>
          <t>12</t>
        </is>
      </c>
    </row>
    <row r="12">
      <c r="A12" s="9" t="inlineStr">
        <is>
          <t>Подань (де видно)</t>
        </is>
      </c>
      <c r="B12" s="10" t="inlineStr">
        <is>
          <t>46</t>
        </is>
      </c>
    </row>
    <row r="13">
      <c r="A13" s="9" t="inlineStr">
        <is>
          <t>Виграно з поданих</t>
        </is>
      </c>
      <c r="B13" s="10" t="inlineStr">
        <is>
          <t>11 з 46</t>
        </is>
      </c>
    </row>
    <row r="14">
      <c r="A14" s="9" t="inlineStr">
        <is>
          <t>Результативність</t>
        </is>
      </c>
      <c r="B14" s="10" t="inlineStr">
        <is>
          <t>23,9%</t>
        </is>
      </c>
    </row>
    <row r="15">
      <c r="A15" s="9" t="inlineStr">
        <is>
          <t>Середня угода</t>
        </is>
      </c>
      <c r="B15" s="10" t="inlineStr">
        <is>
          <t>179,5 тис. грн</t>
        </is>
      </c>
    </row>
    <row r="16">
      <c r="A16" s="9" t="inlineStr">
        <is>
          <t>Медіанна угода</t>
        </is>
      </c>
      <c r="B16" s="10" t="inlineStr">
        <is>
          <t>142,3 тис. грн</t>
        </is>
      </c>
    </row>
    <row r="17">
      <c r="A17" s="9" t="inlineStr">
        <is>
          <t>Замовників</t>
        </is>
      </c>
      <c r="B17" s="10" t="inlineStr">
        <is>
          <t>7</t>
        </is>
      </c>
    </row>
    <row r="18">
      <c r="A18" s="9" t="inlineStr">
        <is>
          <t>Областей</t>
        </is>
      </c>
      <c r="B18" s="10" t="inlineStr">
        <is>
          <t>1</t>
        </is>
      </c>
    </row>
    <row r="19">
      <c r="A19" s="9" t="inlineStr">
        <is>
          <t>Основна ТМ</t>
        </is>
      </c>
      <c r="B19" s="10" t="inlineStr">
        <is>
          <t>Philips</t>
        </is>
      </c>
    </row>
    <row r="20">
      <c r="A20" s="9" t="inlineStr">
        <is>
          <t>Основний товар</t>
        </is>
      </c>
      <c r="B20" s="10" t="inlineStr">
        <is>
          <t>Ноутбук</t>
        </is>
      </c>
    </row>
    <row r="21">
      <c r="A21" s="9" t="inlineStr">
        <is>
          <t>Дисконт (медіана)</t>
        </is>
      </c>
      <c r="B21" s="10" t="inlineStr">
        <is>
          <t>2,6%</t>
        </is>
      </c>
    </row>
    <row r="22">
      <c r="A22" s="9" t="inlineStr">
        <is>
          <t>Повторні замовники</t>
        </is>
      </c>
      <c r="B22" s="10" t="inlineStr">
        <is>
          <t>41,7%</t>
        </is>
      </c>
    </row>
    <row r="23">
      <c r="A23" s="9" t="inlineStr">
        <is>
          <t>Активність</t>
        </is>
      </c>
      <c r="B23" s="10" t="inlineStr">
        <is>
          <t>2025-10-03 — 2026-04-21</t>
        </is>
      </c>
    </row>
    <row r="24">
      <c r="A24" s="9" t="inlineStr">
        <is>
          <t>Зірвано перемог</t>
        </is>
      </c>
      <c r="B24" s="10" t="inlineStr">
        <is>
          <t>11 на 2,6 млн грн</t>
        </is>
      </c>
    </row>
    <row r="25">
      <c r="A25" s="9" t="inlineStr">
        <is>
          <t>Причина зривів</t>
        </is>
      </c>
      <c r="B25" s="10" t="inlineStr">
        <is>
          <t>Відмова від договору</t>
        </is>
      </c>
    </row>
    <row r="27">
      <c r="A27" s="8" t="inlineStr">
        <is>
          <t>Висновки</t>
        </is>
      </c>
    </row>
    <row r="28">
      <c r="A28" t="inlineStr">
        <is>
          <t>•  12-е місце на ринку: 2,2 млн грн (1,8% обороту)</t>
        </is>
      </c>
    </row>
    <row r="29">
      <c r="A29" t="inlineStr">
        <is>
          <t>•  Основний товар: ноутбук</t>
        </is>
      </c>
    </row>
    <row r="30">
      <c r="A30" t="inlineStr">
        <is>
          <t>•  ТМ Philips у 25,0% позицій</t>
        </is>
      </c>
    </row>
    <row r="31">
      <c r="A31" t="inlineStr">
        <is>
          <t>•  Портфель із 6 ТМ</t>
        </is>
      </c>
    </row>
    <row r="32">
      <c r="A32" t="inlineStr">
        <is>
          <t>•  Грає у відкритих процедурах: лише 8,3% угод без торгів</t>
        </is>
      </c>
    </row>
    <row r="33">
      <c r="A33" t="inlineStr">
        <is>
          <t>•  Тримає ціну: дисконт 2,6% проти 8,3% по ринку</t>
        </is>
      </c>
    </row>
    <row r="34">
      <c r="A34" t="inlineStr">
        <is>
          <t>•  Географічно сфокусований: Волинська область (100,0% угод)</t>
        </is>
      </c>
    </row>
    <row r="35">
      <c r="A35" t="inlineStr">
        <is>
          <t>•  Тримається постійних замовників: 41,7% угод — повторні</t>
        </is>
      </c>
    </row>
    <row r="36">
      <c r="A36" t="inlineStr">
        <is>
          <t>•  Результативність на торгах: 23,9% (11 з 46)</t>
        </is>
      </c>
    </row>
    <row r="37">
      <c r="A37" t="inlineStr">
        <is>
          <t>•  Динаміка: тримається рівно (9% у другій половині періоду)</t>
        </is>
      </c>
    </row>
    <row r="38">
      <c r="A38" t="inlineStr">
        <is>
          <t>•  У поданих файлах — сертифікатів: 14, авторизаційних листів: 21</t>
        </is>
      </c>
    </row>
    <row r="39">
      <c r="A39" t="inlineStr">
        <is>
          <t>•  Зривається 47,8% виграшів: 11 з 23 на 2,6 млн грн, найчастіше — відмова від договору</t>
        </is>
      </c>
    </row>
    <row r="41">
      <c r="A41" s="8" t="inlineStr">
        <is>
          <t>Графіки</t>
        </is>
      </c>
    </row>
    <row r="43">
      <c r="A43" s="2" t="inlineStr">
        <is>
          <t>Динаміка по місяцях</t>
        </is>
      </c>
    </row>
    <row r="44">
      <c r="A44" s="3" t="inlineStr">
        <is>
          <t>Період</t>
        </is>
      </c>
      <c r="B44" s="3" t="inlineStr">
        <is>
          <t>Сума угод, грн</t>
        </is>
      </c>
    </row>
    <row r="45">
      <c r="A45" t="inlineStr">
        <is>
          <t>2025-10</t>
        </is>
      </c>
      <c r="B45" s="5" t="n">
        <v>470748</v>
      </c>
    </row>
    <row r="46">
      <c r="A46" t="inlineStr">
        <is>
          <t>2025-11</t>
        </is>
      </c>
      <c r="B46" s="5" t="n">
        <v>363804</v>
      </c>
    </row>
    <row r="47">
      <c r="A47" t="inlineStr">
        <is>
          <t>2025-12</t>
        </is>
      </c>
      <c r="B47" s="5" t="n">
        <v>295998</v>
      </c>
    </row>
    <row r="48">
      <c r="A48" t="inlineStr">
        <is>
          <t>2026-02</t>
        </is>
      </c>
      <c r="B48" s="5" t="n">
        <v>883575</v>
      </c>
    </row>
    <row r="49">
      <c r="A49" t="inlineStr">
        <is>
          <t>2026-03</t>
        </is>
      </c>
      <c r="B49" s="5" t="n">
        <v>103920</v>
      </c>
    </row>
    <row r="50">
      <c r="A50" t="inlineStr">
        <is>
          <t>2026-04</t>
        </is>
      </c>
      <c r="B50" s="5" t="n">
        <v>36435</v>
      </c>
    </row>
    <row r="63">
      <c r="A63" s="2" t="inlineStr">
        <is>
          <t>Торгові марки у позиціях</t>
        </is>
      </c>
    </row>
    <row r="64">
      <c r="A64" s="3" t="inlineStr">
        <is>
          <t>Категорія</t>
        </is>
      </c>
      <c r="B64" s="3" t="inlineStr">
        <is>
          <t>Позицій, шт</t>
        </is>
      </c>
    </row>
    <row r="65">
      <c r="A65" t="inlineStr">
        <is>
          <t>Philips</t>
        </is>
      </c>
      <c r="B65" s="5" t="n">
        <v>3</v>
      </c>
    </row>
    <row r="66">
      <c r="A66" t="inlineStr">
        <is>
          <t>Intel</t>
        </is>
      </c>
      <c r="B66" s="5" t="n">
        <v>2</v>
      </c>
    </row>
    <row r="67">
      <c r="A67" t="inlineStr">
        <is>
          <t>AMD</t>
        </is>
      </c>
      <c r="B67" s="5" t="n">
        <v>2</v>
      </c>
    </row>
    <row r="68">
      <c r="A68" t="inlineStr">
        <is>
          <t>Microsoft</t>
        </is>
      </c>
      <c r="B68" s="5" t="n">
        <v>2</v>
      </c>
    </row>
    <row r="69">
      <c r="A69" t="inlineStr">
        <is>
          <t>HP</t>
        </is>
      </c>
      <c r="B69" s="5" t="n">
        <v>2</v>
      </c>
    </row>
    <row r="70">
      <c r="A70" t="inlineStr">
        <is>
          <t>Vinga</t>
        </is>
      </c>
      <c r="B70" s="5" t="n">
        <v>1</v>
      </c>
    </row>
    <row r="83">
      <c r="A83" s="2" t="inlineStr">
        <is>
          <t>Що саме продає</t>
        </is>
      </c>
    </row>
    <row r="84">
      <c r="A84" s="3" t="inlineStr">
        <is>
          <t>Категорія</t>
        </is>
      </c>
      <c r="B84" s="3" t="inlineStr">
        <is>
          <t>Позицій, шт</t>
        </is>
      </c>
    </row>
    <row r="85">
      <c r="A85" t="inlineStr">
        <is>
          <t>Ноутбук</t>
        </is>
      </c>
      <c r="B85" s="5" t="n">
        <v>13</v>
      </c>
    </row>
    <row r="86">
      <c r="A86" t="inlineStr">
        <is>
          <t>Персональний комп'ютер</t>
        </is>
      </c>
      <c r="B86" s="5" t="n">
        <v>12</v>
      </c>
    </row>
    <row r="87">
      <c r="A87" t="inlineStr">
        <is>
          <t>Багатофункціональний пристрій (БФП)</t>
        </is>
      </c>
      <c r="B87" s="5" t="n">
        <v>11</v>
      </c>
    </row>
    <row r="88">
      <c r="A88" t="inlineStr">
        <is>
          <t>Монітор</t>
        </is>
      </c>
      <c r="B88" s="5" t="n">
        <v>7</v>
      </c>
    </row>
    <row r="89">
      <c r="A89" t="inlineStr">
        <is>
          <t>Системний блок</t>
        </is>
      </c>
      <c r="B89" s="5" t="n">
        <v>3</v>
      </c>
    </row>
    <row r="90">
      <c r="A90" t="inlineStr">
        <is>
          <t>Моноблок</t>
        </is>
      </c>
      <c r="B90" s="5" t="n">
        <v>3</v>
      </c>
    </row>
    <row r="91">
      <c r="A91" t="inlineStr">
        <is>
          <t>Планшет</t>
        </is>
      </c>
      <c r="B91" s="5" t="n">
        <v>2</v>
      </c>
    </row>
    <row r="92">
      <c r="A92" t="inlineStr">
        <is>
          <t>Накопичувач (тип не вказано)</t>
        </is>
      </c>
      <c r="B92" s="5" t="n">
        <v>1</v>
      </c>
    </row>
    <row r="93">
      <c r="A93" t="inlineStr">
        <is>
          <t>Джерело безперебійного живлення</t>
        </is>
      </c>
      <c r="B93" s="5" t="n">
        <v>1</v>
      </c>
    </row>
    <row r="94">
      <c r="A94" t="inlineStr">
        <is>
          <t>Накопичувач SSD</t>
        </is>
      </c>
      <c r="B94" s="5" t="n">
        <v>1</v>
      </c>
    </row>
    <row r="101">
      <c r="A101" s="2" t="inlineStr">
        <is>
          <t>Ключові замовники</t>
        </is>
      </c>
    </row>
    <row r="102">
      <c r="A102" s="3" t="inlineStr">
        <is>
          <t>Категорія</t>
        </is>
      </c>
      <c r="B102" s="3" t="inlineStr">
        <is>
          <t>Сума, грн</t>
        </is>
      </c>
    </row>
    <row r="103">
      <c r="A103" t="inlineStr">
        <is>
          <t>СОШИЧНЕНСЬКА СІЛЬСЬКА РАДА</t>
        </is>
      </c>
      <c r="B103" s="5" t="n">
        <v>576960</v>
      </c>
    </row>
    <row r="104">
      <c r="A104" t="inlineStr">
        <is>
          <t>Нововолинський електромеханічний фаховий</t>
        </is>
      </c>
      <c r="B104" s="5" t="n">
        <v>560802</v>
      </c>
    </row>
    <row r="105">
      <c r="A105" t="inlineStr">
        <is>
          <t>ДКП "Луцьктепло"</t>
        </is>
      </c>
      <c r="B105" s="5" t="n">
        <v>343050</v>
      </c>
    </row>
    <row r="106">
      <c r="A106" t="inlineStr">
        <is>
          <t>ВОЛИНСЬКА ОБЛАСНА ПРОКУРАТУРА</t>
        </is>
      </c>
      <c r="B106" s="5" t="n">
        <v>236124</v>
      </c>
    </row>
    <row r="107">
      <c r="A107" t="inlineStr">
        <is>
          <t>КП "Медичне об'єднання Луцької міської т</t>
        </is>
      </c>
      <c r="B107" s="5" t="n">
        <v>234624</v>
      </c>
    </row>
    <row r="108">
      <c r="A108" t="inlineStr">
        <is>
          <t>ДЕПАРТАМЕНТ З ПИТАНЬ ВЕТЕРАНСЬКОЇ ПОЛІТИ</t>
        </is>
      </c>
      <c r="B108" s="5" t="n">
        <v>103920</v>
      </c>
    </row>
    <row r="109">
      <c r="A109" t="inlineStr">
        <is>
          <t>УПРАВЛІННЯ ГУМАНІТАРНОЇ ПОЛІТИКИ РАТНІВС</t>
        </is>
      </c>
      <c r="B109" s="5" t="n">
        <v>99000</v>
      </c>
    </row>
    <row r="117">
      <c r="A117" s="2" t="inlineStr">
        <is>
          <t>Процедури</t>
        </is>
      </c>
    </row>
    <row r="118">
      <c r="A118" s="3" t="inlineStr">
        <is>
          <t>Категорія</t>
        </is>
      </c>
      <c r="B118" s="3" t="inlineStr">
        <is>
          <t>Угод, шт</t>
        </is>
      </c>
    </row>
    <row r="119">
      <c r="A119" t="inlineStr">
        <is>
          <t>Відкриті торги (нові)</t>
        </is>
      </c>
      <c r="B119" s="5" t="n">
        <v>8</v>
      </c>
    </row>
    <row r="120">
      <c r="A120" t="inlineStr">
        <is>
          <t>Запит пропозицій</t>
        </is>
      </c>
      <c r="B120" s="5" t="n">
        <v>3</v>
      </c>
    </row>
    <row r="121">
      <c r="A121" t="inlineStr">
        <is>
          <t>Звіт про договір</t>
        </is>
      </c>
      <c r="B121" s="5" t="n">
        <v>1</v>
      </c>
    </row>
    <row r="137">
      <c r="A137" s="8" t="inlineStr">
        <is>
          <t>Таблиці</t>
        </is>
      </c>
    </row>
    <row r="139">
      <c r="A139" s="2" t="inlineStr">
        <is>
          <t>ТМ</t>
        </is>
      </c>
    </row>
    <row r="140">
      <c r="A140" s="11" t="inlineStr">
        <is>
          <t>Торгова марка</t>
        </is>
      </c>
      <c r="B140" s="11" t="inlineStr">
        <is>
          <t>Позицій</t>
        </is>
      </c>
      <c r="C140" s="11" t="inlineStr">
        <is>
          <t>Частка</t>
        </is>
      </c>
      <c r="D140" s="11" t="inlineStr">
        <is>
          <t>Власна ТМ за довідником</t>
        </is>
      </c>
    </row>
    <row r="141">
      <c r="A141" t="inlineStr">
        <is>
          <t>Philips</t>
        </is>
      </c>
      <c r="B141" s="5" t="n">
        <v>3</v>
      </c>
      <c r="C141" s="12" t="n">
        <v>0.25</v>
      </c>
      <c r="D141" t="inlineStr"/>
    </row>
    <row r="142">
      <c r="A142" t="inlineStr">
        <is>
          <t>Intel</t>
        </is>
      </c>
      <c r="B142" s="5" t="n">
        <v>2</v>
      </c>
      <c r="C142" s="12" t="n">
        <v>0.1667</v>
      </c>
      <c r="D142" t="inlineStr"/>
    </row>
    <row r="143">
      <c r="A143" t="inlineStr">
        <is>
          <t>AMD</t>
        </is>
      </c>
      <c r="B143" s="5" t="n">
        <v>2</v>
      </c>
      <c r="C143" s="12" t="n">
        <v>0.1667</v>
      </c>
      <c r="D143" t="inlineStr"/>
    </row>
    <row r="144">
      <c r="A144" t="inlineStr">
        <is>
          <t>Microsoft</t>
        </is>
      </c>
      <c r="B144" s="5" t="n">
        <v>2</v>
      </c>
      <c r="C144" s="12" t="n">
        <v>0.1667</v>
      </c>
      <c r="D144" t="inlineStr"/>
    </row>
    <row r="145">
      <c r="A145" t="inlineStr">
        <is>
          <t>HP</t>
        </is>
      </c>
      <c r="B145" s="5" t="n">
        <v>2</v>
      </c>
      <c r="C145" s="12" t="n">
        <v>0.1667</v>
      </c>
      <c r="D145" t="inlineStr"/>
    </row>
    <row r="146">
      <c r="A146" t="inlineStr">
        <is>
          <t>Vinga</t>
        </is>
      </c>
      <c r="B146" s="5" t="n">
        <v>1</v>
      </c>
      <c r="C146" s="12" t="n">
        <v>0.0833</v>
      </c>
      <c r="D146" t="inlineStr">
        <is>
          <t>КОМЕЛ</t>
        </is>
      </c>
    </row>
    <row r="148">
      <c r="A148" s="2" t="inlineStr">
        <is>
          <t>Товари</t>
        </is>
      </c>
    </row>
    <row r="149">
      <c r="A149" s="11" t="inlineStr">
        <is>
          <t>Товар</t>
        </is>
      </c>
      <c r="B149" s="11" t="inlineStr">
        <is>
          <t>Позицій</t>
        </is>
      </c>
    </row>
    <row r="150">
      <c r="A150" t="inlineStr">
        <is>
          <t>Ноутбук</t>
        </is>
      </c>
      <c r="B150" s="5" t="n">
        <v>13</v>
      </c>
    </row>
    <row r="151">
      <c r="A151" t="inlineStr">
        <is>
          <t>Персональний комп'ютер</t>
        </is>
      </c>
      <c r="B151" s="5" t="n">
        <v>12</v>
      </c>
    </row>
    <row r="152">
      <c r="A152" t="inlineStr">
        <is>
          <t>Багатофункціональний пристрій (БФП)</t>
        </is>
      </c>
      <c r="B152" s="5" t="n">
        <v>11</v>
      </c>
    </row>
    <row r="153">
      <c r="A153" t="inlineStr">
        <is>
          <t>Монітор</t>
        </is>
      </c>
      <c r="B153" s="5" t="n">
        <v>7</v>
      </c>
    </row>
    <row r="154">
      <c r="A154" t="inlineStr">
        <is>
          <t>Системний блок</t>
        </is>
      </c>
      <c r="B154" s="5" t="n">
        <v>3</v>
      </c>
    </row>
    <row r="155">
      <c r="A155" t="inlineStr">
        <is>
          <t>Моноблок</t>
        </is>
      </c>
      <c r="B155" s="5" t="n">
        <v>3</v>
      </c>
    </row>
    <row r="156">
      <c r="A156" t="inlineStr">
        <is>
          <t>Планшет</t>
        </is>
      </c>
      <c r="B156" s="5" t="n">
        <v>2</v>
      </c>
    </row>
    <row r="157">
      <c r="A157" t="inlineStr">
        <is>
          <t>Накопичувач (тип не вказано)</t>
        </is>
      </c>
      <c r="B157" s="5" t="n">
        <v>1</v>
      </c>
    </row>
    <row r="158">
      <c r="A158" t="inlineStr">
        <is>
          <t>Джерело безперебійного живлення</t>
        </is>
      </c>
      <c r="B158" s="5" t="n">
        <v>1</v>
      </c>
    </row>
    <row r="159">
      <c r="A159" t="inlineStr">
        <is>
          <t>Накопичувач SSD</t>
        </is>
      </c>
      <c r="B159" s="5" t="n">
        <v>1</v>
      </c>
    </row>
    <row r="160">
      <c r="A160" t="inlineStr">
        <is>
          <t>Оптичний диск</t>
        </is>
      </c>
      <c r="B160" s="5" t="n">
        <v>1</v>
      </c>
    </row>
    <row r="161">
      <c r="A161" t="inlineStr">
        <is>
          <t>Клавіатура</t>
        </is>
      </c>
      <c r="B161" s="5" t="n">
        <v>1</v>
      </c>
    </row>
    <row r="163">
      <c r="A163" s="2" t="inlineStr">
        <is>
          <t>Документи</t>
        </is>
      </c>
    </row>
    <row r="164">
      <c r="A164" s="11" t="inlineStr">
        <is>
          <t>Тип документа</t>
        </is>
      </c>
      <c r="B164" s="11" t="inlineStr">
        <is>
          <t>Файлів</t>
        </is>
      </c>
    </row>
    <row r="165">
      <c r="A165" t="inlineStr">
        <is>
          <t>не класифіковано</t>
        </is>
      </c>
      <c r="B165" s="5" t="n">
        <v>211</v>
      </c>
    </row>
    <row r="166">
      <c r="A166" t="inlineStr">
        <is>
          <t>Підпис КЕП</t>
        </is>
      </c>
      <c r="B166" s="5" t="n">
        <v>112</v>
      </c>
    </row>
    <row r="167">
      <c r="A167" t="inlineStr">
        <is>
          <t>Установчі та реєстраційні</t>
        </is>
      </c>
      <c r="B167" s="5" t="n">
        <v>83</v>
      </c>
    </row>
    <row r="168">
      <c r="A168" t="inlineStr">
        <is>
          <t>Гарантія та сервіс</t>
        </is>
      </c>
      <c r="B168" s="5" t="n">
        <v>24</v>
      </c>
    </row>
    <row r="169">
      <c r="A169" t="inlineStr">
        <is>
          <t>Досвід / аналогічні договори</t>
        </is>
      </c>
      <c r="B169" s="5" t="n">
        <v>22</v>
      </c>
    </row>
    <row r="170">
      <c r="A170" t="inlineStr">
        <is>
          <t>Лист виробника / авторизація</t>
        </is>
      </c>
      <c r="B170" s="5" t="n">
        <v>21</v>
      </c>
    </row>
    <row r="171">
      <c r="A171" t="inlineStr">
        <is>
          <t>Технічна специфікація</t>
        </is>
      </c>
      <c r="B171" s="5" t="n">
        <v>17</v>
      </c>
    </row>
    <row r="172">
      <c r="A172" t="inlineStr">
        <is>
          <t>Договір</t>
        </is>
      </c>
      <c r="B172" s="5" t="n">
        <v>15</v>
      </c>
    </row>
    <row r="173">
      <c r="A173" t="inlineStr">
        <is>
          <t>Сертифікат / декларація відповідності</t>
        </is>
      </c>
      <c r="B173" s="5" t="n">
        <v>14</v>
      </c>
    </row>
    <row r="174">
      <c r="A174" t="inlineStr">
        <is>
          <t>Цінова пропозиція</t>
        </is>
      </c>
      <c r="B174" s="5" t="n">
        <v>10</v>
      </c>
    </row>
    <row r="175">
      <c r="A175" t="inlineStr">
        <is>
          <t>Пропозиція учасника</t>
        </is>
      </c>
      <c r="B175" s="5" t="n">
        <v>7</v>
      </c>
    </row>
    <row r="176">
      <c r="A176" t="inlineStr">
        <is>
          <t>Тендерна документація</t>
        </is>
      </c>
      <c r="B176" s="5" t="n">
        <v>6</v>
      </c>
    </row>
    <row r="178">
      <c r="A178" s="2" t="inlineStr">
        <is>
          <t>Зірвані перемоги</t>
        </is>
      </c>
    </row>
    <row r="179">
      <c r="A179" s="11" t="inlineStr">
        <is>
          <t>Закупівля</t>
        </is>
      </c>
      <c r="B179" s="11" t="inlineStr">
        <is>
          <t>Дата</t>
        </is>
      </c>
      <c r="C179" s="11" t="inlineStr">
        <is>
          <t>Замовник</t>
        </is>
      </c>
      <c r="D179" s="11" t="inlineStr">
        <is>
          <t>Сума, грн</t>
        </is>
      </c>
      <c r="E179" s="11" t="inlineStr">
        <is>
          <t>Причина</t>
        </is>
      </c>
      <c r="F179" s="11" t="inlineStr">
        <is>
          <t>Формулювання замовника</t>
        </is>
      </c>
    </row>
    <row r="180">
      <c r="A180" s="4" t="inlineStr">
        <is>
          <t>UA-2025-09-16-005057-a</t>
        </is>
      </c>
      <c r="B180" t="inlineStr">
        <is>
          <t>2025-09-29</t>
        </is>
      </c>
      <c r="C180" t="inlineStr">
        <is>
          <t>Територіальне управління Державної судової адміністрації України в Волинській області</t>
        </is>
      </c>
      <c r="D180" s="5" t="n">
        <v>670440</v>
      </c>
      <c r="E180" t="inlineStr">
        <is>
          <t>Не підписав договір у строк</t>
        </is>
      </c>
      <c r="F180" t="inlineStr">
        <is>
          <t>Переможець не підписав договір у строк, визначений абзацом першим пункту 66 цього Порядку</t>
        </is>
      </c>
    </row>
    <row r="181">
      <c r="A181" s="4" t="inlineStr">
        <is>
          <t>UA-2025-11-15-000640-a</t>
        </is>
      </c>
      <c r="B181" t="inlineStr">
        <is>
          <t>2025-11-21</t>
        </is>
      </c>
      <c r="C181" t="inlineStr">
        <is>
          <t>Луцький національний технічний університет</t>
        </is>
      </c>
      <c r="D181" s="5" t="n">
        <v>427902</v>
      </c>
      <c r="E181" t="inlineStr">
        <is>
          <t>Відмова від договору</t>
        </is>
      </c>
      <c r="F181" t="inlineStr">
        <is>
          <t>Переможець письмово відмовився від укладання договору на умовах, визначених у запиті пропозицій постачальників</t>
        </is>
      </c>
    </row>
    <row r="182">
      <c r="A182" s="4" t="inlineStr">
        <is>
          <t>UA-2025-09-26-009240-a</t>
        </is>
      </c>
      <c r="B182" t="inlineStr">
        <is>
          <t>2025-10-02</t>
        </is>
      </c>
      <c r="C182" t="inlineStr">
        <is>
          <t>Головне управління Національної поліції у Волинській області</t>
        </is>
      </c>
      <c r="D182" s="5" t="n">
        <v>351492</v>
      </c>
      <c r="E182" t="inlineStr">
        <is>
          <t>Відмова від договору</t>
        </is>
      </c>
      <c r="F182" t="inlineStr">
        <is>
          <t>Переможець письмово відмовився від укладання договору на умовах, визначених у запиті пропозицій постачальників</t>
        </is>
      </c>
    </row>
    <row r="183">
      <c r="A183" s="4" t="inlineStr">
        <is>
          <t>UA-2025-11-27-013291-a</t>
        </is>
      </c>
      <c r="B183" t="inlineStr">
        <is>
          <t>2025-12-04</t>
        </is>
      </c>
      <c r="C183" t="inlineStr">
        <is>
          <t>Департамент "Центр надання адміністративних послуг у місті Луцьку" Луцької міської ради</t>
        </is>
      </c>
      <c r="D183" s="5" t="n">
        <v>203412</v>
      </c>
      <c r="E183" t="inlineStr">
        <is>
          <t>Відмова від договору</t>
        </is>
      </c>
      <c r="F183" t="inlineStr">
        <is>
          <t>Переможець письмово відмовився від укладання договору на умовах, визначених у запиті пропозицій постачальників</t>
        </is>
      </c>
    </row>
    <row r="184">
      <c r="A184" s="4" t="inlineStr">
        <is>
          <t>UA-2026-04-21-012151-a</t>
        </is>
      </c>
      <c r="B184" t="inlineStr">
        <is>
          <t>2026-05-04</t>
        </is>
      </c>
      <c r="C184" t="inlineStr">
        <is>
          <t>КП "Медичне об'єднання Луцької міської територіальної громади"</t>
        </is>
      </c>
      <c r="D184" s="5" t="n">
        <v>184005</v>
      </c>
      <c r="E184" t="inlineStr">
        <is>
          <t>Невідповідність технічним вимогам</t>
        </is>
      </c>
      <c r="F184" t="inlineStr">
        <is>
          <t>не відповідає умовам технічної специфікації та іншим вимогам щодо предмета закупівлі тендерної документації, крім невідповідності в інформації та/або документах, що може бути усунена учасником процедури закупівлі відповідно до пункту 43 Особливостей;</t>
        </is>
      </c>
    </row>
    <row r="185">
      <c r="A185" s="4" t="inlineStr">
        <is>
          <t>UA-2026-01-21-014002-a</t>
        </is>
      </c>
      <c r="B185" t="inlineStr">
        <is>
          <t>2026-02-02</t>
        </is>
      </c>
      <c r="C185" t="inlineStr">
        <is>
          <t>Територіальне управління Державної судової адміністрації України в Волинській області</t>
        </is>
      </c>
      <c r="D185" s="5" t="n">
        <v>183384</v>
      </c>
      <c r="E185" t="inlineStr">
        <is>
          <t>Не надав забезпечення</t>
        </is>
      </c>
      <c r="F185" t="inlineStr">
        <is>
          <t>Переможець не надав забезпечення виконання договору у строк, визначений пунктом 66 цього Порядку</t>
        </is>
      </c>
    </row>
    <row r="186">
      <c r="A186" s="4" t="inlineStr">
        <is>
          <t>UA-2025-09-16-008784-a</t>
        </is>
      </c>
      <c r="B186" t="inlineStr">
        <is>
          <t>2025-09-30</t>
        </is>
      </c>
      <c r="C186" t="inlineStr">
        <is>
          <t>КП "Медичне об'єднання Луцької міської територіальної громади"</t>
        </is>
      </c>
      <c r="D186" s="5" t="n">
        <v>152985</v>
      </c>
      <c r="E186" t="inlineStr">
        <is>
          <t>Невідповідність технічним вимогам</t>
        </is>
      </c>
      <c r="F186" t="inlineStr">
        <is>
          <t>не відповідає умовам технічної специфікації та іншим вимогам щодо предмета закупівлі тендерної документації, крім невідповідності в інформації та/або документах, що може бути усунена учасником процедури закупівлі відповідно до пункту 43 Особливостей;</t>
        </is>
      </c>
    </row>
    <row r="187">
      <c r="A187" s="4" t="inlineStr">
        <is>
          <t>UA-2025-09-02-009042-a</t>
        </is>
      </c>
      <c r="B187" t="inlineStr">
        <is>
          <t>2025-09-16</t>
        </is>
      </c>
      <c r="C187" t="inlineStr">
        <is>
          <t>КП "Медичне об'єднання Луцької міської територіальної громади"</t>
        </is>
      </c>
      <c r="D187" s="5" t="n">
        <v>152985</v>
      </c>
      <c r="E187" t="inlineStr">
        <is>
          <t>Невідповідність технічним вимогам</t>
        </is>
      </c>
      <c r="F187" t="inlineStr">
        <is>
          <t>не відповідає умовам технічної специфікації та іншим вимогам щодо предмета закупівлі тендерної документації, крім невідповідності в інформації та/або документах, що може бути усунена учасником процедури закупівлі відповідно до пункту 43 Особливостей;</t>
        </is>
      </c>
    </row>
    <row r="188">
      <c r="A188" s="4" t="inlineStr">
        <is>
          <t>UA-2026-04-17-005811-a</t>
        </is>
      </c>
      <c r="B188" t="inlineStr">
        <is>
          <t>2026-04-28</t>
        </is>
      </c>
      <c r="C188" t="inlineStr">
        <is>
          <t>Любомльська міська рада</t>
        </is>
      </c>
      <c r="D188" s="5" t="n">
        <v>99720</v>
      </c>
      <c r="E188" t="inlineStr">
        <is>
          <t>Відмова від договору</t>
        </is>
      </c>
      <c r="F188" t="inlineStr">
        <is>
          <t>Письмово відмовився від укладення договору на умовах, визначених замовником у запиті пропозицій постачальників, шляхом заповнення електронних форм з окремими полями та у проекті договору, що є складовою частиною запиту пропозицій постачальників</t>
        </is>
      </c>
    </row>
    <row r="189">
      <c r="A189" s="4" t="inlineStr">
        <is>
          <t>UA-2025-10-27-014765-a</t>
        </is>
      </c>
      <c r="B189" t="inlineStr">
        <is>
          <t>2025-11-11</t>
        </is>
      </c>
      <c r="C189" t="inlineStr">
        <is>
          <t>Виконавчий комітет Луцької міської ради</t>
        </is>
      </c>
      <c r="D189" s="5" t="n">
        <v>89130</v>
      </c>
      <c r="E189" t="inlineStr">
        <is>
          <t>Не підписав договір у строк</t>
        </is>
      </c>
      <c r="F189" t="inlineStr">
        <is>
          <t>Переможець не підписав договір у строк, визначений абзацом першим пункту 66 цього Порядку</t>
        </is>
      </c>
    </row>
    <row r="190">
      <c r="A190" s="4" t="inlineStr">
        <is>
          <t>UA-2026-03-16-002706-a</t>
        </is>
      </c>
      <c r="B190" t="inlineStr">
        <is>
          <t>2026-03-24</t>
        </is>
      </c>
      <c r="C190" t="inlineStr">
        <is>
          <t>КП "Медичне об'єднання Луцької міської територіальної громади"</t>
        </is>
      </c>
      <c r="D190" s="5" t="n">
        <v>81927</v>
      </c>
      <c r="E190" t="inlineStr">
        <is>
          <t>Відмова від договору</t>
        </is>
      </c>
      <c r="F190" t="inlineStr">
        <is>
          <t>письмово відмовився від укладення договору на умовах, визначених замовником у запиті пропозицій постачальників, шляхом заповнення електронних форм з окремими полями та у проекті договору, що є складовою частиною запиту пропозицій постачальників.</t>
        </is>
      </c>
    </row>
    <row r="192">
      <c r="A192" s="2" t="inlineStr">
        <is>
          <t>Угоди</t>
        </is>
      </c>
    </row>
    <row r="193">
      <c r="A193" s="11" t="inlineStr">
        <is>
          <t>Закупівля</t>
        </is>
      </c>
      <c r="B193" s="11" t="inlineStr">
        <is>
          <t>Дата</t>
        </is>
      </c>
      <c r="C193" s="11" t="inlineStr">
        <is>
          <t>Замовник</t>
        </is>
      </c>
      <c r="D193" s="11" t="inlineStr">
        <is>
          <t>Регіон</t>
        </is>
      </c>
      <c r="E193" s="11" t="inlineStr">
        <is>
          <t>Сума, грн</t>
        </is>
      </c>
      <c r="F193" s="11" t="inlineStr">
        <is>
          <t>Очікувана, грн</t>
        </is>
      </c>
      <c r="G193" s="11" t="inlineStr">
        <is>
          <t>Процедура</t>
        </is>
      </c>
      <c r="H193" s="11" t="inlineStr">
        <is>
          <t>Галузь</t>
        </is>
      </c>
      <c r="I193" s="11" t="inlineStr">
        <is>
          <t>Джерело</t>
        </is>
      </c>
    </row>
    <row r="194">
      <c r="A194" s="4" t="inlineStr">
        <is>
          <t>UA-2025-10-20-016348-a</t>
        </is>
      </c>
      <c r="B194" t="inlineStr">
        <is>
          <t>2025-11-06</t>
        </is>
      </c>
      <c r="C194" t="inlineStr">
        <is>
          <t>Нововолинський електромеханічний фаховий коледж</t>
        </is>
      </c>
      <c r="D194" t="inlineStr">
        <is>
          <t>Волинська область</t>
        </is>
      </c>
      <c r="E194" s="5" t="n">
        <v>363804</v>
      </c>
      <c r="F194" s="13" t="n">
        <v>364000</v>
      </c>
      <c r="G194" t="inlineStr">
        <is>
          <t>Відкриті торги (нові)</t>
        </is>
      </c>
      <c r="H194" t="inlineStr">
        <is>
          <t>Машини для обробки даних (апаратна частина)</t>
        </is>
      </c>
      <c r="I194" t="inlineStr">
        <is>
          <t>договір</t>
        </is>
      </c>
    </row>
    <row r="195">
      <c r="A195" s="4" t="inlineStr">
        <is>
          <t>UA-2026-02-05-014724-a</t>
        </is>
      </c>
      <c r="B195" t="inlineStr">
        <is>
          <t>2026-02-25</t>
        </is>
      </c>
      <c r="C195" t="inlineStr">
        <is>
          <t>ДКП "Луцьктепло"</t>
        </is>
      </c>
      <c r="D195" t="inlineStr">
        <is>
          <t>Волинська область</t>
        </is>
      </c>
      <c r="E195" s="5" t="n">
        <v>343050</v>
      </c>
      <c r="F195" s="13" t="n">
        <v>369375.33</v>
      </c>
      <c r="G195" t="inlineStr">
        <is>
          <t>Відкриті торги (нові)</t>
        </is>
      </c>
      <c r="H195" t="inlineStr">
        <is>
          <t>Машини для обробки даних (апаратна частина)</t>
        </is>
      </c>
      <c r="I195" t="inlineStr">
        <is>
          <t>договір</t>
        </is>
      </c>
    </row>
    <row r="196">
      <c r="A196" s="4" t="inlineStr">
        <is>
          <t>UA-2026-01-26-001069-a</t>
        </is>
      </c>
      <c r="B196" t="inlineStr">
        <is>
          <t>2026-02-10</t>
        </is>
      </c>
      <c r="C196" t="inlineStr">
        <is>
          <t>СОШИЧНЕНСЬКА СІЛЬСЬКА РАДА</t>
        </is>
      </c>
      <c r="D196" t="inlineStr">
        <is>
          <t>Волинська область</t>
        </is>
      </c>
      <c r="E196" s="5" t="n">
        <v>272307</v>
      </c>
      <c r="F196" s="13" t="n">
        <v>273000</v>
      </c>
      <c r="G196" t="inlineStr">
        <is>
          <t>Відкриті торги (нові)</t>
        </is>
      </c>
      <c r="H196" t="inlineStr">
        <is>
          <t>Машини для обробки даних (апаратна частина)</t>
        </is>
      </c>
      <c r="I196" t="inlineStr">
        <is>
          <t>договір</t>
        </is>
      </c>
    </row>
    <row r="197">
      <c r="A197" s="4" t="inlineStr">
        <is>
          <t>UA-2026-01-26-017005-a</t>
        </is>
      </c>
      <c r="B197" t="inlineStr">
        <is>
          <t>2026-02-16</t>
        </is>
      </c>
      <c r="C197" t="inlineStr">
        <is>
          <t>СОШИЧНЕНСЬКА СІЛЬСЬКА РАДА</t>
        </is>
      </c>
      <c r="D197" t="inlineStr">
        <is>
          <t>Волинська область</t>
        </is>
      </c>
      <c r="E197" s="5" t="n">
        <v>268218</v>
      </c>
      <c r="F197" s="13" t="n">
        <v>270000</v>
      </c>
      <c r="G197" t="inlineStr">
        <is>
          <t>Відкриті торги (нові)</t>
        </is>
      </c>
      <c r="H197" t="inlineStr">
        <is>
          <t>Комп’ютерне обладнання</t>
        </is>
      </c>
      <c r="I197" t="inlineStr">
        <is>
          <t>договір</t>
        </is>
      </c>
    </row>
    <row r="198">
      <c r="A198" s="4" t="inlineStr">
        <is>
          <t>UA-2025-11-28-014373-a</t>
        </is>
      </c>
      <c r="B198" t="inlineStr">
        <is>
          <t>2025-12-18</t>
        </is>
      </c>
      <c r="C198" t="inlineStr">
        <is>
          <t>Нововолинський електромеханічний фаховий коледж</t>
        </is>
      </c>
      <c r="D198" t="inlineStr">
        <is>
          <t>Волинська область</t>
        </is>
      </c>
      <c r="E198" s="5" t="n">
        <v>196998</v>
      </c>
      <c r="F198" s="13" t="n">
        <v>198000</v>
      </c>
      <c r="G198" t="inlineStr">
        <is>
          <t>Відкриті торги (нові)</t>
        </is>
      </c>
      <c r="H198" t="inlineStr">
        <is>
          <t>Машини для обробки даних (апаратна частина)</t>
        </is>
      </c>
      <c r="I198" t="inlineStr">
        <is>
          <t>договір</t>
        </is>
      </c>
    </row>
    <row r="199">
      <c r="A199" s="4" t="inlineStr">
        <is>
          <t>UA-2025-09-30-005210-a</t>
        </is>
      </c>
      <c r="B199" t="inlineStr">
        <is>
          <t>2025-10-15</t>
        </is>
      </c>
      <c r="C199" t="inlineStr">
        <is>
          <t>ВОЛИНСЬКА ОБЛАСНА ПРОКУРАТУРА</t>
        </is>
      </c>
      <c r="D199" t="inlineStr">
        <is>
          <t>Волинська область</t>
        </is>
      </c>
      <c r="E199" s="5" t="n">
        <v>162288</v>
      </c>
      <c r="F199" s="13" t="n">
        <v>164520</v>
      </c>
      <c r="G199" t="inlineStr">
        <is>
          <t>Запит пропозицій</t>
        </is>
      </c>
      <c r="H199" t="inlineStr">
        <is>
          <t>Машини для обробки даних (апаратна частина)</t>
        </is>
      </c>
      <c r="I199" t="inlineStr">
        <is>
          <t>договір</t>
        </is>
      </c>
    </row>
    <row r="200">
      <c r="A200" s="4" t="inlineStr">
        <is>
          <t>UA-2025-09-30-000353-a</t>
        </is>
      </c>
      <c r="B200" t="inlineStr">
        <is>
          <t>2025-10-22</t>
        </is>
      </c>
      <c r="C200" t="inlineStr">
        <is>
          <t>КП "Медичне об'єднання Луцької міської територіальної громади"</t>
        </is>
      </c>
      <c r="D200" t="inlineStr">
        <is>
          <t>Волинська область</t>
        </is>
      </c>
      <c r="E200" s="5" t="n">
        <v>122304</v>
      </c>
      <c r="F200" s="13" t="n">
        <v>130000</v>
      </c>
      <c r="G200" t="inlineStr">
        <is>
          <t>Відкриті торги (нові)</t>
        </is>
      </c>
      <c r="H200" t="inlineStr">
        <is>
          <t>Машини для обробки даних (апаратна частина)</t>
        </is>
      </c>
      <c r="I200" t="inlineStr">
        <is>
          <t>договір</t>
        </is>
      </c>
    </row>
    <row r="201">
      <c r="A201" s="4" t="inlineStr">
        <is>
          <t>UA-2025-09-17-012561-a</t>
        </is>
      </c>
      <c r="B201" t="inlineStr">
        <is>
          <t>2025-10-08</t>
        </is>
      </c>
      <c r="C201" t="inlineStr">
        <is>
          <t>КП "Медичне об'єднання Луцької міської територіальної громади"</t>
        </is>
      </c>
      <c r="D201" t="inlineStr">
        <is>
          <t>Волинська область</t>
        </is>
      </c>
      <c r="E201" s="5" t="n">
        <v>112320</v>
      </c>
      <c r="F201" s="13" t="n">
        <v>120000</v>
      </c>
      <c r="G201" t="inlineStr">
        <is>
          <t>Відкриті торги (нові)</t>
        </is>
      </c>
      <c r="H201" t="inlineStr">
        <is>
          <t>Машини для обробки даних (апаратна частина)</t>
        </is>
      </c>
      <c r="I201" t="inlineStr">
        <is>
          <t>договір</t>
        </is>
      </c>
    </row>
    <row r="202">
      <c r="A202" s="4" t="inlineStr">
        <is>
          <t>UA-2026-03-16-004487-a</t>
        </is>
      </c>
      <c r="B202" t="inlineStr">
        <is>
          <t>2026-03-25</t>
        </is>
      </c>
      <c r="C202" t="inlineStr">
        <is>
          <t>ДЕПАРТАМЕНТ З ПИТАНЬ ВЕТЕРАНСЬКОЇ ПОЛІТИКИ ЛУЦЬКОЇ МІСЬКОЇ РАДИ</t>
        </is>
      </c>
      <c r="D202" t="inlineStr">
        <is>
          <t>Волинська область</t>
        </is>
      </c>
      <c r="E202" s="5" t="n">
        <v>103920</v>
      </c>
      <c r="F202" s="13" t="n">
        <v>108104</v>
      </c>
      <c r="G202" t="inlineStr">
        <is>
          <t>Запит пропозицій</t>
        </is>
      </c>
      <c r="H202" t="inlineStr">
        <is>
          <t>Машини для обробки даних (апаратна частина)</t>
        </is>
      </c>
      <c r="I202" t="inlineStr">
        <is>
          <t>договір</t>
        </is>
      </c>
    </row>
    <row r="203">
      <c r="A203" s="4" t="inlineStr">
        <is>
          <t>UA-2025-12-02-019436-a</t>
        </is>
      </c>
      <c r="B203" t="inlineStr">
        <is>
          <t>2025-12-22</t>
        </is>
      </c>
      <c r="C203" t="inlineStr">
        <is>
          <t>УПРАВЛІННЯ ГУМАНІТАРНОЇ ПОЛІТИКИ РАТНІВСЬКОЇ СЕЛИЩНОЇ РАДИ</t>
        </is>
      </c>
      <c r="D203" t="inlineStr">
        <is>
          <t>Волинська область</t>
        </is>
      </c>
      <c r="E203" s="5" t="n">
        <v>99000</v>
      </c>
      <c r="F203" s="13" t="n">
        <v>135000</v>
      </c>
      <c r="G203" t="inlineStr">
        <is>
          <t>Відкриті торги (нові)</t>
        </is>
      </c>
      <c r="H203" t="inlineStr">
        <is>
          <t>Комп’ютерне обладнання</t>
        </is>
      </c>
      <c r="I203" t="inlineStr">
        <is>
          <t>договір</t>
        </is>
      </c>
    </row>
    <row r="204">
      <c r="A204" s="4" t="inlineStr">
        <is>
          <t>UA-2025-09-25-014419-a</t>
        </is>
      </c>
      <c r="B204" t="inlineStr">
        <is>
          <t>2025-10-03</t>
        </is>
      </c>
      <c r="C204" t="inlineStr">
        <is>
          <t>ВОЛИНСЬКА ОБЛАСНА ПРОКУРАТУРА</t>
        </is>
      </c>
      <c r="D204" t="inlineStr">
        <is>
          <t>Волинська область</t>
        </is>
      </c>
      <c r="E204" s="5" t="n">
        <v>73836</v>
      </c>
      <c r="F204" s="13" t="n">
        <v>77472</v>
      </c>
      <c r="G204" t="inlineStr">
        <is>
          <t>Запит пропозицій</t>
        </is>
      </c>
      <c r="H204" t="inlineStr">
        <is>
          <t>Комп’ютерне обладнання</t>
        </is>
      </c>
      <c r="I204" t="inlineStr">
        <is>
          <t>договір</t>
        </is>
      </c>
    </row>
    <row r="205">
      <c r="A205" s="4" t="inlineStr">
        <is>
          <t>UA-2026-04-21-000257-a</t>
        </is>
      </c>
      <c r="B205" t="inlineStr">
        <is>
          <t>2026-04-21</t>
        </is>
      </c>
      <c r="C205" t="inlineStr">
        <is>
          <t>СОШИЧНЕНСЬКА СІЛЬСЬКА РАДА</t>
        </is>
      </c>
      <c r="D205" t="inlineStr">
        <is>
          <t>Волинська область</t>
        </is>
      </c>
      <c r="E205" s="5" t="n">
        <v>36435</v>
      </c>
      <c r="F205" s="13" t="n">
        <v>36435</v>
      </c>
      <c r="G205" t="inlineStr">
        <is>
          <t>Звіт про договір</t>
        </is>
      </c>
      <c r="H205" t="inlineStr">
        <is>
          <t>Комп’ютерне обладнання</t>
        </is>
      </c>
      <c r="I205" t="inlineStr">
        <is>
          <t>договір</t>
        </is>
      </c>
    </row>
    <row r="207">
      <c r="A207" s="2" t="inlineStr">
        <is>
          <t>Наші зустрічі</t>
        </is>
      </c>
    </row>
    <row r="208">
      <c r="A208" s="11" t="inlineStr">
        <is>
          <t>Закупівля</t>
        </is>
      </c>
      <c r="B208" s="11" t="inlineStr">
        <is>
          <t>Дата</t>
        </is>
      </c>
      <c r="C208" s="11" t="inlineStr">
        <is>
          <t>Замовник</t>
        </is>
      </c>
      <c r="D208" s="11" t="inlineStr">
        <is>
          <t>Предмет</t>
        </is>
      </c>
      <c r="E208" s="11" t="inlineStr">
        <is>
          <t>Сума переможця, грн</t>
        </is>
      </c>
      <c r="F208" s="11" t="inlineStr">
        <is>
          <t>Наша пропозиція, грн</t>
        </is>
      </c>
      <c r="G208" s="11" t="inlineStr">
        <is>
          <t>Розрив</t>
        </is>
      </c>
      <c r="H208" s="11" t="inlineStr">
        <is>
          <t>Що сталося</t>
        </is>
      </c>
    </row>
    <row r="209">
      <c r="A209" s="4" t="inlineStr">
        <is>
          <t>UA-2025-10-20-016348-a</t>
        </is>
      </c>
      <c r="B209" t="inlineStr">
        <is>
          <t>2025-10-20</t>
        </is>
      </c>
      <c r="C209" t="inlineStr">
        <is>
          <t>Нововолинський електромеханічний фаховий коледж</t>
        </is>
      </c>
      <c r="D209" t="inlineStr">
        <is>
          <t>Машини для обробки даних (апаратна частина) (Персональний комп’ютер)</t>
        </is>
      </c>
      <c r="E209" s="5" t="n">
        <v>363804</v>
      </c>
      <c r="H209" t="inlineStr">
        <is>
          <t>ми не подавалися</t>
        </is>
      </c>
    </row>
    <row r="210">
      <c r="A210" s="4" t="inlineStr">
        <is>
          <t>UA-2026-02-05-014724-a</t>
        </is>
      </c>
      <c r="B210" t="inlineStr">
        <is>
          <t>2026-02-05</t>
        </is>
      </c>
      <c r="C210" t="inlineStr">
        <is>
          <t>ДКП "Луцьктепло"</t>
        </is>
      </c>
      <c r="D210" t="inlineStr">
        <is>
          <t>Неттопи; ноутбуки</t>
        </is>
      </c>
      <c r="E210" s="5" t="n">
        <v>343050</v>
      </c>
      <c r="H210" t="inlineStr">
        <is>
          <t>ми не подавалися</t>
        </is>
      </c>
    </row>
    <row r="211">
      <c r="A211" s="4" t="inlineStr">
        <is>
          <t>UA-2026-01-26-001069-a</t>
        </is>
      </c>
      <c r="B211" t="inlineStr">
        <is>
          <t>2026-01-26</t>
        </is>
      </c>
      <c r="C211" t="inlineStr">
        <is>
          <t>СОШИЧНЕНСЬКА СІЛЬСЬКА РАДА</t>
        </is>
      </c>
      <c r="D211" t="inlineStr">
        <is>
          <t>Машини для обробки даних (моноблоки)</t>
        </is>
      </c>
      <c r="E211" s="5" t="n">
        <v>272307</v>
      </c>
      <c r="H211" t="inlineStr">
        <is>
          <t>ми не подавалися</t>
        </is>
      </c>
    </row>
    <row r="212">
      <c r="A212" s="4" t="inlineStr">
        <is>
          <t>UA-2026-01-26-017005-a</t>
        </is>
      </c>
      <c r="B212" t="inlineStr">
        <is>
          <t>2026-01-26</t>
        </is>
      </c>
      <c r="C212" t="inlineStr">
        <is>
          <t>СОШИЧНЕНСЬКА СІЛЬСЬКА РАДА</t>
        </is>
      </c>
      <c r="D212" t="inlineStr">
        <is>
          <t>Багатофункціональні пристрої, Джерела безперебійного живлення</t>
        </is>
      </c>
      <c r="E212" s="5" t="n">
        <v>268218</v>
      </c>
      <c r="H212" t="inlineStr">
        <is>
          <t>ми не подавалися</t>
        </is>
      </c>
    </row>
    <row r="213">
      <c r="A213" s="4" t="inlineStr">
        <is>
          <t>UA-2025-11-28-014373-a</t>
        </is>
      </c>
      <c r="B213" t="inlineStr">
        <is>
          <t>2025-11-28</t>
        </is>
      </c>
      <c r="C213" t="inlineStr">
        <is>
          <t>Нововолинський електромеханічний фаховий коледж</t>
        </is>
      </c>
      <c r="D213" t="inlineStr">
        <is>
          <t>Машини для обробки даних (апаратна частина) (Персональний комп’ютер)</t>
        </is>
      </c>
      <c r="E213" s="5" t="n">
        <v>196998</v>
      </c>
      <c r="H213" t="inlineStr">
        <is>
          <t>ми не подавалися</t>
        </is>
      </c>
    </row>
    <row r="214">
      <c r="A214" s="4" t="inlineStr">
        <is>
          <t>UA-2025-09-30-005210-a</t>
        </is>
      </c>
      <c r="B214" t="inlineStr">
        <is>
          <t>2025-09-30</t>
        </is>
      </c>
      <c r="C214" t="inlineStr">
        <is>
          <t>ВОЛИНСЬКА ОБЛАСНА ПРОКУРАТУРА</t>
        </is>
      </c>
      <c r="D214" t="inlineStr">
        <is>
          <t>Системні блоки за кодом ДК 021:2015-30210000-4 - Машини для обробки даних (апара</t>
        </is>
      </c>
      <c r="E214" s="5" t="n">
        <v>162288</v>
      </c>
      <c r="H214" t="inlineStr">
        <is>
          <t>ми не подавалися</t>
        </is>
      </c>
    </row>
    <row r="215">
      <c r="A215" s="4" t="inlineStr">
        <is>
          <t>UA-2025-09-30-000353-a</t>
        </is>
      </c>
      <c r="B215" t="inlineStr">
        <is>
          <t>2025-09-30</t>
        </is>
      </c>
      <c r="C215" t="inlineStr">
        <is>
          <t>КП "Медичне об'єднання Луцької міської територіальної громади"</t>
        </is>
      </c>
      <c r="D215" t="inlineStr">
        <is>
          <t>код ДК021:2015 - 30210000-4: Машини для обробки даних (апаратна частина)</t>
        </is>
      </c>
      <c r="E215" s="5" t="n">
        <v>122304</v>
      </c>
      <c r="H215" t="inlineStr">
        <is>
          <t>ми не подавалися</t>
        </is>
      </c>
    </row>
    <row r="216">
      <c r="A216" s="4" t="inlineStr">
        <is>
          <t>UA-2025-09-17-012561-a</t>
        </is>
      </c>
      <c r="B216" t="inlineStr">
        <is>
          <t>2025-09-17</t>
        </is>
      </c>
      <c r="C216" t="inlineStr">
        <is>
          <t>КП "Медичне об'єднання Луцької міської територіальної громади"</t>
        </is>
      </c>
      <c r="D216" t="inlineStr">
        <is>
          <t>код ДК021:2015 - 30210000-4: Машини для обробки даних (апаратна частина)</t>
        </is>
      </c>
      <c r="E216" s="5" t="n">
        <v>112320</v>
      </c>
      <c r="H216" t="inlineStr">
        <is>
          <t>ми не подавалися</t>
        </is>
      </c>
    </row>
    <row r="217">
      <c r="A217" s="4" t="inlineStr">
        <is>
          <t>UA-2026-03-16-004487-a</t>
        </is>
      </c>
      <c r="B217" t="inlineStr">
        <is>
          <t>2026-03-16</t>
        </is>
      </c>
      <c r="C217" t="inlineStr">
        <is>
          <t>ДЕПАРТАМЕНТ З ПИТАНЬ ВЕТЕРАНСЬКОЇ ПОЛІТИКИ ЛУЦЬКОЇ МІСЬКОЇ РАДИ</t>
        </is>
      </c>
      <c r="D217" t="inlineStr">
        <is>
          <t>Моноблок HP ProOne 240 G10</t>
        </is>
      </c>
      <c r="E217" s="5" t="n">
        <v>103920</v>
      </c>
      <c r="H217" t="inlineStr">
        <is>
          <t>ми не подавалися</t>
        </is>
      </c>
    </row>
    <row r="218">
      <c r="A218" s="4" t="inlineStr">
        <is>
          <t>UA-2025-12-02-019436-a</t>
        </is>
      </c>
      <c r="B218" t="inlineStr">
        <is>
          <t>2025-12-02</t>
        </is>
      </c>
      <c r="C218" t="inlineStr">
        <is>
          <t>УПРАВЛІННЯ ГУМАНІТАРНОЇ ПОЛІТИКИ РАТНІВСЬКОЇ СЕЛИЩНОЇ РАДИ</t>
        </is>
      </c>
      <c r="D218" t="inlineStr">
        <is>
          <t>Монітори, системні блоки (ДК 021:2015: 30230000-0 Комп’ютерне обладнання )</t>
        </is>
      </c>
      <c r="E218" s="5" t="n">
        <v>99000</v>
      </c>
      <c r="H218" t="inlineStr">
        <is>
          <t>ми не подавалися</t>
        </is>
      </c>
    </row>
    <row r="219">
      <c r="A219" s="4" t="inlineStr">
        <is>
          <t>UA-2025-09-25-014419-a</t>
        </is>
      </c>
      <c r="B219" t="inlineStr">
        <is>
          <t>2025-09-25</t>
        </is>
      </c>
      <c r="C219" t="inlineStr">
        <is>
          <t>ВОЛИНСЬКА ОБЛАСНА ПРОКУРАТУРА</t>
        </is>
      </c>
      <c r="D219" t="inlineStr">
        <is>
          <t>Периферійне обладнання до комп’ютерної техніки (монітори, клавіатура та мишка) з</t>
        </is>
      </c>
      <c r="E219" s="5" t="n">
        <v>73836</v>
      </c>
      <c r="H219" t="inlineStr">
        <is>
          <t>ми не подавалися</t>
        </is>
      </c>
    </row>
    <row r="220">
      <c r="A220" s="4" t="inlineStr">
        <is>
          <t>UA-2026-04-21-000257-a</t>
        </is>
      </c>
      <c r="B220" t="inlineStr">
        <is>
          <t>2026-04-21</t>
        </is>
      </c>
      <c r="C220" t="inlineStr">
        <is>
          <t>СОШИЧНЕНСЬКА СІЛЬСЬКА РАДА</t>
        </is>
      </c>
      <c r="D220" t="inlineStr">
        <is>
          <t>Багатофункціональний пристрій струменевий А4 кольоровий, багатофункціональний пр</t>
        </is>
      </c>
      <c r="E220" s="5" t="n">
        <v>36435</v>
      </c>
      <c r="H220" t="inlineStr">
        <is>
          <t>ми не подавалися</t>
        </is>
      </c>
    </row>
    <row r="222">
      <c r="A222" s="8" t="inlineStr">
        <is>
          <t>Сильні сторони</t>
        </is>
      </c>
    </row>
    <row r="223">
      <c r="A223" t="inlineStr">
        <is>
          <t>+  портфель дистрибуції: 6 ТМ</t>
        </is>
      </c>
    </row>
    <row r="224">
      <c r="A224" t="inlineStr">
        <is>
          <t>+  наявність сертифікатів (14 файлів)</t>
        </is>
      </c>
    </row>
    <row r="225">
      <c r="A225" t="inlineStr">
        <is>
          <t>+  авторизація виробника (21 листів)</t>
        </is>
      </c>
    </row>
    <row r="226">
      <c r="A226" t="inlineStr">
        <is>
          <t>+  стабільна база замовників (41,7% повторних)</t>
        </is>
      </c>
    </row>
    <row r="227">
      <c r="A227" t="inlineStr">
        <is>
          <t>+  уміє вигравати у відкритих торгах</t>
        </is>
      </c>
    </row>
    <row r="228">
      <c r="A228" t="inlineStr">
        <is>
          <t>+  працює з великими контрактами</t>
        </is>
      </c>
    </row>
    <row r="230">
      <c r="A230" s="8" t="inlineStr">
        <is>
          <t>Слабкі сторони</t>
        </is>
      </c>
    </row>
    <row r="231">
      <c r="A231" t="inlineStr">
        <is>
          <t>−  слабка цінова позиція: дисконт 2,6% проти 8,3% по ринку</t>
        </is>
      </c>
    </row>
    <row r="232">
      <c r="A232" t="inlineStr">
        <is>
          <t>−  низька результативність на торгах (23,9%)</t>
        </is>
      </c>
    </row>
  </sheetData>
  <hyperlinks>
    <hyperlink xmlns:r="http://schemas.openxmlformats.org/officeDocument/2006/relationships" ref="A180" r:id="rId1"/>
    <hyperlink xmlns:r="http://schemas.openxmlformats.org/officeDocument/2006/relationships" ref="A181" r:id="rId2"/>
    <hyperlink xmlns:r="http://schemas.openxmlformats.org/officeDocument/2006/relationships" ref="A182" r:id="rId3"/>
    <hyperlink xmlns:r="http://schemas.openxmlformats.org/officeDocument/2006/relationships" ref="A183" r:id="rId4"/>
    <hyperlink xmlns:r="http://schemas.openxmlformats.org/officeDocument/2006/relationships" ref="A184" r:id="rId5"/>
    <hyperlink xmlns:r="http://schemas.openxmlformats.org/officeDocument/2006/relationships" ref="A185" r:id="rId6"/>
    <hyperlink xmlns:r="http://schemas.openxmlformats.org/officeDocument/2006/relationships" ref="A186" r:id="rId7"/>
    <hyperlink xmlns:r="http://schemas.openxmlformats.org/officeDocument/2006/relationships" ref="A187" r:id="rId8"/>
    <hyperlink xmlns:r="http://schemas.openxmlformats.org/officeDocument/2006/relationships" ref="A188" r:id="rId9"/>
    <hyperlink xmlns:r="http://schemas.openxmlformats.org/officeDocument/2006/relationships" ref="A189" r:id="rId10"/>
    <hyperlink xmlns:r="http://schemas.openxmlformats.org/officeDocument/2006/relationships" ref="A190" r:id="rId11"/>
    <hyperlink xmlns:r="http://schemas.openxmlformats.org/officeDocument/2006/relationships" ref="A194" r:id="rId12"/>
    <hyperlink xmlns:r="http://schemas.openxmlformats.org/officeDocument/2006/relationships" ref="A195" r:id="rId13"/>
    <hyperlink xmlns:r="http://schemas.openxmlformats.org/officeDocument/2006/relationships" ref="A196" r:id="rId14"/>
    <hyperlink xmlns:r="http://schemas.openxmlformats.org/officeDocument/2006/relationships" ref="A197" r:id="rId15"/>
    <hyperlink xmlns:r="http://schemas.openxmlformats.org/officeDocument/2006/relationships" ref="A198" r:id="rId16"/>
    <hyperlink xmlns:r="http://schemas.openxmlformats.org/officeDocument/2006/relationships" ref="A199" r:id="rId17"/>
    <hyperlink xmlns:r="http://schemas.openxmlformats.org/officeDocument/2006/relationships" ref="A200" r:id="rId18"/>
    <hyperlink xmlns:r="http://schemas.openxmlformats.org/officeDocument/2006/relationships" ref="A201" r:id="rId19"/>
    <hyperlink xmlns:r="http://schemas.openxmlformats.org/officeDocument/2006/relationships" ref="A202" r:id="rId20"/>
    <hyperlink xmlns:r="http://schemas.openxmlformats.org/officeDocument/2006/relationships" ref="A203" r:id="rId21"/>
    <hyperlink xmlns:r="http://schemas.openxmlformats.org/officeDocument/2006/relationships" ref="A204" r:id="rId22"/>
    <hyperlink xmlns:r="http://schemas.openxmlformats.org/officeDocument/2006/relationships" ref="A205" r:id="rId23"/>
    <hyperlink xmlns:r="http://schemas.openxmlformats.org/officeDocument/2006/relationships" ref="A209" r:id="rId24"/>
    <hyperlink xmlns:r="http://schemas.openxmlformats.org/officeDocument/2006/relationships" ref="A210" r:id="rId25"/>
    <hyperlink xmlns:r="http://schemas.openxmlformats.org/officeDocument/2006/relationships" ref="A211" r:id="rId26"/>
    <hyperlink xmlns:r="http://schemas.openxmlformats.org/officeDocument/2006/relationships" ref="A212" r:id="rId27"/>
    <hyperlink xmlns:r="http://schemas.openxmlformats.org/officeDocument/2006/relationships" ref="A213" r:id="rId28"/>
    <hyperlink xmlns:r="http://schemas.openxmlformats.org/officeDocument/2006/relationships" ref="A214" r:id="rId29"/>
    <hyperlink xmlns:r="http://schemas.openxmlformats.org/officeDocument/2006/relationships" ref="A215" r:id="rId30"/>
    <hyperlink xmlns:r="http://schemas.openxmlformats.org/officeDocument/2006/relationships" ref="A216" r:id="rId31"/>
    <hyperlink xmlns:r="http://schemas.openxmlformats.org/officeDocument/2006/relationships" ref="A217" r:id="rId32"/>
    <hyperlink xmlns:r="http://schemas.openxmlformats.org/officeDocument/2006/relationships" ref="A218" r:id="rId33"/>
    <hyperlink xmlns:r="http://schemas.openxmlformats.org/officeDocument/2006/relationships" ref="A219" r:id="rId34"/>
    <hyperlink xmlns:r="http://schemas.openxmlformats.org/officeDocument/2006/relationships" ref="A220" r:id="rId35"/>
  </hyperlinks>
  <pageMargins left="0.75" right="0.75" top="1" bottom="1" header="0.5" footer="0.5"/>
  <drawing xmlns:r="http://schemas.openxmlformats.org/officeDocument/2006/relationships" r:id="rId36"/>
  <tableParts count="6">
    <tablePart xmlns:r="http://schemas.openxmlformats.org/officeDocument/2006/relationships" r:id="rId37"/>
    <tablePart xmlns:r="http://schemas.openxmlformats.org/officeDocument/2006/relationships" r:id="rId38"/>
    <tablePart xmlns:r="http://schemas.openxmlformats.org/officeDocument/2006/relationships" r:id="rId39"/>
    <tablePart xmlns:r="http://schemas.openxmlformats.org/officeDocument/2006/relationships" r:id="rId40"/>
    <tablePart xmlns:r="http://schemas.openxmlformats.org/officeDocument/2006/relationships" r:id="rId41"/>
    <tablePart xmlns:r="http://schemas.openxmlformats.org/officeDocument/2006/relationships" r:id="rId42"/>
  </tableParts>
</worksheet>
</file>

<file path=xl/worksheets/sheet26.xml><?xml version="1.0" encoding="utf-8"?>
<worksheet xmlns="http://schemas.openxmlformats.org/spreadsheetml/2006/main">
  <sheetPr>
    <outlinePr summaryBelow="1" summaryRight="1"/>
    <pageSetUpPr/>
  </sheetPr>
  <dimension ref="A1:I239"/>
  <sheetViews>
    <sheetView showGridLines="0" workbookViewId="0">
      <selection activeCell="A1" sqref="A1"/>
    </sheetView>
  </sheetViews>
  <sheetFormatPr baseColWidth="8" defaultRowHeight="15"/>
  <cols>
    <col width="42" customWidth="1" min="1" max="1"/>
    <col width="37" customWidth="1" min="2" max="2"/>
    <col width="60" customWidth="1" min="3" max="3"/>
    <col width="60" customWidth="1" min="4" max="4"/>
    <col width="29" customWidth="1" min="5" max="5"/>
    <col width="60" customWidth="1" min="6" max="6"/>
    <col width="23" customWidth="1" min="7" max="7"/>
    <col width="45" customWidth="1" min="8" max="8"/>
    <col width="23" customWidth="1" min="9" max="9"/>
  </cols>
  <sheetData>
    <row r="1">
      <c r="A1" s="1" t="inlineStr">
        <is>
          <t>ТОВ "КОРВЕТ"</t>
        </is>
      </c>
    </row>
    <row r="2">
      <c r="A2" s="6" t="inlineStr">
        <is>
          <t>ЄДРПОУ 21337459  ·  конкурент  ·  місце №13</t>
        </is>
      </c>
    </row>
    <row r="4">
      <c r="A4" s="7" t="inlineStr">
        <is>
          <t>ТОВ "КОРВЕТ" (21337459)</t>
        </is>
      </c>
    </row>
    <row r="6">
      <c r="A6" s="8" t="inlineStr">
        <is>
          <t>Показники</t>
        </is>
      </c>
    </row>
    <row r="7">
      <c r="A7" s="9" t="inlineStr">
        <is>
          <t>Місце на ринку</t>
        </is>
      </c>
      <c r="B7" s="10" t="inlineStr">
        <is>
          <t>№13</t>
        </is>
      </c>
    </row>
    <row r="8">
      <c r="A8" s="9" t="inlineStr">
        <is>
          <t>Сума угод</t>
        </is>
      </c>
      <c r="B8" s="10" t="inlineStr">
        <is>
          <t>2,1 млн грн</t>
        </is>
      </c>
    </row>
    <row r="9">
      <c r="A9" s="9" t="inlineStr">
        <is>
          <t>Частка ринку</t>
        </is>
      </c>
      <c r="B9" s="10" t="inlineStr">
        <is>
          <t>1,7%</t>
        </is>
      </c>
    </row>
    <row r="10">
      <c r="A10" s="9" t="inlineStr">
        <is>
          <t>Угод</t>
        </is>
      </c>
      <c r="B10" s="10" t="inlineStr">
        <is>
          <t>20</t>
        </is>
      </c>
    </row>
    <row r="11">
      <c r="A11" s="9" t="inlineStr">
        <is>
          <t>Закупівель виграно</t>
        </is>
      </c>
      <c r="B11" s="10" t="inlineStr">
        <is>
          <t>20</t>
        </is>
      </c>
    </row>
    <row r="12">
      <c r="A12" s="9" t="inlineStr">
        <is>
          <t>Подань (де видно)</t>
        </is>
      </c>
      <c r="B12" s="10" t="inlineStr">
        <is>
          <t>85</t>
        </is>
      </c>
    </row>
    <row r="13">
      <c r="A13" s="9" t="inlineStr">
        <is>
          <t>Виграно з поданих</t>
        </is>
      </c>
      <c r="B13" s="10" t="inlineStr">
        <is>
          <t>17 з 85</t>
        </is>
      </c>
    </row>
    <row r="14">
      <c r="A14" s="9" t="inlineStr">
        <is>
          <t>Результативність</t>
        </is>
      </c>
      <c r="B14" s="10" t="inlineStr">
        <is>
          <t>20,0%</t>
        </is>
      </c>
    </row>
    <row r="15">
      <c r="A15" s="9" t="inlineStr">
        <is>
          <t>Середня угода</t>
        </is>
      </c>
      <c r="B15" s="10" t="inlineStr">
        <is>
          <t>103,0 тис. грн</t>
        </is>
      </c>
    </row>
    <row r="16">
      <c r="A16" s="9" t="inlineStr">
        <is>
          <t>Медіанна угода</t>
        </is>
      </c>
      <c r="B16" s="10" t="inlineStr">
        <is>
          <t>32,2 тис. грн</t>
        </is>
      </c>
    </row>
    <row r="17">
      <c r="A17" s="9" t="inlineStr">
        <is>
          <t>Замовників</t>
        </is>
      </c>
      <c r="B17" s="10" t="inlineStr">
        <is>
          <t>12</t>
        </is>
      </c>
    </row>
    <row r="18">
      <c r="A18" s="9" t="inlineStr">
        <is>
          <t>Областей</t>
        </is>
      </c>
      <c r="B18" s="10" t="inlineStr">
        <is>
          <t>1</t>
        </is>
      </c>
    </row>
    <row r="19">
      <c r="A19" s="9" t="inlineStr">
        <is>
          <t>Основна ТМ</t>
        </is>
      </c>
      <c r="B19" s="10" t="inlineStr">
        <is>
          <t>GOODRAM</t>
        </is>
      </c>
    </row>
    <row r="20">
      <c r="A20" s="9" t="inlineStr">
        <is>
          <t>Основний товар</t>
        </is>
      </c>
      <c r="B20" s="10" t="inlineStr">
        <is>
          <t>Багатофункціональний пристрій (БФП)</t>
        </is>
      </c>
    </row>
    <row r="21">
      <c r="A21" s="9" t="inlineStr">
        <is>
          <t>Дисконт (медіана)</t>
        </is>
      </c>
      <c r="B21" s="10" t="inlineStr">
        <is>
          <t>1,0%</t>
        </is>
      </c>
    </row>
    <row r="22">
      <c r="A22" s="9" t="inlineStr">
        <is>
          <t>Повторні замовники</t>
        </is>
      </c>
      <c r="B22" s="10" t="inlineStr">
        <is>
          <t>40,0%</t>
        </is>
      </c>
    </row>
    <row r="23">
      <c r="A23" s="9" t="inlineStr">
        <is>
          <t>Активність</t>
        </is>
      </c>
      <c r="B23" s="10" t="inlineStr">
        <is>
          <t>2025-09-18 — 2026-09-02</t>
        </is>
      </c>
    </row>
    <row r="24">
      <c r="A24" s="9" t="inlineStr">
        <is>
          <t>Зірвано перемог</t>
        </is>
      </c>
      <c r="B24" s="10" t="inlineStr">
        <is>
          <t>1 на 10,2 тис. грн</t>
        </is>
      </c>
    </row>
    <row r="25">
      <c r="A25" s="9" t="inlineStr">
        <is>
          <t>Причина зривів</t>
        </is>
      </c>
      <c r="B25" s="10" t="inlineStr">
        <is>
          <t>Не підписав договір у строк</t>
        </is>
      </c>
    </row>
    <row r="27">
      <c r="A27" s="8" t="inlineStr">
        <is>
          <t>Висновки</t>
        </is>
      </c>
    </row>
    <row r="28">
      <c r="A28" t="inlineStr">
        <is>
          <t>•  13-е місце на ринку: 2,1 млн грн (1,7% обороту)</t>
        </is>
      </c>
    </row>
    <row r="29">
      <c r="A29" t="inlineStr">
        <is>
          <t>•  Основний товар: багатофункціональний пристрій (бфп)</t>
        </is>
      </c>
    </row>
    <row r="30">
      <c r="A30" t="inlineStr">
        <is>
          <t>•  Помічена ТМ: GOODRAM (замало позицій для висновку)</t>
        </is>
      </c>
    </row>
    <row r="31">
      <c r="A31" t="inlineStr">
        <is>
          <t>•  Грає у відкритих процедурах: лише 15,0% угод без торгів</t>
        </is>
      </c>
    </row>
    <row r="32">
      <c r="A32" t="inlineStr">
        <is>
          <t>•  Тримає ціну: дисконт 1,0% проти 8,3% по ринку</t>
        </is>
      </c>
    </row>
    <row r="33">
      <c r="A33" t="inlineStr">
        <is>
          <t>•  Географічно сфокусований: Волинська область (100,0% угод)</t>
        </is>
      </c>
    </row>
    <row r="34">
      <c r="A34" t="inlineStr">
        <is>
          <t>•  Тримається постійних замовників: 40,0% угод — повторні</t>
        </is>
      </c>
    </row>
    <row r="35">
      <c r="A35" t="inlineStr">
        <is>
          <t>•  Результативність на торгах: 20,0% (17 з 85)</t>
        </is>
      </c>
    </row>
    <row r="36">
      <c r="A36" t="inlineStr">
        <is>
          <t>•  Динаміка: спадає (-81% у другій половині періоду)</t>
        </is>
      </c>
    </row>
    <row r="37">
      <c r="A37" t="inlineStr">
        <is>
          <t>•  У поданих файлах — сертифікатів: 23, авторизаційних листів: 47</t>
        </is>
      </c>
    </row>
    <row r="38">
      <c r="A38" t="inlineStr">
        <is>
          <t>•  Зірваних перемог: 1 на 10,2 тис. грн, найчастіше — не підписав договір у строк</t>
        </is>
      </c>
    </row>
    <row r="40">
      <c r="A40" s="8" t="inlineStr">
        <is>
          <t>Графіки</t>
        </is>
      </c>
    </row>
    <row r="42">
      <c r="A42" s="2" t="inlineStr">
        <is>
          <t>Динаміка по місяцях</t>
        </is>
      </c>
    </row>
    <row r="43">
      <c r="A43" s="3" t="inlineStr">
        <is>
          <t>Період</t>
        </is>
      </c>
      <c r="B43" s="3" t="inlineStr">
        <is>
          <t>Сума угод, грн</t>
        </is>
      </c>
    </row>
    <row r="44">
      <c r="A44" t="inlineStr">
        <is>
          <t>2025-09</t>
        </is>
      </c>
      <c r="B44" s="5" t="n">
        <v>4537.92</v>
      </c>
    </row>
    <row r="45">
      <c r="A45" t="inlineStr">
        <is>
          <t>2025-11</t>
        </is>
      </c>
      <c r="B45" s="5" t="n">
        <v>54356.39999999999</v>
      </c>
    </row>
    <row r="46">
      <c r="A46" t="inlineStr">
        <is>
          <t>2025-12</t>
        </is>
      </c>
      <c r="B46" s="5" t="n">
        <v>1663188.48</v>
      </c>
    </row>
    <row r="47">
      <c r="A47" t="inlineStr">
        <is>
          <t>2026-03</t>
        </is>
      </c>
      <c r="B47" s="5" t="n">
        <v>127.5</v>
      </c>
    </row>
    <row r="48">
      <c r="A48" t="inlineStr">
        <is>
          <t>2026-05</t>
        </is>
      </c>
      <c r="B48" s="5" t="n">
        <v>12068.94</v>
      </c>
    </row>
    <row r="49">
      <c r="A49" t="inlineStr">
        <is>
          <t>2026-06</t>
        </is>
      </c>
      <c r="B49" s="5" t="n">
        <v>98317.44</v>
      </c>
    </row>
    <row r="50">
      <c r="A50" t="inlineStr">
        <is>
          <t>2026-07</t>
        </is>
      </c>
      <c r="B50" s="5" t="n">
        <v>139821.36</v>
      </c>
    </row>
    <row r="51">
      <c r="A51" t="inlineStr">
        <is>
          <t>2026-08</t>
        </is>
      </c>
      <c r="B51" s="5" t="n">
        <v>80395.2</v>
      </c>
    </row>
    <row r="52">
      <c r="A52" t="inlineStr">
        <is>
          <t>2026-09</t>
        </is>
      </c>
      <c r="B52" s="5" t="n">
        <v>6688.75</v>
      </c>
    </row>
    <row r="62">
      <c r="A62" s="2" t="inlineStr">
        <is>
          <t>Торгові марки у позиціях</t>
        </is>
      </c>
    </row>
    <row r="63">
      <c r="A63" s="3" t="inlineStr">
        <is>
          <t>Категорія</t>
        </is>
      </c>
      <c r="B63" s="3" t="inlineStr">
        <is>
          <t>Позицій, шт</t>
        </is>
      </c>
    </row>
    <row r="64">
      <c r="A64" t="inlineStr">
        <is>
          <t>GOODRAM</t>
        </is>
      </c>
      <c r="B64" s="5" t="n">
        <v>1</v>
      </c>
    </row>
    <row r="82">
      <c r="A82" s="2" t="inlineStr">
        <is>
          <t>Що саме продає</t>
        </is>
      </c>
    </row>
    <row r="83">
      <c r="A83" s="3" t="inlineStr">
        <is>
          <t>Категорія</t>
        </is>
      </c>
      <c r="B83" s="3" t="inlineStr">
        <is>
          <t>Позицій, шт</t>
        </is>
      </c>
    </row>
    <row r="84">
      <c r="A84" t="inlineStr">
        <is>
          <t>Багатофункціональний пристрій (БФП)</t>
        </is>
      </c>
      <c r="B84" s="5" t="n">
        <v>28</v>
      </c>
    </row>
    <row r="85">
      <c r="A85" t="inlineStr">
        <is>
          <t>Клавіатура</t>
        </is>
      </c>
      <c r="B85" s="5" t="n">
        <v>15</v>
      </c>
    </row>
    <row r="86">
      <c r="A86" t="inlineStr">
        <is>
          <t>Монітор</t>
        </is>
      </c>
      <c r="B86" s="5" t="n">
        <v>9</v>
      </c>
    </row>
    <row r="87">
      <c r="A87" t="inlineStr">
        <is>
          <t>Ноутбук</t>
        </is>
      </c>
      <c r="B87" s="5" t="n">
        <v>6</v>
      </c>
    </row>
    <row r="88">
      <c r="A88" t="inlineStr">
        <is>
          <t>Миша</t>
        </is>
      </c>
      <c r="B88" s="5" t="n">
        <v>6</v>
      </c>
    </row>
    <row r="89">
      <c r="A89" t="inlineStr">
        <is>
          <t>Планшет</t>
        </is>
      </c>
      <c r="B89" s="5" t="n">
        <v>6</v>
      </c>
    </row>
    <row r="90">
      <c r="A90" t="inlineStr">
        <is>
          <t>Мережевий фільтр і подовжувач</t>
        </is>
      </c>
      <c r="B90" s="5" t="n">
        <v>4</v>
      </c>
    </row>
    <row r="91">
      <c r="A91" t="inlineStr">
        <is>
          <t>Накопичувач (тип не вказано)</t>
        </is>
      </c>
      <c r="B91" s="5" t="n">
        <v>4</v>
      </c>
    </row>
    <row r="92">
      <c r="A92" t="inlineStr">
        <is>
          <t>Принтер</t>
        </is>
      </c>
      <c r="B92" s="5" t="n">
        <v>3</v>
      </c>
    </row>
    <row r="93">
      <c r="A93" t="inlineStr">
        <is>
          <t>Персональний комп'ютер</t>
        </is>
      </c>
      <c r="B93" s="5" t="n">
        <v>3</v>
      </c>
    </row>
    <row r="100">
      <c r="A100" s="2" t="inlineStr">
        <is>
          <t>Ключові замовники</t>
        </is>
      </c>
    </row>
    <row r="101">
      <c r="A101" s="3" t="inlineStr">
        <is>
          <t>Категорія</t>
        </is>
      </c>
      <c r="B101" s="3" t="inlineStr">
        <is>
          <t>Сума, грн</t>
        </is>
      </c>
    </row>
    <row r="102">
      <c r="A102" t="inlineStr">
        <is>
          <t>Відділ освіти, культури, молоді та спорт</t>
        </is>
      </c>
      <c r="B102" s="5" t="n">
        <v>1473252.48</v>
      </c>
    </row>
    <row r="103">
      <c r="A103" t="inlineStr">
        <is>
          <t>Департамент освіти Луцької міської ради</t>
        </is>
      </c>
      <c r="B103" s="5" t="n">
        <v>189936</v>
      </c>
    </row>
    <row r="104">
      <c r="A104" t="inlineStr">
        <is>
          <t>ВОЛИНСЬКА ОБЛАСНА ПРОКУРАТУРА</t>
        </is>
      </c>
      <c r="B104" s="5" t="n">
        <v>98739.60000000001</v>
      </c>
    </row>
    <row r="105">
      <c r="A105" t="inlineStr">
        <is>
          <t>Виконавчий комітет Луцької міської ради</t>
        </is>
      </c>
      <c r="B105" s="5" t="n">
        <v>82617.60000000001</v>
      </c>
    </row>
    <row r="106">
      <c r="A106" t="inlineStr">
        <is>
          <t>Головне Управління Державної служби Укра</t>
        </is>
      </c>
      <c r="B106" s="5" t="n">
        <v>81244.8</v>
      </c>
    </row>
    <row r="107">
      <c r="A107" t="inlineStr">
        <is>
          <t>ВІЙСЬКОВА ЧАСТИНА 1141 НАЦІОНАЛЬНОЇ ГВАР</t>
        </is>
      </c>
      <c r="B107" s="5" t="n">
        <v>52501.87</v>
      </c>
    </row>
    <row r="108">
      <c r="A108" t="inlineStr">
        <is>
          <t>Виконавчий комітет Ковельської міської р</t>
        </is>
      </c>
      <c r="B108" s="5" t="n">
        <v>33001.5</v>
      </c>
    </row>
    <row r="109">
      <c r="A109" t="inlineStr">
        <is>
          <t>Луцький національний технічний університ</t>
        </is>
      </c>
      <c r="B109" s="5" t="n">
        <v>23026.8</v>
      </c>
    </row>
    <row r="110">
      <c r="A110" t="inlineStr">
        <is>
          <t>ВИКОНАВЧИЙ КОМІТЕТ НОВОВОЛИНСЬКОЇ МІСЬКО</t>
        </is>
      </c>
      <c r="B110" s="5" t="n">
        <v>17072.64</v>
      </c>
    </row>
    <row r="111">
      <c r="A111" t="inlineStr">
        <is>
          <t>Військова частина Т0430</t>
        </is>
      </c>
      <c r="B111" s="5" t="n">
        <v>6984</v>
      </c>
    </row>
    <row r="118">
      <c r="A118" s="2" t="inlineStr">
        <is>
          <t>Процедури</t>
        </is>
      </c>
    </row>
    <row r="119">
      <c r="A119" s="3" t="inlineStr">
        <is>
          <t>Категорія</t>
        </is>
      </c>
      <c r="B119" s="3" t="inlineStr">
        <is>
          <t>Угод, шт</t>
        </is>
      </c>
    </row>
    <row r="120">
      <c r="A120" t="inlineStr">
        <is>
          <t>Запит пропозицій</t>
        </is>
      </c>
      <c r="B120" s="5" t="n">
        <v>13</v>
      </c>
    </row>
    <row r="121">
      <c r="A121" t="inlineStr">
        <is>
          <t>Відкриті торги (нові)</t>
        </is>
      </c>
      <c r="B121" s="5" t="n">
        <v>4</v>
      </c>
    </row>
    <row r="122">
      <c r="A122" t="inlineStr">
        <is>
          <t>Звіт про договір</t>
        </is>
      </c>
      <c r="B122" s="5" t="n">
        <v>3</v>
      </c>
    </row>
    <row r="138">
      <c r="A138" s="8" t="inlineStr">
        <is>
          <t>Таблиці</t>
        </is>
      </c>
    </row>
    <row r="140">
      <c r="A140" s="2" t="inlineStr">
        <is>
          <t>ТМ</t>
        </is>
      </c>
    </row>
    <row r="141">
      <c r="A141" s="11" t="inlineStr">
        <is>
          <t>Торгова марка</t>
        </is>
      </c>
      <c r="B141" s="11" t="inlineStr">
        <is>
          <t>Позицій</t>
        </is>
      </c>
      <c r="C141" s="11" t="inlineStr">
        <is>
          <t>Частка</t>
        </is>
      </c>
      <c r="D141" s="11" t="inlineStr">
        <is>
          <t>Власна ТМ за довідником</t>
        </is>
      </c>
    </row>
    <row r="142">
      <c r="A142" t="inlineStr">
        <is>
          <t>GOODRAM</t>
        </is>
      </c>
      <c r="B142" s="5" t="n">
        <v>1</v>
      </c>
      <c r="C142" s="12" t="n">
        <v>1</v>
      </c>
      <c r="D142" t="inlineStr"/>
    </row>
    <row r="144">
      <c r="A144" s="2" t="inlineStr">
        <is>
          <t>Товари</t>
        </is>
      </c>
    </row>
    <row r="145">
      <c r="A145" s="11" t="inlineStr">
        <is>
          <t>Товар</t>
        </is>
      </c>
      <c r="B145" s="11" t="inlineStr">
        <is>
          <t>Позицій</t>
        </is>
      </c>
    </row>
    <row r="146">
      <c r="A146" t="inlineStr">
        <is>
          <t>Багатофункціональний пристрій (БФП)</t>
        </is>
      </c>
      <c r="B146" s="5" t="n">
        <v>28</v>
      </c>
    </row>
    <row r="147">
      <c r="A147" t="inlineStr">
        <is>
          <t>Клавіатура</t>
        </is>
      </c>
      <c r="B147" s="5" t="n">
        <v>15</v>
      </c>
    </row>
    <row r="148">
      <c r="A148" t="inlineStr">
        <is>
          <t>Монітор</t>
        </is>
      </c>
      <c r="B148" s="5" t="n">
        <v>9</v>
      </c>
    </row>
    <row r="149">
      <c r="A149" t="inlineStr">
        <is>
          <t>Ноутбук</t>
        </is>
      </c>
      <c r="B149" s="5" t="n">
        <v>6</v>
      </c>
    </row>
    <row r="150">
      <c r="A150" t="inlineStr">
        <is>
          <t>Миша</t>
        </is>
      </c>
      <c r="B150" s="5" t="n">
        <v>6</v>
      </c>
    </row>
    <row r="151">
      <c r="A151" t="inlineStr">
        <is>
          <t>Планшет</t>
        </is>
      </c>
      <c r="B151" s="5" t="n">
        <v>6</v>
      </c>
    </row>
    <row r="152">
      <c r="A152" t="inlineStr">
        <is>
          <t>Мережевий фільтр і подовжувач</t>
        </is>
      </c>
      <c r="B152" s="5" t="n">
        <v>4</v>
      </c>
    </row>
    <row r="153">
      <c r="A153" t="inlineStr">
        <is>
          <t>Накопичувач (тип не вказано)</t>
        </is>
      </c>
      <c r="B153" s="5" t="n">
        <v>4</v>
      </c>
    </row>
    <row r="154">
      <c r="A154" t="inlineStr">
        <is>
          <t>Принтер</t>
        </is>
      </c>
      <c r="B154" s="5" t="n">
        <v>3</v>
      </c>
    </row>
    <row r="155">
      <c r="A155" t="inlineStr">
        <is>
          <t>Персональний комп'ютер</t>
        </is>
      </c>
      <c r="B155" s="5" t="n">
        <v>3</v>
      </c>
    </row>
    <row r="156">
      <c r="A156" t="inlineStr">
        <is>
          <t>Вебкамера</t>
        </is>
      </c>
      <c r="B156" s="5" t="n">
        <v>3</v>
      </c>
    </row>
    <row r="157">
      <c r="A157" t="inlineStr">
        <is>
          <t>Накопичувач SSD</t>
        </is>
      </c>
      <c r="B157" s="5" t="n">
        <v>3</v>
      </c>
    </row>
    <row r="158">
      <c r="A158" t="inlineStr">
        <is>
          <t>Килимок для миші</t>
        </is>
      </c>
      <c r="B158" s="5" t="n">
        <v>1</v>
      </c>
    </row>
    <row r="159">
      <c r="A159" t="inlineStr">
        <is>
          <t>Карта пам'яті</t>
        </is>
      </c>
      <c r="B159" s="5" t="n">
        <v>1</v>
      </c>
    </row>
    <row r="160">
      <c r="A160" t="inlineStr">
        <is>
          <t>Джерело безперебійного живлення</t>
        </is>
      </c>
      <c r="B160" s="5" t="n">
        <v>1</v>
      </c>
    </row>
    <row r="161">
      <c r="A161" t="inlineStr">
        <is>
          <t>Флешка (USB-накопичувач)</t>
        </is>
      </c>
      <c r="B161" s="5" t="n">
        <v>1</v>
      </c>
    </row>
    <row r="162">
      <c r="A162" t="inlineStr">
        <is>
          <t>Сканер штрих-коду</t>
        </is>
      </c>
      <c r="B162" s="5" t="n">
        <v>1</v>
      </c>
    </row>
    <row r="163">
      <c r="A163" t="inlineStr">
        <is>
          <t>Навушники, гарнітура</t>
        </is>
      </c>
      <c r="B163" s="5" t="n">
        <v>1</v>
      </c>
    </row>
    <row r="165">
      <c r="A165" s="2" t="inlineStr">
        <is>
          <t>Документи</t>
        </is>
      </c>
    </row>
    <row r="166">
      <c r="A166" s="11" t="inlineStr">
        <is>
          <t>Тип документа</t>
        </is>
      </c>
      <c r="B166" s="11" t="inlineStr">
        <is>
          <t>Файлів</t>
        </is>
      </c>
    </row>
    <row r="167">
      <c r="A167" t="inlineStr">
        <is>
          <t>Підпис КЕП</t>
        </is>
      </c>
      <c r="B167" s="5" t="n">
        <v>451</v>
      </c>
    </row>
    <row r="168">
      <c r="A168" t="inlineStr">
        <is>
          <t>не класифіковано</t>
        </is>
      </c>
      <c r="B168" s="5" t="n">
        <v>133</v>
      </c>
    </row>
    <row r="169">
      <c r="A169" t="inlineStr">
        <is>
          <t>Установчі та реєстраційні</t>
        </is>
      </c>
      <c r="B169" s="5" t="n">
        <v>56</v>
      </c>
    </row>
    <row r="170">
      <c r="A170" t="inlineStr">
        <is>
          <t>Лист виробника / авторизація</t>
        </is>
      </c>
      <c r="B170" s="5" t="n">
        <v>47</v>
      </c>
    </row>
    <row r="171">
      <c r="A171" t="inlineStr">
        <is>
          <t>Сертифікат / декларація відповідності</t>
        </is>
      </c>
      <c r="B171" s="5" t="n">
        <v>23</v>
      </c>
    </row>
    <row r="172">
      <c r="A172" t="inlineStr">
        <is>
          <t>Тендерна документація</t>
        </is>
      </c>
      <c r="B172" s="5" t="n">
        <v>14</v>
      </c>
    </row>
    <row r="173">
      <c r="A173" t="inlineStr">
        <is>
          <t>Гарантія та сервіс</t>
        </is>
      </c>
      <c r="B173" s="5" t="n">
        <v>8</v>
      </c>
    </row>
    <row r="174">
      <c r="A174" t="inlineStr">
        <is>
          <t>Досвід / аналогічні договори</t>
        </is>
      </c>
      <c r="B174" s="5" t="n">
        <v>4</v>
      </c>
    </row>
    <row r="175">
      <c r="A175" t="inlineStr">
        <is>
          <t>Договір</t>
        </is>
      </c>
      <c r="B175" s="5" t="n">
        <v>4</v>
      </c>
    </row>
    <row r="176">
      <c r="A176" t="inlineStr">
        <is>
          <t>Цінова пропозиція</t>
        </is>
      </c>
      <c r="B176" s="5" t="n">
        <v>3</v>
      </c>
    </row>
    <row r="177">
      <c r="A177" t="inlineStr">
        <is>
          <t>Технічна специфікація</t>
        </is>
      </c>
      <c r="B177" s="5" t="n">
        <v>2</v>
      </c>
    </row>
    <row r="179">
      <c r="A179" s="2" t="inlineStr">
        <is>
          <t>Зірвані перемоги</t>
        </is>
      </c>
    </row>
    <row r="180">
      <c r="A180" s="11" t="inlineStr">
        <is>
          <t>Закупівля</t>
        </is>
      </c>
      <c r="B180" s="11" t="inlineStr">
        <is>
          <t>Дата</t>
        </is>
      </c>
      <c r="C180" s="11" t="inlineStr">
        <is>
          <t>Замовник</t>
        </is>
      </c>
      <c r="D180" s="11" t="inlineStr">
        <is>
          <t>Сума, грн</t>
        </is>
      </c>
      <c r="E180" s="11" t="inlineStr">
        <is>
          <t>Причина</t>
        </is>
      </c>
      <c r="F180" s="11" t="inlineStr">
        <is>
          <t>Формулювання замовника</t>
        </is>
      </c>
    </row>
    <row r="181">
      <c r="A181" s="4" t="inlineStr">
        <is>
          <t>UA-2025-10-09-011796-a</t>
        </is>
      </c>
      <c r="B181" t="inlineStr">
        <is>
          <t>2025-10-20</t>
        </is>
      </c>
      <c r="C181" t="inlineStr">
        <is>
          <t>Карасинська гімназія Прилісненської сільської ради Волинської області</t>
        </is>
      </c>
      <c r="D181" s="5" t="n">
        <v>10200</v>
      </c>
      <c r="E181" t="inlineStr">
        <is>
          <t>Не підписав договір у строк</t>
        </is>
      </c>
      <c r="F181" t="inlineStr">
        <is>
          <t>Переможець не підписав договір у строк, визначений абзацом першим пункту 66 цього Порядку</t>
        </is>
      </c>
    </row>
    <row r="183">
      <c r="A183" s="2" t="inlineStr">
        <is>
          <t>Угоди</t>
        </is>
      </c>
    </row>
    <row r="184">
      <c r="A184" s="11" t="inlineStr">
        <is>
          <t>Закупівля</t>
        </is>
      </c>
      <c r="B184" s="11" t="inlineStr">
        <is>
          <t>Дата</t>
        </is>
      </c>
      <c r="C184" s="11" t="inlineStr">
        <is>
          <t>Замовник</t>
        </is>
      </c>
      <c r="D184" s="11" t="inlineStr">
        <is>
          <t>Регіон</t>
        </is>
      </c>
      <c r="E184" s="11" t="inlineStr">
        <is>
          <t>Сума, грн</t>
        </is>
      </c>
      <c r="F184" s="11" t="inlineStr">
        <is>
          <t>Очікувана, грн</t>
        </is>
      </c>
      <c r="G184" s="11" t="inlineStr">
        <is>
          <t>Процедура</t>
        </is>
      </c>
      <c r="H184" s="11" t="inlineStr">
        <is>
          <t>Галузь</t>
        </is>
      </c>
      <c r="I184" s="11" t="inlineStr">
        <is>
          <t>Джерело</t>
        </is>
      </c>
    </row>
    <row r="185">
      <c r="A185" s="4" t="inlineStr">
        <is>
          <t>UA-2025-12-05-015557-a</t>
        </is>
      </c>
      <c r="B185" t="inlineStr">
        <is>
          <t>2025-12-22</t>
        </is>
      </c>
      <c r="C185" t="inlineStr">
        <is>
          <t>Відділ освіти, культури, молоді та спорту Підгайцівської сільської ради</t>
        </is>
      </c>
      <c r="D185" t="inlineStr">
        <is>
          <t>Волинська область</t>
        </is>
      </c>
      <c r="E185" s="13" t="n">
        <v>999954</v>
      </c>
      <c r="F185" s="13" t="n">
        <v>1000000</v>
      </c>
      <c r="G185" t="inlineStr">
        <is>
          <t>Відкриті торги (нові)</t>
        </is>
      </c>
      <c r="H185" t="inlineStr">
        <is>
          <t>Комп’ютерне обладнання</t>
        </is>
      </c>
      <c r="I185" t="inlineStr">
        <is>
          <t>договір</t>
        </is>
      </c>
    </row>
    <row r="186">
      <c r="A186" s="4" t="inlineStr">
        <is>
          <t>UA-2025-11-17-014020-a</t>
        </is>
      </c>
      <c r="B186" t="inlineStr">
        <is>
          <t>2025-12-08</t>
        </is>
      </c>
      <c r="C186" t="inlineStr">
        <is>
          <t>Відділ освіти, культури, молоді та спорту Підгайцівської сільської ради</t>
        </is>
      </c>
      <c r="D186" t="inlineStr">
        <is>
          <t>Волинська область</t>
        </is>
      </c>
      <c r="E186" s="13" t="n">
        <v>329999.28</v>
      </c>
      <c r="F186" s="13" t="n">
        <v>330000</v>
      </c>
      <c r="G186" t="inlineStr">
        <is>
          <t>Відкриті торги (нові)</t>
        </is>
      </c>
      <c r="H186" t="inlineStr">
        <is>
          <t>Комп’ютерне обладнання</t>
        </is>
      </c>
      <c r="I186" t="inlineStr">
        <is>
          <t>договір</t>
        </is>
      </c>
    </row>
    <row r="187">
      <c r="A187" s="4" t="inlineStr">
        <is>
          <t>UA-2025-11-18-015919-a</t>
        </is>
      </c>
      <c r="B187" t="inlineStr">
        <is>
          <t>2025-12-04</t>
        </is>
      </c>
      <c r="C187" t="inlineStr">
        <is>
          <t>Департамент освіти Луцької міської ради</t>
        </is>
      </c>
      <c r="D187" t="inlineStr">
        <is>
          <t>Волинська область</t>
        </is>
      </c>
      <c r="E187" s="13" t="n">
        <v>189936</v>
      </c>
      <c r="F187" s="13" t="n">
        <v>190000</v>
      </c>
      <c r="G187" t="inlineStr">
        <is>
          <t>Відкриті торги (нові)</t>
        </is>
      </c>
      <c r="H187" t="inlineStr">
        <is>
          <t>Машини для обробки даних (апаратна частина)</t>
        </is>
      </c>
      <c r="I187" t="inlineStr">
        <is>
          <t>договір</t>
        </is>
      </c>
    </row>
    <row r="188">
      <c r="A188" s="4" t="inlineStr">
        <is>
          <t>UA-2025-11-17-012888-a</t>
        </is>
      </c>
      <c r="B188" t="inlineStr">
        <is>
          <t>2025-12-11</t>
        </is>
      </c>
      <c r="C188" t="inlineStr">
        <is>
          <t>Відділ освіти, культури, молоді та спорту Підгайцівської сільської ради</t>
        </is>
      </c>
      <c r="D188" t="inlineStr">
        <is>
          <t>Волинська область</t>
        </is>
      </c>
      <c r="E188" s="13" t="n">
        <v>143299.2</v>
      </c>
      <c r="F188" s="13" t="n">
        <v>143300</v>
      </c>
      <c r="G188" t="inlineStr">
        <is>
          <t>Відкриті торги (нові)</t>
        </is>
      </c>
      <c r="H188" t="inlineStr">
        <is>
          <t>Машини для обробки даних (апаратна частина)</t>
        </is>
      </c>
      <c r="I188" t="inlineStr">
        <is>
          <t>договір</t>
        </is>
      </c>
    </row>
    <row r="189">
      <c r="A189" s="4" t="inlineStr">
        <is>
          <t>UA-2026-06-08-004200-a</t>
        </is>
      </c>
      <c r="B189" t="inlineStr">
        <is>
          <t>2026-06-15</t>
        </is>
      </c>
      <c r="C189" t="inlineStr">
        <is>
          <t>Головне Управління Державної служби України з надзвичайних ситуацій у Волинській області</t>
        </is>
      </c>
      <c r="D189" t="inlineStr">
        <is>
          <t>Волинська область</t>
        </is>
      </c>
      <c r="E189" s="13" t="n">
        <v>81244.8</v>
      </c>
      <c r="F189" s="13" t="n">
        <v>82724.39999999999</v>
      </c>
      <c r="G189" t="inlineStr">
        <is>
          <t>Запит пропозицій</t>
        </is>
      </c>
      <c r="H189" t="inlineStr">
        <is>
          <t>Комп’ютерне обладнання</t>
        </is>
      </c>
      <c r="I189" t="inlineStr">
        <is>
          <t>договір</t>
        </is>
      </c>
    </row>
    <row r="190">
      <c r="A190" s="4" t="inlineStr">
        <is>
          <t>UA-2026-06-25-005256-a</t>
        </is>
      </c>
      <c r="B190" t="inlineStr">
        <is>
          <t>2026-07-03</t>
        </is>
      </c>
      <c r="C190" t="inlineStr">
        <is>
          <t>ВОЛИНСЬКА ОБЛАСНА ПРОКУРАТУРА</t>
        </is>
      </c>
      <c r="D190" t="inlineStr">
        <is>
          <t>Волинська область</t>
        </is>
      </c>
      <c r="E190" s="13" t="n">
        <v>67410</v>
      </c>
      <c r="F190" s="13" t="n">
        <v>69070</v>
      </c>
      <c r="G190" t="inlineStr">
        <is>
          <t>Запит пропозицій</t>
        </is>
      </c>
      <c r="H190" t="inlineStr">
        <is>
          <t>Машини для обробки даних (апаратна частина)</t>
        </is>
      </c>
      <c r="I190" t="inlineStr">
        <is>
          <t>договір</t>
        </is>
      </c>
    </row>
    <row r="191">
      <c r="A191" s="4" t="inlineStr">
        <is>
          <t>UA-2026-08-09-000561-a</t>
        </is>
      </c>
      <c r="B191" t="inlineStr">
        <is>
          <t>2026-08-21</t>
        </is>
      </c>
      <c r="C191" t="inlineStr">
        <is>
          <t>ВІЙСЬКОВА ЧАСТИНА 1141 НАЦІОНАЛЬНОЇ ГВАРДІЇ УКРАЇНИ</t>
        </is>
      </c>
      <c r="D191" t="inlineStr">
        <is>
          <t>Волинська область</t>
        </is>
      </c>
      <c r="E191" s="13" t="n">
        <v>41275.2</v>
      </c>
      <c r="F191" s="13" t="n">
        <v>39462.4</v>
      </c>
      <c r="G191" t="inlineStr">
        <is>
          <t>Запит пропозицій</t>
        </is>
      </c>
      <c r="H191" t="inlineStr">
        <is>
          <t>Машини для обробки даних (апаратна частина)</t>
        </is>
      </c>
      <c r="I191" t="inlineStr">
        <is>
          <t>договір</t>
        </is>
      </c>
    </row>
    <row r="192">
      <c r="A192" s="4" t="inlineStr">
        <is>
          <t>UA-2026-08-03-002229-a</t>
        </is>
      </c>
      <c r="B192" t="inlineStr">
        <is>
          <t>2026-08-10</t>
        </is>
      </c>
      <c r="C192" t="inlineStr">
        <is>
          <t>Виконавчий комітет Луцької міської ради</t>
        </is>
      </c>
      <c r="D192" t="inlineStr">
        <is>
          <t>Волинська область</t>
        </is>
      </c>
      <c r="E192" s="13" t="n">
        <v>39120</v>
      </c>
      <c r="F192" s="13" t="n">
        <v>33333.33</v>
      </c>
      <c r="G192" t="inlineStr">
        <is>
          <t>Запит пропозицій</t>
        </is>
      </c>
      <c r="H192" t="inlineStr">
        <is>
          <t>Комп’ютерне обладнання</t>
        </is>
      </c>
      <c r="I192" t="inlineStr">
        <is>
          <t>договір</t>
        </is>
      </c>
    </row>
    <row r="193">
      <c r="A193" s="4" t="inlineStr">
        <is>
          <t>UA-2026-07-08-009506-a</t>
        </is>
      </c>
      <c r="B193" t="inlineStr">
        <is>
          <t>2026-07-17</t>
        </is>
      </c>
      <c r="C193" t="inlineStr">
        <is>
          <t>Виконавчий комітет Луцької міської ради</t>
        </is>
      </c>
      <c r="D193" t="inlineStr">
        <is>
          <t>Волинська область</t>
        </is>
      </c>
      <c r="E193" s="13" t="n">
        <v>38697.6</v>
      </c>
      <c r="F193" s="13" t="n">
        <v>33333.33</v>
      </c>
      <c r="G193" t="inlineStr">
        <is>
          <t>Запит пропозицій</t>
        </is>
      </c>
      <c r="H193" t="inlineStr">
        <is>
          <t>Комп’ютерне обладнання</t>
        </is>
      </c>
      <c r="I193" t="inlineStr">
        <is>
          <t>договір</t>
        </is>
      </c>
    </row>
    <row r="194">
      <c r="A194" s="4" t="inlineStr">
        <is>
          <t>UA-2026-06-18-009978-a</t>
        </is>
      </c>
      <c r="B194" t="inlineStr">
        <is>
          <t>2026-07-01</t>
        </is>
      </c>
      <c r="C194" t="inlineStr">
        <is>
          <t>Виконавчий комітет Ковельської міської ради</t>
        </is>
      </c>
      <c r="D194" t="inlineStr">
        <is>
          <t>Волинська область</t>
        </is>
      </c>
      <c r="E194" s="13" t="n">
        <v>33001.5</v>
      </c>
      <c r="F194" s="13" t="n">
        <v>35000</v>
      </c>
      <c r="G194" t="inlineStr">
        <is>
          <t>Запит пропозицій</t>
        </is>
      </c>
      <c r="H194" t="inlineStr">
        <is>
          <t>Комп’ютерне обладнання</t>
        </is>
      </c>
      <c r="I194" t="inlineStr">
        <is>
          <t>договір</t>
        </is>
      </c>
    </row>
    <row r="195">
      <c r="A195" s="4" t="inlineStr">
        <is>
          <t>UA-2025-10-28-007426-a</t>
        </is>
      </c>
      <c r="B195" t="inlineStr">
        <is>
          <t>2025-11-06</t>
        </is>
      </c>
      <c r="C195" t="inlineStr">
        <is>
          <t>ВОЛИНСЬКА ОБЛАСНА ПРОКУРАТУРА</t>
        </is>
      </c>
      <c r="D195" t="inlineStr">
        <is>
          <t>Волинська область</t>
        </is>
      </c>
      <c r="E195" s="13" t="n">
        <v>31329.6</v>
      </c>
      <c r="F195" s="13" t="n">
        <v>37960</v>
      </c>
      <c r="G195" t="inlineStr">
        <is>
          <t>Запит пропозицій</t>
        </is>
      </c>
      <c r="H195" t="inlineStr">
        <is>
          <t>Комп’ютерне обладнання</t>
        </is>
      </c>
      <c r="I195" t="inlineStr">
        <is>
          <t>договір</t>
        </is>
      </c>
    </row>
    <row r="196">
      <c r="A196" s="4" t="inlineStr">
        <is>
          <t>UA-2025-11-15-000404-a</t>
        </is>
      </c>
      <c r="B196" t="inlineStr">
        <is>
          <t>2025-11-25</t>
        </is>
      </c>
      <c r="C196" t="inlineStr">
        <is>
          <t>Луцький національний технічний університет</t>
        </is>
      </c>
      <c r="D196" t="inlineStr">
        <is>
          <t>Волинська область</t>
        </is>
      </c>
      <c r="E196" s="13" t="n">
        <v>23026.8</v>
      </c>
      <c r="F196" s="13" t="n">
        <v>25007</v>
      </c>
      <c r="G196" t="inlineStr">
        <is>
          <t>Запит пропозицій</t>
        </is>
      </c>
      <c r="H196" t="inlineStr">
        <is>
          <t>Комп’ютерне обладнання</t>
        </is>
      </c>
      <c r="I196" t="inlineStr">
        <is>
          <t>договір</t>
        </is>
      </c>
    </row>
    <row r="197">
      <c r="A197" s="4" t="inlineStr">
        <is>
          <t>UA-2026-06-16-013148-a</t>
        </is>
      </c>
      <c r="B197" t="inlineStr">
        <is>
          <t>2026-06-24</t>
        </is>
      </c>
      <c r="C197" t="inlineStr">
        <is>
          <t>ВИКОНАВЧИЙ КОМІТЕТ НОВОВОЛИНСЬКОЇ МІСЬКОЇ РАДИ</t>
        </is>
      </c>
      <c r="D197" t="inlineStr">
        <is>
          <t>Волинська область</t>
        </is>
      </c>
      <c r="E197" s="13" t="n">
        <v>17072.64</v>
      </c>
      <c r="F197" s="13" t="n">
        <v>19200</v>
      </c>
      <c r="G197" t="inlineStr">
        <is>
          <t>Запит пропозицій</t>
        </is>
      </c>
      <c r="H197" t="inlineStr">
        <is>
          <t>Комп’ютерне обладнання</t>
        </is>
      </c>
      <c r="I197" t="inlineStr">
        <is>
          <t>договір</t>
        </is>
      </c>
    </row>
    <row r="198">
      <c r="A198" s="4" t="inlineStr">
        <is>
          <t>UA-2026-05-08-003021-a</t>
        </is>
      </c>
      <c r="B198" t="inlineStr">
        <is>
          <t>2026-05-19</t>
        </is>
      </c>
      <c r="C198" t="inlineStr">
        <is>
          <t>Військова частина Т0430</t>
        </is>
      </c>
      <c r="D198" t="inlineStr">
        <is>
          <t>Волинська область</t>
        </is>
      </c>
      <c r="E198" s="13" t="n">
        <v>6984</v>
      </c>
      <c r="F198" s="13" t="n">
        <v>7000</v>
      </c>
      <c r="G198" t="inlineStr">
        <is>
          <t>Запит пропозицій</t>
        </is>
      </c>
      <c r="H198" t="inlineStr">
        <is>
          <t>Комп’ютерне обладнання</t>
        </is>
      </c>
      <c r="I198" t="inlineStr">
        <is>
          <t>договір</t>
        </is>
      </c>
    </row>
    <row r="199">
      <c r="A199" s="4" t="inlineStr">
        <is>
          <t>UA-2026-08-29-000236-a</t>
        </is>
      </c>
      <c r="B199" t="inlineStr">
        <is>
          <t>2026-09-02</t>
        </is>
      </c>
      <c r="C199" t="inlineStr">
        <is>
          <t>ВІЙСЬКОВА ЧАСТИНА 1141 НАЦІОНАЛЬНОЇ ГВАРДІЇ УКРАЇНИ</t>
        </is>
      </c>
      <c r="D199" t="inlineStr">
        <is>
          <t>Волинська область</t>
        </is>
      </c>
      <c r="E199" s="13" t="n">
        <v>6688.75</v>
      </c>
      <c r="F199" s="13" t="n">
        <v>7468.83</v>
      </c>
      <c r="G199" t="inlineStr">
        <is>
          <t>Запит пропозицій</t>
        </is>
      </c>
      <c r="H199" t="inlineStr">
        <is>
          <t>Комп’ютерне обладнання</t>
        </is>
      </c>
      <c r="I199" t="inlineStr">
        <is>
          <t>рішення про переможця</t>
        </is>
      </c>
    </row>
    <row r="200">
      <c r="A200" s="4" t="inlineStr">
        <is>
          <t>UA-2026-05-18-008410-a</t>
        </is>
      </c>
      <c r="B200" t="inlineStr">
        <is>
          <t>2026-05-25</t>
        </is>
      </c>
      <c r="C200" t="inlineStr">
        <is>
          <t>Виконавчий комітет Луцької міської ради</t>
        </is>
      </c>
      <c r="D200" t="inlineStr">
        <is>
          <t>Волинська область</t>
        </is>
      </c>
      <c r="E200" s="13" t="n">
        <v>4800</v>
      </c>
      <c r="F200" s="13" t="n">
        <v>5500</v>
      </c>
      <c r="G200" t="inlineStr">
        <is>
          <t>Запит пропозицій</t>
        </is>
      </c>
      <c r="H200" t="inlineStr">
        <is>
          <t>Комп’ютерне обладнання</t>
        </is>
      </c>
      <c r="I200" t="inlineStr">
        <is>
          <t>договір</t>
        </is>
      </c>
    </row>
    <row r="201">
      <c r="A201" s="4" t="inlineStr">
        <is>
          <t>UA-2025-09-04-010981-a</t>
        </is>
      </c>
      <c r="B201" t="inlineStr">
        <is>
          <t>2025-09-18</t>
        </is>
      </c>
      <c r="C201" t="inlineStr">
        <is>
          <t>ВІЙСЬКОВА ЧАСТИНА 1141 НАЦІОНАЛЬНОЇ ГВАРДІЇ УКРАЇНИ</t>
        </is>
      </c>
      <c r="D201" t="inlineStr">
        <is>
          <t>Волинська область</t>
        </is>
      </c>
      <c r="E201" s="13" t="n">
        <v>4537.92</v>
      </c>
      <c r="F201" s="13" t="n">
        <v>10912</v>
      </c>
      <c r="G201" t="inlineStr">
        <is>
          <t>Запит пропозицій</t>
        </is>
      </c>
      <c r="H201" t="inlineStr">
        <is>
          <t>Комп’ютерне обладнання</t>
        </is>
      </c>
      <c r="I201" t="inlineStr">
        <is>
          <t>договір</t>
        </is>
      </c>
    </row>
    <row r="202">
      <c r="A202" s="4" t="inlineStr">
        <is>
          <t>UA-2026-07-21-001040-a</t>
        </is>
      </c>
      <c r="B202" t="inlineStr">
        <is>
          <t>2026-07-21</t>
        </is>
      </c>
      <c r="C202" t="inlineStr">
        <is>
          <t>КП "Ковельський центр медичної реабілітації та паліативної допомоги" Волинської обласної ради</t>
        </is>
      </c>
      <c r="D202" t="inlineStr">
        <is>
          <t>Волинська область</t>
        </is>
      </c>
      <c r="E202" s="13" t="n">
        <v>712.26</v>
      </c>
      <c r="F202" s="13" t="n">
        <v>712.26</v>
      </c>
      <c r="G202" t="inlineStr">
        <is>
          <t>Звіт про договір</t>
        </is>
      </c>
      <c r="H202" t="inlineStr">
        <is>
          <t>Комп’ютерне обладнання</t>
        </is>
      </c>
      <c r="I202" t="inlineStr">
        <is>
          <t>договір</t>
        </is>
      </c>
    </row>
    <row r="203">
      <c r="A203" s="4" t="inlineStr">
        <is>
          <t>UA-2026-05-07-003993-a</t>
        </is>
      </c>
      <c r="B203" t="inlineStr">
        <is>
          <t>2026-05-07</t>
        </is>
      </c>
      <c r="C203" t="inlineStr">
        <is>
          <t>КП "Ковельський центр медичної реабілітації та паліативної допомоги" Волинської обласної ради</t>
        </is>
      </c>
      <c r="D203" t="inlineStr">
        <is>
          <t>Волинська область</t>
        </is>
      </c>
      <c r="E203" s="13" t="n">
        <v>284.94</v>
      </c>
      <c r="F203" s="13" t="n">
        <v>284.94</v>
      </c>
      <c r="G203" t="inlineStr">
        <is>
          <t>Звіт про договір</t>
        </is>
      </c>
      <c r="H203" t="inlineStr">
        <is>
          <t>Комп’ютерне обладнання</t>
        </is>
      </c>
      <c r="I203" t="inlineStr">
        <is>
          <t>договір</t>
        </is>
      </c>
    </row>
    <row r="204">
      <c r="A204" s="4" t="inlineStr">
        <is>
          <t>UA-2026-03-12-004612-a</t>
        </is>
      </c>
      <c r="B204" t="inlineStr">
        <is>
          <t>2026-03-12</t>
        </is>
      </c>
      <c r="C204" t="inlineStr">
        <is>
          <t>КНП "ІВАНИЧІВСЬКИЙ ЦЕНТР ПЕРВИННОЇ МЕДИКО-САНІТАРНОЇ ДОПОМОГИ"</t>
        </is>
      </c>
      <c r="D204" t="inlineStr">
        <is>
          <t>Волинська область</t>
        </is>
      </c>
      <c r="E204" s="13" t="n">
        <v>127.5</v>
      </c>
      <c r="F204" s="13" t="n">
        <v>127.5</v>
      </c>
      <c r="G204" t="inlineStr">
        <is>
          <t>Звіт про договір</t>
        </is>
      </c>
      <c r="H204" t="inlineStr">
        <is>
          <t>Комп’ютерне обладнання</t>
        </is>
      </c>
      <c r="I204" t="inlineStr">
        <is>
          <t>договір</t>
        </is>
      </c>
    </row>
    <row r="206">
      <c r="A206" s="2" t="inlineStr">
        <is>
          <t>Наші зустрічі</t>
        </is>
      </c>
    </row>
    <row r="207">
      <c r="A207" s="11" t="inlineStr">
        <is>
          <t>Закупівля</t>
        </is>
      </c>
      <c r="B207" s="11" t="inlineStr">
        <is>
          <t>Дата</t>
        </is>
      </c>
      <c r="C207" s="11" t="inlineStr">
        <is>
          <t>Замовник</t>
        </is>
      </c>
      <c r="D207" s="11" t="inlineStr">
        <is>
          <t>Предмет</t>
        </is>
      </c>
      <c r="E207" s="11" t="inlineStr">
        <is>
          <t>Сума переможця, грн</t>
        </is>
      </c>
      <c r="F207" s="11" t="inlineStr">
        <is>
          <t>Наша пропозиція, грн</t>
        </is>
      </c>
      <c r="G207" s="11" t="inlineStr">
        <is>
          <t>Розрив</t>
        </is>
      </c>
      <c r="H207" s="11" t="inlineStr">
        <is>
          <t>Що сталося</t>
        </is>
      </c>
    </row>
    <row r="208">
      <c r="A208" s="4" t="inlineStr">
        <is>
          <t>UA-2025-12-05-015557-a</t>
        </is>
      </c>
      <c r="B208" t="inlineStr">
        <is>
          <t>2025-12-05</t>
        </is>
      </c>
      <c r="C208" t="inlineStr">
        <is>
          <t>Відділ освіти, культури, молоді та спорту Підгайцівської сільської ради</t>
        </is>
      </c>
      <c r="D208" t="inlineStr">
        <is>
          <t>Персональний комп’ютер форм-фактора десктоп, ноутбук ( Код ДК 021:2015 - 3023000</t>
        </is>
      </c>
      <c r="E208" s="13" t="n">
        <v>999954</v>
      </c>
      <c r="H208" t="inlineStr">
        <is>
          <t>ми не подавалися</t>
        </is>
      </c>
    </row>
    <row r="209">
      <c r="A209" s="4" t="inlineStr">
        <is>
          <t>UA-2025-11-17-014020-a</t>
        </is>
      </c>
      <c r="B209" t="inlineStr">
        <is>
          <t>2025-11-17</t>
        </is>
      </c>
      <c r="C209" t="inlineStr">
        <is>
          <t>Відділ освіти, культури, молоді та спорту Підгайцівської сільської ради</t>
        </is>
      </c>
      <c r="D209" t="inlineStr">
        <is>
          <t>Персональний комп’ютер форм-фактора десктоп ( Код ДК 021:2015 - 30230000-0 Комп'</t>
        </is>
      </c>
      <c r="E209" s="13" t="n">
        <v>329999.28</v>
      </c>
      <c r="H209" t="inlineStr">
        <is>
          <t>ми не подавалися</t>
        </is>
      </c>
    </row>
    <row r="210">
      <c r="A210" s="4" t="inlineStr">
        <is>
          <t>UA-2025-11-18-015919-a</t>
        </is>
      </c>
      <c r="B210" t="inlineStr">
        <is>
          <t>2025-11-18</t>
        </is>
      </c>
      <c r="C210" t="inlineStr">
        <is>
          <t>Департамент освіти Луцької міської ради</t>
        </is>
      </c>
      <c r="D210" t="inlineStr">
        <is>
          <t>Ноутбуки</t>
        </is>
      </c>
      <c r="E210" s="13" t="n">
        <v>189936</v>
      </c>
      <c r="H210" t="inlineStr">
        <is>
          <t>ми не подавалися</t>
        </is>
      </c>
    </row>
    <row r="211">
      <c r="A211" s="4" t="inlineStr">
        <is>
          <t>UA-2025-11-17-012888-a</t>
        </is>
      </c>
      <c r="B211" t="inlineStr">
        <is>
          <t>2025-11-17</t>
        </is>
      </c>
      <c r="C211" t="inlineStr">
        <is>
          <t>Відділ освіти, культури, молоді та спорту Підгайцівської сільської ради</t>
        </is>
      </c>
      <c r="D211" t="inlineStr">
        <is>
          <t>Ноутбуки (Код ДК 021:2015 30210000-4 Машини для обробки даних (апаратна частина)</t>
        </is>
      </c>
      <c r="E211" s="13" t="n">
        <v>143299.2</v>
      </c>
      <c r="H211" t="inlineStr">
        <is>
          <t>ми не подавалися</t>
        </is>
      </c>
    </row>
    <row r="212">
      <c r="A212" s="4" t="inlineStr">
        <is>
          <t>UA-2026-06-08-004200-a</t>
        </is>
      </c>
      <c r="B212" t="inlineStr">
        <is>
          <t>2026-06-08</t>
        </is>
      </c>
      <c r="C212" t="inlineStr">
        <is>
          <t>Головне Управління Державної служби України з надзвичайних ситуацій у Волинській області</t>
        </is>
      </c>
      <c r="D212" t="inlineStr">
        <is>
          <t>Монітори (код за ДК 021:2015: 30230000-0 - Комп’ютерне обладнання)</t>
        </is>
      </c>
      <c r="E212" s="13" t="n">
        <v>81244.8</v>
      </c>
      <c r="H212" t="inlineStr">
        <is>
          <t>ми не подавалися</t>
        </is>
      </c>
    </row>
    <row r="213">
      <c r="A213" s="4" t="inlineStr">
        <is>
          <t>UA-2026-06-25-005256-a</t>
        </is>
      </c>
      <c r="B213" t="inlineStr">
        <is>
          <t>2026-06-25</t>
        </is>
      </c>
      <c r="C213" t="inlineStr">
        <is>
          <t>ВОЛИНСЬКА ОБЛАСНА ПРОКУРАТУРА</t>
        </is>
      </c>
      <c r="D213" t="inlineStr">
        <is>
          <t>Системні блоки згідно коду ДК 021:2015: 30210000-4 - Машини для обробки даних (а</t>
        </is>
      </c>
      <c r="E213" s="13" t="n">
        <v>67410</v>
      </c>
      <c r="H213" t="inlineStr">
        <is>
          <t>ми не подавалися</t>
        </is>
      </c>
    </row>
    <row r="214">
      <c r="A214" s="4" t="inlineStr">
        <is>
          <t>UA-2026-08-09-000561-a</t>
        </is>
      </c>
      <c r="B214" t="inlineStr">
        <is>
          <t>2026-08-09</t>
        </is>
      </c>
      <c r="C214" t="inlineStr">
        <is>
          <t>ВІЙСЬКОВА ЧАСТИНА 1141 НАЦІОНАЛЬНОЇ ГВАРДІЇ УКРАЇНИ</t>
        </is>
      </c>
      <c r="D214" t="inlineStr">
        <is>
          <t>Планшети Lenovo Idea Tab 8/128 Gb Luna Grey+ Pen</t>
        </is>
      </c>
      <c r="E214" s="13" t="n">
        <v>34396</v>
      </c>
      <c r="H214" t="inlineStr">
        <is>
          <t>ми не подавалися</t>
        </is>
      </c>
    </row>
    <row r="215">
      <c r="A215" s="4" t="inlineStr">
        <is>
          <t>UA-2026-06-18-009978-a</t>
        </is>
      </c>
      <c r="B215" t="inlineStr">
        <is>
          <t>2026-06-18</t>
        </is>
      </c>
      <c r="C215" t="inlineStr">
        <is>
          <t>Виконавчий комітет Ковельської міської ради</t>
        </is>
      </c>
      <c r="D215" t="inlineStr">
        <is>
          <t>Зовнішній жорсткий диск 2.5" 2TB</t>
        </is>
      </c>
      <c r="E215" s="13" t="n">
        <v>33001.5</v>
      </c>
      <c r="H215" t="inlineStr">
        <is>
          <t>ми не подавалися</t>
        </is>
      </c>
    </row>
    <row r="216">
      <c r="A216" s="4" t="inlineStr">
        <is>
          <t>UA-2026-08-03-002229-a</t>
        </is>
      </c>
      <c r="B216" t="inlineStr">
        <is>
          <t>2026-08-03</t>
        </is>
      </c>
      <c r="C216" t="inlineStr">
        <is>
          <t>Виконавчий комітет Луцької міської ради</t>
        </is>
      </c>
      <c r="D216" t="inlineStr">
        <is>
          <t>Монітор 31.5" Samsung Odyssey G5 S32CG550</t>
        </is>
      </c>
      <c r="E216" s="13" t="n">
        <v>32600</v>
      </c>
      <c r="H216" t="inlineStr">
        <is>
          <t>ми не подавалися</t>
        </is>
      </c>
    </row>
    <row r="217">
      <c r="A217" s="4" t="inlineStr">
        <is>
          <t>UA-2026-07-08-009506-a</t>
        </is>
      </c>
      <c r="B217" t="inlineStr">
        <is>
          <t>2026-07-08</t>
        </is>
      </c>
      <c r="C217" t="inlineStr">
        <is>
          <t>Виконавчий комітет Луцької міської ради</t>
        </is>
      </c>
      <c r="D217" t="inlineStr">
        <is>
          <t>Багатофункціональні пристрої</t>
        </is>
      </c>
      <c r="E217" s="13" t="n">
        <v>32248</v>
      </c>
      <c r="H217" t="inlineStr">
        <is>
          <t>ми не подавалися</t>
        </is>
      </c>
    </row>
    <row r="218">
      <c r="A218" s="4" t="inlineStr">
        <is>
          <t>UA-2025-10-28-007426-a</t>
        </is>
      </c>
      <c r="B218" t="inlineStr">
        <is>
          <t>2025-10-28</t>
        </is>
      </c>
      <c r="C218" t="inlineStr">
        <is>
          <t>ВОЛИНСЬКА ОБЛАСНА ПРОКУРАТУРА</t>
        </is>
      </c>
      <c r="D218" t="inlineStr">
        <is>
          <t xml:space="preserve">Клавіатури в комплекті з мишею (бездротові) (ДК 021:2015-30230000-0 Комп’ютерне </t>
        </is>
      </c>
      <c r="E218" s="13" t="n">
        <v>31329.6</v>
      </c>
      <c r="H218" t="inlineStr">
        <is>
          <t>ми не подавалися</t>
        </is>
      </c>
    </row>
    <row r="219">
      <c r="A219" s="4" t="inlineStr">
        <is>
          <t>UA-2025-11-15-000404-a</t>
        </is>
      </c>
      <c r="B219" t="inlineStr">
        <is>
          <t>2025-11-15</t>
        </is>
      </c>
      <c r="C219" t="inlineStr">
        <is>
          <t>Луцький національний технічний університет</t>
        </is>
      </c>
      <c r="D219" t="inlineStr">
        <is>
          <t>Комп’ютерне обладнання</t>
        </is>
      </c>
      <c r="E219" s="13" t="n">
        <v>23026.8</v>
      </c>
      <c r="H219" t="inlineStr">
        <is>
          <t>ми не подавалися</t>
        </is>
      </c>
    </row>
    <row r="220">
      <c r="A220" s="4" t="inlineStr">
        <is>
          <t>UA-2026-06-16-013148-a</t>
        </is>
      </c>
      <c r="B220" t="inlineStr">
        <is>
          <t>2026-06-16</t>
        </is>
      </c>
      <c r="C220" t="inlineStr">
        <is>
          <t>ВИКОНАВЧИЙ КОМІТЕТ НОВОВОЛИНСЬКОЇ МІСЬКОЇ РАДИ</t>
        </is>
      </c>
      <c r="D220" t="inlineStr">
        <is>
          <t>Карта пам'яті Kingston 128 GB microSDXC Canvas Select Plus Gen3 + SD-Adapter SDC</t>
        </is>
      </c>
      <c r="E220" s="13" t="n">
        <v>17072.64</v>
      </c>
      <c r="H220" t="inlineStr">
        <is>
          <t>ми не подавалися</t>
        </is>
      </c>
    </row>
    <row r="221">
      <c r="A221" s="4" t="inlineStr">
        <is>
          <t>UA-2026-05-08-003021-a</t>
        </is>
      </c>
      <c r="B221" t="inlineStr">
        <is>
          <t>2026-05-08</t>
        </is>
      </c>
      <c r="C221" t="inlineStr">
        <is>
          <t>Військова частина Т0430</t>
        </is>
      </c>
      <c r="D221" t="inlineStr">
        <is>
          <t>Комп’ютерне обладнання</t>
        </is>
      </c>
      <c r="E221" s="13" t="n">
        <v>6984</v>
      </c>
      <c r="H221" t="inlineStr">
        <is>
          <t>ми не подавалися</t>
        </is>
      </c>
    </row>
    <row r="222">
      <c r="A222" s="4" t="inlineStr">
        <is>
          <t>UA-2026-08-29-000236-a</t>
        </is>
      </c>
      <c r="B222" t="inlineStr">
        <is>
          <t>2026-08-29</t>
        </is>
      </c>
      <c r="C222" t="inlineStr">
        <is>
          <t>ВІЙСЬКОВА ЧАСТИНА 1141 НАЦІОНАЛЬНОЇ ГВАРДІЇ УКРАЇНИ</t>
        </is>
      </c>
      <c r="D222" t="inlineStr">
        <is>
          <t>Клавіатури в комплекті з мишею Logitech MK235 Wireless Combo (920-007931)</t>
        </is>
      </c>
      <c r="E222" s="13" t="n">
        <v>6688.75</v>
      </c>
      <c r="H222" t="inlineStr">
        <is>
          <t>ми не подавалися</t>
        </is>
      </c>
    </row>
    <row r="223">
      <c r="A223" s="4" t="inlineStr">
        <is>
          <t>UA-2026-05-18-008410-a</t>
        </is>
      </c>
      <c r="B223" t="inlineStr">
        <is>
          <t>2026-05-18</t>
        </is>
      </c>
      <c r="C223" t="inlineStr">
        <is>
          <t>Виконавчий комітет Луцької міської ради</t>
        </is>
      </c>
      <c r="D223" t="inlineStr">
        <is>
          <t>Клавіатури в комплекті з мишею</t>
        </is>
      </c>
      <c r="E223" s="13" t="n">
        <v>4800</v>
      </c>
      <c r="H223" t="inlineStr">
        <is>
          <t>ми не подавалися</t>
        </is>
      </c>
    </row>
    <row r="224">
      <c r="A224" s="4" t="inlineStr">
        <is>
          <t>UA-2025-09-04-010981-a</t>
        </is>
      </c>
      <c r="B224" t="inlineStr">
        <is>
          <t>2025-09-04</t>
        </is>
      </c>
      <c r="C224" t="inlineStr">
        <is>
          <t>ВІЙСЬКОВА ЧАСТИНА 1141 НАЦІОНАЛЬНОЇ ГВАРДІЇ УКРАЇНИ</t>
        </is>
      </c>
      <c r="D224" t="inlineStr">
        <is>
          <t>Клавіатури в комплекті з мишею</t>
        </is>
      </c>
      <c r="E224" s="13" t="n">
        <v>4537.92</v>
      </c>
      <c r="H224" t="inlineStr">
        <is>
          <t>ми не подавалися</t>
        </is>
      </c>
    </row>
    <row r="225">
      <c r="A225" s="4" t="inlineStr">
        <is>
          <t>UA-2026-07-21-001040-a</t>
        </is>
      </c>
      <c r="B225" t="inlineStr">
        <is>
          <t>2026-07-21</t>
        </is>
      </c>
      <c r="C225" t="inlineStr">
        <is>
          <t>КП "Ковельський центр медичної реабілітації та паліативної допомоги" Волинської обласної ради</t>
        </is>
      </c>
      <c r="D225" t="inlineStr">
        <is>
          <t>Миша дротова А4 ОР-720 (За кодом ДК 021:2015-30230000-0 Комп’ютерне обладнання)</t>
        </is>
      </c>
      <c r="E225" s="13" t="n">
        <v>712.26</v>
      </c>
      <c r="H225" t="inlineStr">
        <is>
          <t>ми не подавалися</t>
        </is>
      </c>
    </row>
    <row r="226">
      <c r="A226" s="4" t="inlineStr">
        <is>
          <t>UA-2026-05-07-003993-a</t>
        </is>
      </c>
      <c r="B226" t="inlineStr">
        <is>
          <t>2026-05-07</t>
        </is>
      </c>
      <c r="C226" t="inlineStr">
        <is>
          <t>КП "Ковельський центр медичної реабілітації та паліативної допомоги" Волинської обласної ради</t>
        </is>
      </c>
      <c r="D226" t="inlineStr">
        <is>
          <t>UDB флеш накопичувач 16Gb GOODRAM UME2 White (За кодом ДК 021:2015-30230000-0 Ко</t>
        </is>
      </c>
      <c r="E226" s="13" t="n">
        <v>284.94</v>
      </c>
      <c r="H226" t="inlineStr">
        <is>
          <t>ми не подавалися</t>
        </is>
      </c>
    </row>
    <row r="227">
      <c r="A227" s="4" t="inlineStr">
        <is>
          <t>UA-2026-03-12-004612-a</t>
        </is>
      </c>
      <c r="B227" t="inlineStr">
        <is>
          <t>2026-03-12</t>
        </is>
      </c>
      <c r="C227" t="inlineStr">
        <is>
          <t>КНП "ІВАНИЧІВСЬКИЙ ЦЕНТР ПЕРВИННОЇ МЕДИКО-САНІТАРНОЇ ДОПОМОГИ"</t>
        </is>
      </c>
      <c r="D227" t="inlineStr">
        <is>
          <t>Килимок для комп’ютерної мишки А4</t>
        </is>
      </c>
      <c r="E227" s="13" t="n">
        <v>127.5</v>
      </c>
      <c r="H227" t="inlineStr">
        <is>
          <t>ми не подавалися</t>
        </is>
      </c>
    </row>
    <row r="229">
      <c r="A229" s="8" t="inlineStr">
        <is>
          <t>Сильні сторони</t>
        </is>
      </c>
    </row>
    <row r="230">
      <c r="A230" t="inlineStr">
        <is>
          <t>+  наявність сертифікатів (23 файлів)</t>
        </is>
      </c>
    </row>
    <row r="231">
      <c r="A231" t="inlineStr">
        <is>
          <t>+  авторизація виробника (47 листів)</t>
        </is>
      </c>
    </row>
    <row r="232">
      <c r="A232" t="inlineStr">
        <is>
          <t>+  стабільна база замовників (40,0% повторних)</t>
        </is>
      </c>
    </row>
    <row r="233">
      <c r="A233" t="inlineStr">
        <is>
          <t>+  уміє вигравати у відкритих торгах</t>
        </is>
      </c>
    </row>
    <row r="234">
      <c r="A234" t="inlineStr">
        <is>
          <t>+  працює з великими контрактами</t>
        </is>
      </c>
    </row>
    <row r="236">
      <c r="A236" s="8" t="inlineStr">
        <is>
          <t>Слабкі сторони</t>
        </is>
      </c>
    </row>
    <row r="237">
      <c r="A237" t="inlineStr">
        <is>
          <t>−  слабка цінова позиція: дисконт 1,0% проти 8,3% по ринку</t>
        </is>
      </c>
    </row>
    <row r="238">
      <c r="A238" t="inlineStr">
        <is>
          <t>−  низька результативність на торгах (20,0%)</t>
        </is>
      </c>
    </row>
    <row r="239">
      <c r="A239" t="inlineStr">
        <is>
          <t>−  спад (-81% у другій половині періоду)</t>
        </is>
      </c>
    </row>
  </sheetData>
  <hyperlinks>
    <hyperlink xmlns:r="http://schemas.openxmlformats.org/officeDocument/2006/relationships" ref="A181" r:id="rId1"/>
    <hyperlink xmlns:r="http://schemas.openxmlformats.org/officeDocument/2006/relationships" ref="A185" r:id="rId2"/>
    <hyperlink xmlns:r="http://schemas.openxmlformats.org/officeDocument/2006/relationships" ref="A186" r:id="rId3"/>
    <hyperlink xmlns:r="http://schemas.openxmlformats.org/officeDocument/2006/relationships" ref="A187" r:id="rId4"/>
    <hyperlink xmlns:r="http://schemas.openxmlformats.org/officeDocument/2006/relationships" ref="A188" r:id="rId5"/>
    <hyperlink xmlns:r="http://schemas.openxmlformats.org/officeDocument/2006/relationships" ref="A189" r:id="rId6"/>
    <hyperlink xmlns:r="http://schemas.openxmlformats.org/officeDocument/2006/relationships" ref="A190" r:id="rId7"/>
    <hyperlink xmlns:r="http://schemas.openxmlformats.org/officeDocument/2006/relationships" ref="A191" r:id="rId8"/>
    <hyperlink xmlns:r="http://schemas.openxmlformats.org/officeDocument/2006/relationships" ref="A192" r:id="rId9"/>
    <hyperlink xmlns:r="http://schemas.openxmlformats.org/officeDocument/2006/relationships" ref="A193" r:id="rId10"/>
    <hyperlink xmlns:r="http://schemas.openxmlformats.org/officeDocument/2006/relationships" ref="A194" r:id="rId11"/>
    <hyperlink xmlns:r="http://schemas.openxmlformats.org/officeDocument/2006/relationships" ref="A195" r:id="rId12"/>
    <hyperlink xmlns:r="http://schemas.openxmlformats.org/officeDocument/2006/relationships" ref="A196" r:id="rId13"/>
    <hyperlink xmlns:r="http://schemas.openxmlformats.org/officeDocument/2006/relationships" ref="A197" r:id="rId14"/>
    <hyperlink xmlns:r="http://schemas.openxmlformats.org/officeDocument/2006/relationships" ref="A198" r:id="rId15"/>
    <hyperlink xmlns:r="http://schemas.openxmlformats.org/officeDocument/2006/relationships" ref="A199" r:id="rId16"/>
    <hyperlink xmlns:r="http://schemas.openxmlformats.org/officeDocument/2006/relationships" ref="A200" r:id="rId17"/>
    <hyperlink xmlns:r="http://schemas.openxmlformats.org/officeDocument/2006/relationships" ref="A201" r:id="rId18"/>
    <hyperlink xmlns:r="http://schemas.openxmlformats.org/officeDocument/2006/relationships" ref="A202" r:id="rId19"/>
    <hyperlink xmlns:r="http://schemas.openxmlformats.org/officeDocument/2006/relationships" ref="A203" r:id="rId20"/>
    <hyperlink xmlns:r="http://schemas.openxmlformats.org/officeDocument/2006/relationships" ref="A204" r:id="rId21"/>
    <hyperlink xmlns:r="http://schemas.openxmlformats.org/officeDocument/2006/relationships" ref="A208" r:id="rId22"/>
    <hyperlink xmlns:r="http://schemas.openxmlformats.org/officeDocument/2006/relationships" ref="A209" r:id="rId23"/>
    <hyperlink xmlns:r="http://schemas.openxmlformats.org/officeDocument/2006/relationships" ref="A210" r:id="rId24"/>
    <hyperlink xmlns:r="http://schemas.openxmlformats.org/officeDocument/2006/relationships" ref="A211" r:id="rId25"/>
    <hyperlink xmlns:r="http://schemas.openxmlformats.org/officeDocument/2006/relationships" ref="A212" r:id="rId26"/>
    <hyperlink xmlns:r="http://schemas.openxmlformats.org/officeDocument/2006/relationships" ref="A213" r:id="rId27"/>
    <hyperlink xmlns:r="http://schemas.openxmlformats.org/officeDocument/2006/relationships" ref="A214" r:id="rId28"/>
    <hyperlink xmlns:r="http://schemas.openxmlformats.org/officeDocument/2006/relationships" ref="A215" r:id="rId29"/>
    <hyperlink xmlns:r="http://schemas.openxmlformats.org/officeDocument/2006/relationships" ref="A216" r:id="rId30"/>
    <hyperlink xmlns:r="http://schemas.openxmlformats.org/officeDocument/2006/relationships" ref="A217" r:id="rId31"/>
    <hyperlink xmlns:r="http://schemas.openxmlformats.org/officeDocument/2006/relationships" ref="A218" r:id="rId32"/>
    <hyperlink xmlns:r="http://schemas.openxmlformats.org/officeDocument/2006/relationships" ref="A219" r:id="rId33"/>
    <hyperlink xmlns:r="http://schemas.openxmlformats.org/officeDocument/2006/relationships" ref="A220" r:id="rId34"/>
    <hyperlink xmlns:r="http://schemas.openxmlformats.org/officeDocument/2006/relationships" ref="A221" r:id="rId35"/>
    <hyperlink xmlns:r="http://schemas.openxmlformats.org/officeDocument/2006/relationships" ref="A222" r:id="rId36"/>
    <hyperlink xmlns:r="http://schemas.openxmlformats.org/officeDocument/2006/relationships" ref="A223" r:id="rId37"/>
    <hyperlink xmlns:r="http://schemas.openxmlformats.org/officeDocument/2006/relationships" ref="A224" r:id="rId38"/>
    <hyperlink xmlns:r="http://schemas.openxmlformats.org/officeDocument/2006/relationships" ref="A225" r:id="rId39"/>
    <hyperlink xmlns:r="http://schemas.openxmlformats.org/officeDocument/2006/relationships" ref="A226" r:id="rId40"/>
    <hyperlink xmlns:r="http://schemas.openxmlformats.org/officeDocument/2006/relationships" ref="A227" r:id="rId41"/>
  </hyperlinks>
  <pageMargins left="0.75" right="0.75" top="1" bottom="1" header="0.5" footer="0.5"/>
  <drawing xmlns:r="http://schemas.openxmlformats.org/officeDocument/2006/relationships" r:id="rId42"/>
  <tableParts count="6">
    <tablePart xmlns:r="http://schemas.openxmlformats.org/officeDocument/2006/relationships" r:id="rId43"/>
    <tablePart xmlns:r="http://schemas.openxmlformats.org/officeDocument/2006/relationships" r:id="rId44"/>
    <tablePart xmlns:r="http://schemas.openxmlformats.org/officeDocument/2006/relationships" r:id="rId45"/>
    <tablePart xmlns:r="http://schemas.openxmlformats.org/officeDocument/2006/relationships" r:id="rId46"/>
    <tablePart xmlns:r="http://schemas.openxmlformats.org/officeDocument/2006/relationships" r:id="rId47"/>
    <tablePart xmlns:r="http://schemas.openxmlformats.org/officeDocument/2006/relationships" r:id="rId48"/>
  </tableParts>
</worksheet>
</file>

<file path=xl/worksheets/sheet27.xml><?xml version="1.0" encoding="utf-8"?>
<worksheet xmlns="http://schemas.openxmlformats.org/spreadsheetml/2006/main">
  <sheetPr>
    <outlinePr summaryBelow="1" summaryRight="1"/>
    <pageSetUpPr/>
  </sheetPr>
  <dimension ref="A1:I95"/>
  <sheetViews>
    <sheetView showGridLines="0" workbookViewId="0">
      <selection activeCell="A1" sqref="A1"/>
    </sheetView>
  </sheetViews>
  <sheetFormatPr baseColWidth="8" defaultRowHeight="15"/>
  <cols>
    <col width="42" customWidth="1" min="1" max="1"/>
    <col width="25" customWidth="1" min="2" max="2"/>
    <col width="60" customWidth="1" min="3" max="3"/>
    <col width="24" customWidth="1" min="4" max="4"/>
    <col width="21" customWidth="1" min="5" max="5"/>
    <col width="22" customWidth="1" min="6" max="6"/>
    <col width="23" customWidth="1" min="7" max="7"/>
    <col width="45" customWidth="1" min="8" max="8"/>
    <col width="10" customWidth="1" min="9" max="9"/>
  </cols>
  <sheetData>
    <row r="1">
      <c r="A1" s="1" t="inlineStr">
        <is>
          <t>ТОВ "ІНТЕРАКТИВНІ СИСТЕМИ НАВЧАННЯ"</t>
        </is>
      </c>
    </row>
    <row r="2">
      <c r="A2" s="6" t="inlineStr">
        <is>
          <t>ЄДРПОУ 42216158  ·  конкурент  ·  місце №14</t>
        </is>
      </c>
    </row>
    <row r="4">
      <c r="A4" s="7" t="inlineStr">
        <is>
          <t>ТОВ "ІНТЕРАКТИВНІ СИСТЕМИ НАВЧАННЯ" (42216158)</t>
        </is>
      </c>
    </row>
    <row r="6">
      <c r="A6" s="8" t="inlineStr">
        <is>
          <t>Показники</t>
        </is>
      </c>
    </row>
    <row r="7">
      <c r="A7" s="9" t="inlineStr">
        <is>
          <t>Місце на ринку</t>
        </is>
      </c>
      <c r="B7" s="10" t="inlineStr">
        <is>
          <t>№14</t>
        </is>
      </c>
    </row>
    <row r="8">
      <c r="A8" s="9" t="inlineStr">
        <is>
          <t>Сума угод</t>
        </is>
      </c>
      <c r="B8" s="10" t="inlineStr">
        <is>
          <t>1,9 млн грн</t>
        </is>
      </c>
    </row>
    <row r="9">
      <c r="A9" s="9" t="inlineStr">
        <is>
          <t>Частка ринку</t>
        </is>
      </c>
      <c r="B9" s="10" t="inlineStr">
        <is>
          <t>1,6%</t>
        </is>
      </c>
    </row>
    <row r="10">
      <c r="A10" s="9" t="inlineStr">
        <is>
          <t>Угод</t>
        </is>
      </c>
      <c r="B10" s="10" t="inlineStr">
        <is>
          <t>1</t>
        </is>
      </c>
    </row>
    <row r="11">
      <c r="A11" s="9" t="inlineStr">
        <is>
          <t>Закупівель виграно</t>
        </is>
      </c>
      <c r="B11" s="10" t="inlineStr">
        <is>
          <t>1</t>
        </is>
      </c>
    </row>
    <row r="12">
      <c r="A12" s="9" t="inlineStr">
        <is>
          <t>Подань (де видно)</t>
        </is>
      </c>
      <c r="B12" s="10" t="inlineStr">
        <is>
          <t>1</t>
        </is>
      </c>
    </row>
    <row r="13">
      <c r="A13" s="9" t="inlineStr">
        <is>
          <t>Виграно з поданих</t>
        </is>
      </c>
      <c r="B13" s="10" t="inlineStr">
        <is>
          <t>1 з 1</t>
        </is>
      </c>
    </row>
    <row r="14">
      <c r="A14" s="9" t="inlineStr">
        <is>
          <t>Результативність</t>
        </is>
      </c>
      <c r="B14" s="10" t="inlineStr">
        <is>
          <t>100,0%</t>
        </is>
      </c>
    </row>
    <row r="15">
      <c r="A15" s="9" t="inlineStr">
        <is>
          <t>Середня угода</t>
        </is>
      </c>
      <c r="B15" s="10" t="inlineStr">
        <is>
          <t>1,9 млн грн</t>
        </is>
      </c>
    </row>
    <row r="16">
      <c r="A16" s="9" t="inlineStr">
        <is>
          <t>Медіанна угода</t>
        </is>
      </c>
      <c r="B16" s="10" t="inlineStr">
        <is>
          <t>1,9 млн грн</t>
        </is>
      </c>
    </row>
    <row r="17">
      <c r="A17" s="9" t="inlineStr">
        <is>
          <t>Замовників</t>
        </is>
      </c>
      <c r="B17" s="10" t="inlineStr">
        <is>
          <t>1</t>
        </is>
      </c>
    </row>
    <row r="18">
      <c r="A18" s="9" t="inlineStr">
        <is>
          <t>Областей</t>
        </is>
      </c>
      <c r="B18" s="10" t="inlineStr">
        <is>
          <t>1</t>
        </is>
      </c>
    </row>
    <row r="19">
      <c r="A19" s="9" t="inlineStr">
        <is>
          <t>Основна ТМ</t>
        </is>
      </c>
      <c r="B19" s="10" t="inlineStr">
        <is>
          <t>не визначено</t>
        </is>
      </c>
    </row>
    <row r="20">
      <c r="A20" s="9" t="inlineStr">
        <is>
          <t>Основний товар</t>
        </is>
      </c>
      <c r="B20" s="10" t="inlineStr">
        <is>
          <t>Персональний комп'ютер</t>
        </is>
      </c>
    </row>
    <row r="21">
      <c r="A21" s="9" t="inlineStr">
        <is>
          <t>Дисконт (медіана)</t>
        </is>
      </c>
      <c r="B21" s="10" t="inlineStr">
        <is>
          <t>5,2%</t>
        </is>
      </c>
    </row>
    <row r="22">
      <c r="A22" s="9" t="inlineStr">
        <is>
          <t>Повторні замовники</t>
        </is>
      </c>
      <c r="B22" s="10" t="inlineStr">
        <is>
          <t>0,0%</t>
        </is>
      </c>
    </row>
    <row r="23">
      <c r="A23" s="9" t="inlineStr">
        <is>
          <t>Активність</t>
        </is>
      </c>
      <c r="B23" s="10" t="inlineStr">
        <is>
          <t>2025-11-26 — 2025-11-26</t>
        </is>
      </c>
    </row>
    <row r="24">
      <c r="A24" s="9" t="inlineStr">
        <is>
          <t>Зірвано перемог</t>
        </is>
      </c>
      <c r="B24" s="10" t="inlineStr">
        <is>
          <t>—</t>
        </is>
      </c>
    </row>
    <row r="25">
      <c r="A25" s="9" t="inlineStr">
        <is>
          <t>Причина зривів</t>
        </is>
      </c>
      <c r="B25" s="10" t="inlineStr">
        <is>
          <t>—</t>
        </is>
      </c>
    </row>
    <row r="27">
      <c r="A27" s="8" t="inlineStr">
        <is>
          <t>Висновки</t>
        </is>
      </c>
    </row>
    <row r="28">
      <c r="A28" t="inlineStr">
        <is>
          <t>•  14-е місце на ринку: 1,9 млн грн (1,6% обороту)</t>
        </is>
      </c>
    </row>
    <row r="29">
      <c r="A29" t="inlineStr">
        <is>
          <t>•  Основний товар: персональний комп'ютер</t>
        </is>
      </c>
    </row>
    <row r="30">
      <c r="A30" t="inlineStr">
        <is>
          <t>•  Тримає ціну: дисконт 5,2% проти 8,3% по ринку</t>
        </is>
      </c>
    </row>
    <row r="31">
      <c r="A31" t="inlineStr">
        <is>
          <t>•  У поданих файлах — сертифікатів: 5</t>
        </is>
      </c>
    </row>
    <row r="33">
      <c r="A33" s="8" t="inlineStr">
        <is>
          <t>Графіки</t>
        </is>
      </c>
    </row>
    <row r="35">
      <c r="A35" s="2" t="inlineStr">
        <is>
          <t>Що саме продає</t>
        </is>
      </c>
    </row>
    <row r="36">
      <c r="A36" s="3" t="inlineStr">
        <is>
          <t>Категорія</t>
        </is>
      </c>
      <c r="B36" s="3" t="inlineStr">
        <is>
          <t>Позицій, шт</t>
        </is>
      </c>
    </row>
    <row r="37">
      <c r="A37" t="inlineStr">
        <is>
          <t>Персональний комп'ютер</t>
        </is>
      </c>
      <c r="B37" s="5" t="n">
        <v>1</v>
      </c>
    </row>
    <row r="51">
      <c r="A51" s="2" t="inlineStr">
        <is>
          <t>Ключові замовники</t>
        </is>
      </c>
    </row>
    <row r="52">
      <c r="A52" s="3" t="inlineStr">
        <is>
          <t>Категорія</t>
        </is>
      </c>
      <c r="B52" s="3" t="inlineStr">
        <is>
          <t>Сума, грн</t>
        </is>
      </c>
    </row>
    <row r="53">
      <c r="A53" t="inlineStr">
        <is>
          <t>ЛІЦЕЙ ІМЕНІ ОЛЕКСАНДРА ЦИНКАЛОВСЬКОГО ВО</t>
        </is>
      </c>
      <c r="B53" s="5" t="n">
        <v>1861920</v>
      </c>
    </row>
    <row r="67">
      <c r="A67" s="8" t="inlineStr">
        <is>
          <t>Таблиці</t>
        </is>
      </c>
    </row>
    <row r="69">
      <c r="A69" s="2" t="inlineStr">
        <is>
          <t>Товари</t>
        </is>
      </c>
    </row>
    <row r="70">
      <c r="A70" s="11" t="inlineStr">
        <is>
          <t>Товар</t>
        </is>
      </c>
      <c r="B70" s="11" t="inlineStr">
        <is>
          <t>Позицій</t>
        </is>
      </c>
    </row>
    <row r="71">
      <c r="A71" t="inlineStr">
        <is>
          <t>Персональний комп'ютер</t>
        </is>
      </c>
      <c r="B71" s="5" t="n">
        <v>1</v>
      </c>
    </row>
    <row r="73">
      <c r="A73" s="2" t="inlineStr">
        <is>
          <t>Документи</t>
        </is>
      </c>
    </row>
    <row r="74">
      <c r="A74" s="11" t="inlineStr">
        <is>
          <t>Тип документа</t>
        </is>
      </c>
      <c r="B74" s="11" t="inlineStr">
        <is>
          <t>Файлів</t>
        </is>
      </c>
    </row>
    <row r="75">
      <c r="A75" t="inlineStr">
        <is>
          <t>не класифіковано</t>
        </is>
      </c>
      <c r="B75" s="5" t="n">
        <v>33</v>
      </c>
    </row>
    <row r="76">
      <c r="A76" t="inlineStr">
        <is>
          <t>Установчі та реєстраційні</t>
        </is>
      </c>
      <c r="B76" s="5" t="n">
        <v>13</v>
      </c>
    </row>
    <row r="77">
      <c r="A77" t="inlineStr">
        <is>
          <t>Сертифікат / декларація відповідності</t>
        </is>
      </c>
      <c r="B77" s="5" t="n">
        <v>5</v>
      </c>
    </row>
    <row r="78">
      <c r="A78" t="inlineStr">
        <is>
          <t>Підпис КЕП</t>
        </is>
      </c>
      <c r="B78" s="5" t="n">
        <v>3</v>
      </c>
    </row>
    <row r="79">
      <c r="A79" t="inlineStr">
        <is>
          <t>Тендерна документація</t>
        </is>
      </c>
      <c r="B79" s="5" t="n">
        <v>3</v>
      </c>
    </row>
    <row r="80">
      <c r="A80" t="inlineStr">
        <is>
          <t>Договір</t>
        </is>
      </c>
      <c r="B80" s="5" t="n">
        <v>1</v>
      </c>
    </row>
    <row r="82">
      <c r="A82" s="2" t="inlineStr">
        <is>
          <t>Угоди</t>
        </is>
      </c>
    </row>
    <row r="83">
      <c r="A83" s="11" t="inlineStr">
        <is>
          <t>Закупівля</t>
        </is>
      </c>
      <c r="B83" s="11" t="inlineStr">
        <is>
          <t>Дата</t>
        </is>
      </c>
      <c r="C83" s="11" t="inlineStr">
        <is>
          <t>Замовник</t>
        </is>
      </c>
      <c r="D83" s="11" t="inlineStr">
        <is>
          <t>Регіон</t>
        </is>
      </c>
      <c r="E83" s="11" t="inlineStr">
        <is>
          <t>Сума, грн</t>
        </is>
      </c>
      <c r="F83" s="11" t="inlineStr">
        <is>
          <t>Очікувана, грн</t>
        </is>
      </c>
      <c r="G83" s="11" t="inlineStr">
        <is>
          <t>Процедура</t>
        </is>
      </c>
      <c r="H83" s="11" t="inlineStr">
        <is>
          <t>Галузь</t>
        </is>
      </c>
      <c r="I83" s="11" t="inlineStr">
        <is>
          <t>Джерело</t>
        </is>
      </c>
    </row>
    <row r="84">
      <c r="A84" s="4" t="inlineStr">
        <is>
          <t>UA-2025-11-11-008865-a</t>
        </is>
      </c>
      <c r="B84" t="inlineStr">
        <is>
          <t>2025-11-26</t>
        </is>
      </c>
      <c r="C84" t="inlineStr">
        <is>
          <t>ЛІЦЕЙ ІМЕНІ ОЛЕКСАНДРА ЦИНКАЛОВСЬКОГО ВОЛОДИМИРСЬКОЇ МІСЬКОЇ РАДИ</t>
        </is>
      </c>
      <c r="D84" t="inlineStr">
        <is>
          <t>Волинська область</t>
        </is>
      </c>
      <c r="E84" s="5" t="n">
        <v>1861920</v>
      </c>
      <c r="F84" s="5" t="n">
        <v>1964000</v>
      </c>
      <c r="G84" t="inlineStr">
        <is>
          <t>Відкриті торги (нові)</t>
        </is>
      </c>
      <c r="H84" t="inlineStr">
        <is>
          <t>Машини для обробки даних (апаратна частина)</t>
        </is>
      </c>
      <c r="I84" t="inlineStr">
        <is>
          <t>договір</t>
        </is>
      </c>
    </row>
    <row r="86">
      <c r="A86" s="2" t="inlineStr">
        <is>
          <t>Наші зустрічі</t>
        </is>
      </c>
    </row>
    <row r="87">
      <c r="A87" s="11" t="inlineStr">
        <is>
          <t>Закупівля</t>
        </is>
      </c>
      <c r="B87" s="11" t="inlineStr">
        <is>
          <t>Дата</t>
        </is>
      </c>
      <c r="C87" s="11" t="inlineStr">
        <is>
          <t>Замовник</t>
        </is>
      </c>
      <c r="D87" s="11" t="inlineStr">
        <is>
          <t>Предмет</t>
        </is>
      </c>
      <c r="E87" s="11" t="inlineStr">
        <is>
          <t>Сума переможця, грн</t>
        </is>
      </c>
      <c r="F87" s="11" t="inlineStr">
        <is>
          <t>Наша пропозиція, грн</t>
        </is>
      </c>
      <c r="G87" s="11" t="inlineStr">
        <is>
          <t>Розрив</t>
        </is>
      </c>
      <c r="H87" s="11" t="inlineStr">
        <is>
          <t>Що сталося</t>
        </is>
      </c>
    </row>
    <row r="88">
      <c r="A88" s="4" t="inlineStr">
        <is>
          <t>UA-2025-11-11-008865-a</t>
        </is>
      </c>
      <c r="B88" t="inlineStr">
        <is>
          <t>2025-11-11</t>
        </is>
      </c>
      <c r="C88" t="inlineStr">
        <is>
          <t>ЛІЦЕЙ ІМЕНІ ОЛЕКСАНДРА ЦИНКАЛОВСЬКОГО ВОЛОДИМИРСЬКОЇ МІСЬКОЇ РАДИ</t>
        </is>
      </c>
      <c r="D88" t="inlineStr">
        <is>
          <t>Персональний комп'ютер</t>
        </is>
      </c>
      <c r="E88" s="5" t="n">
        <v>1861920</v>
      </c>
      <c r="H88" t="inlineStr">
        <is>
          <t>ми не подавалися</t>
        </is>
      </c>
    </row>
    <row r="90">
      <c r="A90" s="8" t="inlineStr">
        <is>
          <t>Сильні сторони</t>
        </is>
      </c>
    </row>
    <row r="91">
      <c r="A91" t="inlineStr">
        <is>
          <t>+  наявність сертифікатів (5 файлів)</t>
        </is>
      </c>
    </row>
    <row r="92">
      <c r="A92" t="inlineStr">
        <is>
          <t>+  працює з великими контрактами</t>
        </is>
      </c>
    </row>
    <row r="94">
      <c r="A94" s="8" t="inlineStr">
        <is>
          <t>Слабкі сторони</t>
        </is>
      </c>
    </row>
    <row r="95">
      <c r="A95" t="inlineStr">
        <is>
          <t>−  слабка цінова позиція: дисконт 5,2% проти 8,3% по ринку</t>
        </is>
      </c>
    </row>
  </sheetData>
  <hyperlinks>
    <hyperlink xmlns:r="http://schemas.openxmlformats.org/officeDocument/2006/relationships" ref="A84" r:id="rId1"/>
    <hyperlink xmlns:r="http://schemas.openxmlformats.org/officeDocument/2006/relationships" ref="A88" r:id="rId2"/>
  </hyperlinks>
  <pageMargins left="0.75" right="0.75" top="1" bottom="1" header="0.5" footer="0.5"/>
  <drawing xmlns:r="http://schemas.openxmlformats.org/officeDocument/2006/relationships" r:id="rId3"/>
  <tableParts count="4">
    <tablePart xmlns:r="http://schemas.openxmlformats.org/officeDocument/2006/relationships" r:id="rId4"/>
    <tablePart xmlns:r="http://schemas.openxmlformats.org/officeDocument/2006/relationships" r:id="rId5"/>
    <tablePart xmlns:r="http://schemas.openxmlformats.org/officeDocument/2006/relationships" r:id="rId6"/>
    <tablePart xmlns:r="http://schemas.openxmlformats.org/officeDocument/2006/relationships" r:id="rId7"/>
  </tableParts>
</worksheet>
</file>

<file path=xl/worksheets/sheet28.xml><?xml version="1.0" encoding="utf-8"?>
<worksheet xmlns="http://schemas.openxmlformats.org/spreadsheetml/2006/main">
  <sheetPr>
    <outlinePr summaryBelow="1" summaryRight="1"/>
    <pageSetUpPr/>
  </sheetPr>
  <dimension ref="A1:I148"/>
  <sheetViews>
    <sheetView showGridLines="0" workbookViewId="0">
      <selection activeCell="A1" sqref="A1"/>
    </sheetView>
  </sheetViews>
  <sheetFormatPr baseColWidth="8" defaultRowHeight="15"/>
  <cols>
    <col width="42" customWidth="1" min="1" max="1"/>
    <col width="37" customWidth="1" min="2" max="2"/>
    <col width="60" customWidth="1" min="3" max="3"/>
    <col width="60" customWidth="1" min="4" max="4"/>
    <col width="21" customWidth="1" min="5" max="5"/>
    <col width="22" customWidth="1" min="6" max="6"/>
    <col width="23" customWidth="1" min="7" max="7"/>
    <col width="45" customWidth="1" min="8" max="8"/>
    <col width="10" customWidth="1" min="9" max="9"/>
  </cols>
  <sheetData>
    <row r="1">
      <c r="A1" s="1" t="inlineStr">
        <is>
          <t>ФОП ІВАНЧЕНКО МИКОЛА ІВАНОВИЧ</t>
        </is>
      </c>
    </row>
    <row r="2">
      <c r="A2" s="6" t="inlineStr">
        <is>
          <t>ЄДРПОУ 2235409477  ·  конкурент  ·  місце №15</t>
        </is>
      </c>
    </row>
    <row r="4">
      <c r="A4" s="7" t="inlineStr">
        <is>
          <t>ФОП ІВАНЧЕНКО МИКОЛА ІВАНОВИЧ (2235409477)</t>
        </is>
      </c>
    </row>
    <row r="6">
      <c r="A6" s="8" t="inlineStr">
        <is>
          <t>Показники</t>
        </is>
      </c>
    </row>
    <row r="7">
      <c r="A7" s="9" t="inlineStr">
        <is>
          <t>Місце на ринку</t>
        </is>
      </c>
      <c r="B7" s="10" t="inlineStr">
        <is>
          <t>№15</t>
        </is>
      </c>
    </row>
    <row r="8">
      <c r="A8" s="9" t="inlineStr">
        <is>
          <t>Сума угод</t>
        </is>
      </c>
      <c r="B8" s="10" t="inlineStr">
        <is>
          <t>1,9 млн грн</t>
        </is>
      </c>
    </row>
    <row r="9">
      <c r="A9" s="9" t="inlineStr">
        <is>
          <t>Частка ринку</t>
        </is>
      </c>
      <c r="B9" s="10" t="inlineStr">
        <is>
          <t>1,6%</t>
        </is>
      </c>
    </row>
    <row r="10">
      <c r="A10" s="9" t="inlineStr">
        <is>
          <t>Угод</t>
        </is>
      </c>
      <c r="B10" s="10" t="inlineStr">
        <is>
          <t>3</t>
        </is>
      </c>
    </row>
    <row r="11">
      <c r="A11" s="9" t="inlineStr">
        <is>
          <t>Закупівель виграно</t>
        </is>
      </c>
      <c r="B11" s="10" t="inlineStr">
        <is>
          <t>3</t>
        </is>
      </c>
    </row>
    <row r="12">
      <c r="A12" s="9" t="inlineStr">
        <is>
          <t>Подань (де видно)</t>
        </is>
      </c>
      <c r="B12" s="10" t="inlineStr">
        <is>
          <t>6</t>
        </is>
      </c>
    </row>
    <row r="13">
      <c r="A13" s="9" t="inlineStr">
        <is>
          <t>Виграно з поданих</t>
        </is>
      </c>
      <c r="B13" s="10" t="inlineStr">
        <is>
          <t>3 з 6</t>
        </is>
      </c>
    </row>
    <row r="14">
      <c r="A14" s="9" t="inlineStr">
        <is>
          <t>Результативність</t>
        </is>
      </c>
      <c r="B14" s="10" t="inlineStr">
        <is>
          <t>50,0%</t>
        </is>
      </c>
    </row>
    <row r="15">
      <c r="A15" s="9" t="inlineStr">
        <is>
          <t>Середня угода</t>
        </is>
      </c>
      <c r="B15" s="10" t="inlineStr">
        <is>
          <t>618,7 тис. грн</t>
        </is>
      </c>
    </row>
    <row r="16">
      <c r="A16" s="9" t="inlineStr">
        <is>
          <t>Медіанна угода</t>
        </is>
      </c>
      <c r="B16" s="10" t="inlineStr">
        <is>
          <t>310,5 тис. грн</t>
        </is>
      </c>
    </row>
    <row r="17">
      <c r="A17" s="9" t="inlineStr">
        <is>
          <t>Замовників</t>
        </is>
      </c>
      <c r="B17" s="10" t="inlineStr">
        <is>
          <t>3</t>
        </is>
      </c>
    </row>
    <row r="18">
      <c r="A18" s="9" t="inlineStr">
        <is>
          <t>Областей</t>
        </is>
      </c>
      <c r="B18" s="10" t="inlineStr">
        <is>
          <t>1</t>
        </is>
      </c>
    </row>
    <row r="19">
      <c r="A19" s="9" t="inlineStr">
        <is>
          <t>Основна ТМ</t>
        </is>
      </c>
      <c r="B19" s="10" t="inlineStr">
        <is>
          <t>не визначено</t>
        </is>
      </c>
    </row>
    <row r="20">
      <c r="A20" s="9" t="inlineStr">
        <is>
          <t>Основний товар</t>
        </is>
      </c>
      <c r="B20" s="10" t="inlineStr">
        <is>
          <t>Багатофункціональний пристрій (БФП)</t>
        </is>
      </c>
    </row>
    <row r="21">
      <c r="A21" s="9" t="inlineStr">
        <is>
          <t>Дисконт (медіана)</t>
        </is>
      </c>
      <c r="B21" s="10" t="inlineStr">
        <is>
          <t>1,4%</t>
        </is>
      </c>
    </row>
    <row r="22">
      <c r="A22" s="9" t="inlineStr">
        <is>
          <t>Повторні замовники</t>
        </is>
      </c>
      <c r="B22" s="10" t="inlineStr">
        <is>
          <t>0,0%</t>
        </is>
      </c>
    </row>
    <row r="23">
      <c r="A23" s="9" t="inlineStr">
        <is>
          <t>Активність</t>
        </is>
      </c>
      <c r="B23" s="10" t="inlineStr">
        <is>
          <t>2025-09-24 — 2026-04-09</t>
        </is>
      </c>
    </row>
    <row r="24">
      <c r="A24" s="9" t="inlineStr">
        <is>
          <t>Зірвано перемог</t>
        </is>
      </c>
      <c r="B24" s="10" t="inlineStr">
        <is>
          <t>—</t>
        </is>
      </c>
    </row>
    <row r="25">
      <c r="A25" s="9" t="inlineStr">
        <is>
          <t>Причина зривів</t>
        </is>
      </c>
      <c r="B25" s="10" t="inlineStr">
        <is>
          <t>—</t>
        </is>
      </c>
    </row>
    <row r="27">
      <c r="A27" s="8" t="inlineStr">
        <is>
          <t>Висновки</t>
        </is>
      </c>
    </row>
    <row r="28">
      <c r="A28" t="inlineStr">
        <is>
          <t>•  15-е місце на ринку: 1,9 млн грн (1,6% обороту)</t>
        </is>
      </c>
    </row>
    <row r="29">
      <c r="A29" t="inlineStr">
        <is>
          <t>•  Основний товар: багатофункціональний пристрій (бфп)</t>
        </is>
      </c>
    </row>
    <row r="30">
      <c r="A30" t="inlineStr">
        <is>
          <t>•  Грає у відкритих процедурах: лише 0,0% угод без торгів</t>
        </is>
      </c>
    </row>
    <row r="31">
      <c r="A31" t="inlineStr">
        <is>
          <t>•  Тримає ціну: дисконт 1,4% проти 8,3% по ринку</t>
        </is>
      </c>
    </row>
    <row r="32">
      <c r="A32" t="inlineStr">
        <is>
          <t>•  Географічно сфокусований: Волинська область (100,0% угод)</t>
        </is>
      </c>
    </row>
    <row r="33">
      <c r="A33" t="inlineStr">
        <is>
          <t>•  Результативність на торгах: 50,0% (3 з 6)</t>
        </is>
      </c>
    </row>
    <row r="34">
      <c r="A34" t="inlineStr">
        <is>
          <t>•  У поданих файлах — сертифікатів: 2, авторизаційних листів: 3</t>
        </is>
      </c>
    </row>
    <row r="36">
      <c r="A36" s="8" t="inlineStr">
        <is>
          <t>Графіки</t>
        </is>
      </c>
    </row>
    <row r="38">
      <c r="A38" s="2" t="inlineStr">
        <is>
          <t>Динаміка по місяцях</t>
        </is>
      </c>
    </row>
    <row r="39">
      <c r="A39" s="3" t="inlineStr">
        <is>
          <t>Період</t>
        </is>
      </c>
      <c r="B39" s="3" t="inlineStr">
        <is>
          <t>Сума угод, грн</t>
        </is>
      </c>
    </row>
    <row r="40">
      <c r="A40" t="inlineStr">
        <is>
          <t>2025-09</t>
        </is>
      </c>
      <c r="B40" s="5" t="n">
        <v>357700</v>
      </c>
    </row>
    <row r="41">
      <c r="A41" t="inlineStr">
        <is>
          <t>2026-04</t>
        </is>
      </c>
      <c r="B41" s="5" t="n">
        <v>1498500</v>
      </c>
    </row>
    <row r="58">
      <c r="A58" s="2" t="inlineStr">
        <is>
          <t>Що саме продає</t>
        </is>
      </c>
    </row>
    <row r="59">
      <c r="A59" s="3" t="inlineStr">
        <is>
          <t>Категорія</t>
        </is>
      </c>
      <c r="B59" s="3" t="inlineStr">
        <is>
          <t>Позицій, шт</t>
        </is>
      </c>
    </row>
    <row r="60">
      <c r="A60" t="inlineStr">
        <is>
          <t>Багатофункціональний пристрій (БФП)</t>
        </is>
      </c>
      <c r="B60" s="5" t="n">
        <v>4</v>
      </c>
    </row>
    <row r="61">
      <c r="A61" t="inlineStr">
        <is>
          <t>Сканер</t>
        </is>
      </c>
      <c r="B61" s="5" t="n">
        <v>1</v>
      </c>
    </row>
    <row r="62">
      <c r="A62" t="inlineStr">
        <is>
          <t>Ноутбук</t>
        </is>
      </c>
      <c r="B62" s="5" t="n">
        <v>1</v>
      </c>
    </row>
    <row r="74">
      <c r="A74" s="2" t="inlineStr">
        <is>
          <t>Ключові замовники</t>
        </is>
      </c>
    </row>
    <row r="75">
      <c r="A75" s="3" t="inlineStr">
        <is>
          <t>Категорія</t>
        </is>
      </c>
      <c r="B75" s="3" t="inlineStr">
        <is>
          <t>Сума, грн</t>
        </is>
      </c>
    </row>
    <row r="76">
      <c r="A76" t="inlineStr">
        <is>
          <t>ГОЛОВНЕ УПРАВЛІННЯ ПЕНСІЙНОГО ФОНДУ УКРА</t>
        </is>
      </c>
      <c r="B76" s="5" t="n">
        <v>1498500</v>
      </c>
    </row>
    <row r="77">
      <c r="A77" t="inlineStr">
        <is>
          <t>Територіальне управління Державної судов</t>
        </is>
      </c>
      <c r="B77" s="5" t="n">
        <v>310500</v>
      </c>
    </row>
    <row r="78">
      <c r="A78" t="inlineStr">
        <is>
          <t xml:space="preserve">Головне управління Держпродспоживслужби </t>
        </is>
      </c>
      <c r="B78" s="5" t="n">
        <v>47200</v>
      </c>
    </row>
    <row r="90">
      <c r="A90" s="2" t="inlineStr">
        <is>
          <t>Процедури</t>
        </is>
      </c>
    </row>
    <row r="91">
      <c r="A91" s="3" t="inlineStr">
        <is>
          <t>Категорія</t>
        </is>
      </c>
      <c r="B91" s="3" t="inlineStr">
        <is>
          <t>Угод, шт</t>
        </is>
      </c>
    </row>
    <row r="92">
      <c r="A92" t="inlineStr">
        <is>
          <t>Запит пропозицій</t>
        </is>
      </c>
      <c r="B92" s="5" t="n">
        <v>2</v>
      </c>
    </row>
    <row r="93">
      <c r="A93" t="inlineStr">
        <is>
          <t>Відкриті торги (нові)</t>
        </is>
      </c>
      <c r="B93" s="5" t="n">
        <v>1</v>
      </c>
    </row>
    <row r="110">
      <c r="A110" s="8" t="inlineStr">
        <is>
          <t>Таблиці</t>
        </is>
      </c>
    </row>
    <row r="112">
      <c r="A112" s="2" t="inlineStr">
        <is>
          <t>Товари</t>
        </is>
      </c>
    </row>
    <row r="113">
      <c r="A113" s="11" t="inlineStr">
        <is>
          <t>Товар</t>
        </is>
      </c>
      <c r="B113" s="11" t="inlineStr">
        <is>
          <t>Позицій</t>
        </is>
      </c>
    </row>
    <row r="114">
      <c r="A114" t="inlineStr">
        <is>
          <t>Багатофункціональний пристрій (БФП)</t>
        </is>
      </c>
      <c r="B114" s="5" t="n">
        <v>4</v>
      </c>
    </row>
    <row r="115">
      <c r="A115" t="inlineStr">
        <is>
          <t>Сканер</t>
        </is>
      </c>
      <c r="B115" s="5" t="n">
        <v>1</v>
      </c>
    </row>
    <row r="116">
      <c r="A116" t="inlineStr">
        <is>
          <t>Ноутбук</t>
        </is>
      </c>
      <c r="B116" s="5" t="n">
        <v>1</v>
      </c>
    </row>
    <row r="118">
      <c r="A118" s="2" t="inlineStr">
        <is>
          <t>Документи</t>
        </is>
      </c>
    </row>
    <row r="119">
      <c r="A119" s="11" t="inlineStr">
        <is>
          <t>Тип документа</t>
        </is>
      </c>
      <c r="B119" s="11" t="inlineStr">
        <is>
          <t>Файлів</t>
        </is>
      </c>
    </row>
    <row r="120">
      <c r="A120" t="inlineStr">
        <is>
          <t>Підпис КЕП</t>
        </is>
      </c>
      <c r="B120" s="5" t="n">
        <v>39</v>
      </c>
    </row>
    <row r="121">
      <c r="A121" t="inlineStr">
        <is>
          <t>не класифіковано</t>
        </is>
      </c>
      <c r="B121" s="5" t="n">
        <v>17</v>
      </c>
    </row>
    <row r="122">
      <c r="A122" t="inlineStr">
        <is>
          <t>Установчі та реєстраційні</t>
        </is>
      </c>
      <c r="B122" s="5" t="n">
        <v>6</v>
      </c>
    </row>
    <row r="123">
      <c r="A123" t="inlineStr">
        <is>
          <t>Лист виробника / авторизація</t>
        </is>
      </c>
      <c r="B123" s="5" t="n">
        <v>3</v>
      </c>
    </row>
    <row r="124">
      <c r="A124" t="inlineStr">
        <is>
          <t>Сертифікат / декларація відповідності</t>
        </is>
      </c>
      <c r="B124" s="5" t="n">
        <v>2</v>
      </c>
    </row>
    <row r="125">
      <c r="A125" t="inlineStr">
        <is>
          <t>Договір</t>
        </is>
      </c>
      <c r="B125" s="5" t="n">
        <v>2</v>
      </c>
    </row>
    <row r="126">
      <c r="A126" t="inlineStr">
        <is>
          <t>Пропозиція учасника</t>
        </is>
      </c>
      <c r="B126" s="5" t="n">
        <v>1</v>
      </c>
    </row>
    <row r="128">
      <c r="A128" s="2" t="inlineStr">
        <is>
          <t>Угоди</t>
        </is>
      </c>
    </row>
    <row r="129">
      <c r="A129" s="11" t="inlineStr">
        <is>
          <t>Закупівля</t>
        </is>
      </c>
      <c r="B129" s="11" t="inlineStr">
        <is>
          <t>Дата</t>
        </is>
      </c>
      <c r="C129" s="11" t="inlineStr">
        <is>
          <t>Замовник</t>
        </is>
      </c>
      <c r="D129" s="11" t="inlineStr">
        <is>
          <t>Регіон</t>
        </is>
      </c>
      <c r="E129" s="11" t="inlineStr">
        <is>
          <t>Сума, грн</t>
        </is>
      </c>
      <c r="F129" s="11" t="inlineStr">
        <is>
          <t>Очікувана, грн</t>
        </is>
      </c>
      <c r="G129" s="11" t="inlineStr">
        <is>
          <t>Процедура</t>
        </is>
      </c>
      <c r="H129" s="11" t="inlineStr">
        <is>
          <t>Галузь</t>
        </is>
      </c>
      <c r="I129" s="11" t="inlineStr">
        <is>
          <t>Джерело</t>
        </is>
      </c>
    </row>
    <row r="130">
      <c r="A130" s="4" t="inlineStr">
        <is>
          <t>UA-2026-03-26-014052-a</t>
        </is>
      </c>
      <c r="B130" t="inlineStr">
        <is>
          <t>2026-04-09</t>
        </is>
      </c>
      <c r="C130" t="inlineStr">
        <is>
          <t>ГОЛОВНЕ УПРАВЛІННЯ ПЕНСІЙНОГО ФОНДУ УКРАЇНИ У ВОЛИНСЬКІЙ ОБЛАСТІ</t>
        </is>
      </c>
      <c r="D130" t="inlineStr">
        <is>
          <t>Волинська область</t>
        </is>
      </c>
      <c r="E130" s="5" t="n">
        <v>1498500</v>
      </c>
      <c r="F130" s="5" t="n">
        <v>1500000</v>
      </c>
      <c r="G130" t="inlineStr">
        <is>
          <t>Відкриті торги (нові)</t>
        </is>
      </c>
      <c r="H130" t="inlineStr">
        <is>
          <t>Комп’ютерне обладнання</t>
        </is>
      </c>
      <c r="I130" t="inlineStr">
        <is>
          <t>договір</t>
        </is>
      </c>
    </row>
    <row r="131">
      <c r="A131" s="4" t="inlineStr">
        <is>
          <t>UA-2025-09-16-012720-a</t>
        </is>
      </c>
      <c r="B131" t="inlineStr">
        <is>
          <t>2025-09-29</t>
        </is>
      </c>
      <c r="C131" t="inlineStr">
        <is>
          <t>Територіальне управління Державної судової адміністрації України в Волинській області</t>
        </is>
      </c>
      <c r="D131" t="inlineStr">
        <is>
          <t>Волинська область</t>
        </is>
      </c>
      <c r="E131" s="5" t="n">
        <v>310500</v>
      </c>
      <c r="F131" s="5" t="n">
        <v>315000</v>
      </c>
      <c r="G131" t="inlineStr">
        <is>
          <t>Запит пропозицій</t>
        </is>
      </c>
      <c r="H131" t="inlineStr">
        <is>
          <t>Машини для обробки даних (апаратна частина)</t>
        </is>
      </c>
      <c r="I131" t="inlineStr">
        <is>
          <t>договір</t>
        </is>
      </c>
    </row>
    <row r="132">
      <c r="A132" s="4" t="inlineStr">
        <is>
          <t>UA-2025-09-15-011416-a</t>
        </is>
      </c>
      <c r="B132" t="inlineStr">
        <is>
          <t>2025-09-24</t>
        </is>
      </c>
      <c r="C132" t="inlineStr">
        <is>
          <t>Головне управління Держпродспоживслужби у Волинській області</t>
        </is>
      </c>
      <c r="D132" t="inlineStr">
        <is>
          <t>Волинська область</t>
        </is>
      </c>
      <c r="E132" s="5" t="n">
        <v>47200</v>
      </c>
      <c r="F132" s="5" t="n">
        <v>56000</v>
      </c>
      <c r="G132" t="inlineStr">
        <is>
          <t>Запит пропозицій</t>
        </is>
      </c>
      <c r="H132" t="inlineStr">
        <is>
          <t>Комп’ютерне обладнання</t>
        </is>
      </c>
      <c r="I132" t="inlineStr">
        <is>
          <t>договір</t>
        </is>
      </c>
    </row>
    <row r="134">
      <c r="A134" s="2" t="inlineStr">
        <is>
          <t>Наші зустрічі</t>
        </is>
      </c>
    </row>
    <row r="135">
      <c r="A135" s="11" t="inlineStr">
        <is>
          <t>Закупівля</t>
        </is>
      </c>
      <c r="B135" s="11" t="inlineStr">
        <is>
          <t>Дата</t>
        </is>
      </c>
      <c r="C135" s="11" t="inlineStr">
        <is>
          <t>Замовник</t>
        </is>
      </c>
      <c r="D135" s="11" t="inlineStr">
        <is>
          <t>Предмет</t>
        </is>
      </c>
      <c r="E135" s="11" t="inlineStr">
        <is>
          <t>Сума переможця, грн</t>
        </is>
      </c>
      <c r="F135" s="11" t="inlineStr">
        <is>
          <t>Наша пропозиція, грн</t>
        </is>
      </c>
      <c r="G135" s="11" t="inlineStr">
        <is>
          <t>Розрив</t>
        </is>
      </c>
      <c r="H135" s="11" t="inlineStr">
        <is>
          <t>Що сталося</t>
        </is>
      </c>
    </row>
    <row r="136">
      <c r="A136" s="4" t="inlineStr">
        <is>
          <t>UA-2026-03-26-014052-a</t>
        </is>
      </c>
      <c r="B136" t="inlineStr">
        <is>
          <t>2026-03-26</t>
        </is>
      </c>
      <c r="C136" t="inlineStr">
        <is>
          <t>ГОЛОВНЕ УПРАВЛІННЯ ПЕНСІЙНОГО ФОНДУ УКРАЇНИ У ВОЛИНСЬКІЙ ОБЛАСТІ</t>
        </is>
      </c>
      <c r="D136" t="inlineStr">
        <is>
          <t>Багатофункціональні монохромні лазерні пристрої (ДК 021:2015 — 30230000-0 Комп’ю</t>
        </is>
      </c>
      <c r="E136" s="5" t="n">
        <v>1498500</v>
      </c>
      <c r="H136" t="inlineStr">
        <is>
          <t>ми не подавалися</t>
        </is>
      </c>
    </row>
    <row r="137">
      <c r="A137" s="4" t="inlineStr">
        <is>
          <t>UA-2025-09-16-012720-a</t>
        </is>
      </c>
      <c r="B137" t="inlineStr">
        <is>
          <t>2025-09-16</t>
        </is>
      </c>
      <c r="C137" t="inlineStr">
        <is>
          <t>Територіальне управління Державної судової адміністрації України в Волинській області</t>
        </is>
      </c>
      <c r="D137" t="inlineStr">
        <is>
          <t xml:space="preserve">код ДК 021:2015 30210000-4 Машини для обробки даних (апаратна частина)» (Сканер </t>
        </is>
      </c>
      <c r="E137" s="5" t="n">
        <v>310500</v>
      </c>
      <c r="H137" t="inlineStr">
        <is>
          <t>ми не подавалися</t>
        </is>
      </c>
    </row>
    <row r="138">
      <c r="A138" s="4" t="inlineStr">
        <is>
          <t>UA-2025-09-15-011416-a</t>
        </is>
      </c>
      <c r="B138" t="inlineStr">
        <is>
          <t>2025-09-15</t>
        </is>
      </c>
      <c r="C138" t="inlineStr">
        <is>
          <t>Головне управління Держпродспоживслужби у Волинській області</t>
        </is>
      </c>
      <c r="D138" t="inlineStr">
        <is>
          <t>БФП Canon i-SENSYS X 1440i (5951C003), АПД, Toner T13 BK</t>
        </is>
      </c>
      <c r="E138" s="5" t="n">
        <v>47200</v>
      </c>
      <c r="H138" t="inlineStr">
        <is>
          <t>ми не подавалися</t>
        </is>
      </c>
    </row>
    <row r="140">
      <c r="A140" s="8" t="inlineStr">
        <is>
          <t>Сильні сторони</t>
        </is>
      </c>
    </row>
    <row r="141">
      <c r="A141" t="inlineStr">
        <is>
          <t>+  наявність сертифікатів (2 файлів)</t>
        </is>
      </c>
    </row>
    <row r="142">
      <c r="A142" t="inlineStr">
        <is>
          <t>+  авторизація виробника (3 листів)</t>
        </is>
      </c>
    </row>
    <row r="143">
      <c r="A143" t="inlineStr">
        <is>
          <t>+  висока результативність на торгах (50,0%)</t>
        </is>
      </c>
    </row>
    <row r="144">
      <c r="A144" t="inlineStr">
        <is>
          <t>+  уміє вигравати у відкритих торгах</t>
        </is>
      </c>
    </row>
    <row r="145">
      <c r="A145" t="inlineStr">
        <is>
          <t>+  працює з великими контрактами</t>
        </is>
      </c>
    </row>
    <row r="147">
      <c r="A147" s="8" t="inlineStr">
        <is>
          <t>Слабкі сторони</t>
        </is>
      </c>
    </row>
    <row r="148">
      <c r="A148" t="inlineStr">
        <is>
          <t>−  слабка цінова позиція: дисконт 1,4% проти 8,3% по ринку</t>
        </is>
      </c>
    </row>
  </sheetData>
  <hyperlinks>
    <hyperlink xmlns:r="http://schemas.openxmlformats.org/officeDocument/2006/relationships" ref="A130" r:id="rId1"/>
    <hyperlink xmlns:r="http://schemas.openxmlformats.org/officeDocument/2006/relationships" ref="A131" r:id="rId2"/>
    <hyperlink xmlns:r="http://schemas.openxmlformats.org/officeDocument/2006/relationships" ref="A132" r:id="rId3"/>
    <hyperlink xmlns:r="http://schemas.openxmlformats.org/officeDocument/2006/relationships" ref="A136" r:id="rId4"/>
    <hyperlink xmlns:r="http://schemas.openxmlformats.org/officeDocument/2006/relationships" ref="A137" r:id="rId5"/>
    <hyperlink xmlns:r="http://schemas.openxmlformats.org/officeDocument/2006/relationships" ref="A138" r:id="rId6"/>
  </hyperlinks>
  <pageMargins left="0.75" right="0.75" top="1" bottom="1" header="0.5" footer="0.5"/>
  <drawing xmlns:r="http://schemas.openxmlformats.org/officeDocument/2006/relationships" r:id="rId7"/>
  <tableParts count="4">
    <tablePart xmlns:r="http://schemas.openxmlformats.org/officeDocument/2006/relationships" r:id="rId8"/>
    <tablePart xmlns:r="http://schemas.openxmlformats.org/officeDocument/2006/relationships" r:id="rId9"/>
    <tablePart xmlns:r="http://schemas.openxmlformats.org/officeDocument/2006/relationships" r:id="rId10"/>
    <tablePart xmlns:r="http://schemas.openxmlformats.org/officeDocument/2006/relationships" r:id="rId11"/>
  </tableParts>
</worksheet>
</file>

<file path=xl/worksheets/sheet29.xml><?xml version="1.0" encoding="utf-8"?>
<worksheet xmlns="http://schemas.openxmlformats.org/spreadsheetml/2006/main">
  <sheetPr>
    <outlinePr summaryBelow="1" summaryRight="1"/>
    <pageSetUpPr/>
  </sheetPr>
  <dimension ref="A1:I305"/>
  <sheetViews>
    <sheetView showGridLines="0" workbookViewId="0">
      <selection activeCell="A1" sqref="A1"/>
    </sheetView>
  </sheetViews>
  <sheetFormatPr baseColWidth="8" defaultRowHeight="15"/>
  <cols>
    <col width="42" customWidth="1" min="1" max="1"/>
    <col width="37" customWidth="1" min="2" max="2"/>
    <col width="60" customWidth="1" min="3" max="3"/>
    <col width="60" customWidth="1" min="4" max="4"/>
    <col width="29" customWidth="1" min="5" max="5"/>
    <col width="60" customWidth="1" min="6" max="6"/>
    <col width="18" customWidth="1" min="7" max="7"/>
    <col width="45" customWidth="1" min="8" max="8"/>
    <col width="23" customWidth="1" min="9" max="9"/>
  </cols>
  <sheetData>
    <row r="1">
      <c r="A1" s="1" t="inlineStr">
        <is>
          <t>ТОВ "САНТАРЕКС"</t>
        </is>
      </c>
    </row>
    <row r="2">
      <c r="A2" s="6" t="inlineStr">
        <is>
          <t>ЄДРПОУ 30126040  ·  конкурент  ·  місце №16</t>
        </is>
      </c>
    </row>
    <row r="4">
      <c r="A4" s="7" t="inlineStr">
        <is>
          <t>ТОВ "САНТАРЕКС" (30126040)</t>
        </is>
      </c>
    </row>
    <row r="6">
      <c r="A6" s="8" t="inlineStr">
        <is>
          <t>Показники</t>
        </is>
      </c>
    </row>
    <row r="7">
      <c r="A7" s="9" t="inlineStr">
        <is>
          <t>Місце на ринку</t>
        </is>
      </c>
      <c r="B7" s="10" t="inlineStr">
        <is>
          <t>№16</t>
        </is>
      </c>
    </row>
    <row r="8">
      <c r="A8" s="9" t="inlineStr">
        <is>
          <t>Сума угод</t>
        </is>
      </c>
      <c r="B8" s="10" t="inlineStr">
        <is>
          <t>1,7 млн грн</t>
        </is>
      </c>
    </row>
    <row r="9">
      <c r="A9" s="9" t="inlineStr">
        <is>
          <t>Частка ринку</t>
        </is>
      </c>
      <c r="B9" s="10" t="inlineStr">
        <is>
          <t>1,4%</t>
        </is>
      </c>
    </row>
    <row r="10">
      <c r="A10" s="9" t="inlineStr">
        <is>
          <t>Угод</t>
        </is>
      </c>
      <c r="B10" s="10" t="inlineStr">
        <is>
          <t>60</t>
        </is>
      </c>
    </row>
    <row r="11">
      <c r="A11" s="9" t="inlineStr">
        <is>
          <t>Закупівель виграно</t>
        </is>
      </c>
      <c r="B11" s="10" t="inlineStr">
        <is>
          <t>60</t>
        </is>
      </c>
    </row>
    <row r="12">
      <c r="A12" s="9" t="inlineStr">
        <is>
          <t>Подань (де видно)</t>
        </is>
      </c>
      <c r="B12" s="10" t="inlineStr">
        <is>
          <t>128</t>
        </is>
      </c>
    </row>
    <row r="13">
      <c r="A13" s="9" t="inlineStr">
        <is>
          <t>Виграно з поданих</t>
        </is>
      </c>
      <c r="B13" s="10" t="inlineStr">
        <is>
          <t>59 з 128</t>
        </is>
      </c>
    </row>
    <row r="14">
      <c r="A14" s="9" t="inlineStr">
        <is>
          <t>Результативність</t>
        </is>
      </c>
      <c r="B14" s="10" t="inlineStr">
        <is>
          <t>46,1%</t>
        </is>
      </c>
    </row>
    <row r="15">
      <c r="A15" s="9" t="inlineStr">
        <is>
          <t>Середня угода</t>
        </is>
      </c>
      <c r="B15" s="10" t="inlineStr">
        <is>
          <t>28,4 тис. грн</t>
        </is>
      </c>
    </row>
    <row r="16">
      <c r="A16" s="9" t="inlineStr">
        <is>
          <t>Медіанна угода</t>
        </is>
      </c>
      <c r="B16" s="10" t="inlineStr">
        <is>
          <t>19,4 тис. грн</t>
        </is>
      </c>
    </row>
    <row r="17">
      <c r="A17" s="9" t="inlineStr">
        <is>
          <t>Замовників</t>
        </is>
      </c>
      <c r="B17" s="10" t="inlineStr">
        <is>
          <t>30</t>
        </is>
      </c>
    </row>
    <row r="18">
      <c r="A18" s="9" t="inlineStr">
        <is>
          <t>Областей</t>
        </is>
      </c>
      <c r="B18" s="10" t="inlineStr">
        <is>
          <t>1</t>
        </is>
      </c>
    </row>
    <row r="19">
      <c r="A19" s="9" t="inlineStr">
        <is>
          <t>Основна ТМ</t>
        </is>
      </c>
      <c r="B19" s="10" t="inlineStr">
        <is>
          <t>Canon</t>
        </is>
      </c>
    </row>
    <row r="20">
      <c r="A20" s="9" t="inlineStr">
        <is>
          <t>Основний товар</t>
        </is>
      </c>
      <c r="B20" s="10" t="inlineStr">
        <is>
          <t>Багатофункціональний пристрій (БФП)</t>
        </is>
      </c>
    </row>
    <row r="21">
      <c r="A21" s="9" t="inlineStr">
        <is>
          <t>Дисконт (медіана)</t>
        </is>
      </c>
      <c r="B21" s="10" t="inlineStr">
        <is>
          <t>9,5%</t>
        </is>
      </c>
    </row>
    <row r="22">
      <c r="A22" s="9" t="inlineStr">
        <is>
          <t>Повторні замовники</t>
        </is>
      </c>
      <c r="B22" s="10" t="inlineStr">
        <is>
          <t>50,0%</t>
        </is>
      </c>
    </row>
    <row r="23">
      <c r="A23" s="9" t="inlineStr">
        <is>
          <t>Активність</t>
        </is>
      </c>
      <c r="B23" s="10" t="inlineStr">
        <is>
          <t>2025-09-15 — 2026-08-25</t>
        </is>
      </c>
    </row>
    <row r="24">
      <c r="A24" s="9" t="inlineStr">
        <is>
          <t>Зірвано перемог</t>
        </is>
      </c>
      <c r="B24" s="10" t="inlineStr">
        <is>
          <t>1 на 3,9 тис. грн</t>
        </is>
      </c>
    </row>
    <row r="25">
      <c r="A25" s="9" t="inlineStr">
        <is>
          <t>Причина зривів</t>
        </is>
      </c>
      <c r="B25" s="10" t="inlineStr">
        <is>
          <t>Не підписав договір у строк</t>
        </is>
      </c>
    </row>
    <row r="27">
      <c r="A27" s="8" t="inlineStr">
        <is>
          <t>Висновки</t>
        </is>
      </c>
    </row>
    <row r="28">
      <c r="A28" t="inlineStr">
        <is>
          <t>•  16-е місце на ринку: 1,7 млн грн (1,4% обороту)</t>
        </is>
      </c>
    </row>
    <row r="29">
      <c r="A29" t="inlineStr">
        <is>
          <t>•  Основний товар: багатофункціональний пристрій (бфп)</t>
        </is>
      </c>
    </row>
    <row r="30">
      <c r="A30" t="inlineStr">
        <is>
          <t>•  Помічена ТМ: Canon (замало позицій для висновку)</t>
        </is>
      </c>
    </row>
    <row r="31">
      <c r="A31" t="inlineStr">
        <is>
          <t>•  Грає у відкритих процедурах: лише 1,7% угод без торгів</t>
        </is>
      </c>
    </row>
    <row r="32">
      <c r="A32" t="inlineStr">
        <is>
          <t>•  Географічно сфокусований: Волинська область (100,0% угод)</t>
        </is>
      </c>
    </row>
    <row r="33">
      <c r="A33" t="inlineStr">
        <is>
          <t>•  Тримається постійних замовників: 50,0% угод — повторні</t>
        </is>
      </c>
    </row>
    <row r="34">
      <c r="A34" t="inlineStr">
        <is>
          <t>•  Результативність на торгах: 46,1% (59 з 128)</t>
        </is>
      </c>
    </row>
    <row r="35">
      <c r="A35" t="inlineStr">
        <is>
          <t>•  Динаміка: спадає (-23% у другій половині періоду)</t>
        </is>
      </c>
    </row>
    <row r="36">
      <c r="A36" t="inlineStr">
        <is>
          <t>•  Зірваних перемог: 1 на 3,9 тис. грн, найчастіше — не підписав договір у строк</t>
        </is>
      </c>
    </row>
    <row r="38">
      <c r="A38" s="8" t="inlineStr">
        <is>
          <t>Графіки</t>
        </is>
      </c>
    </row>
    <row r="40">
      <c r="A40" s="2" t="inlineStr">
        <is>
          <t>Динаміка по місяцях</t>
        </is>
      </c>
    </row>
    <row r="41">
      <c r="A41" s="3" t="inlineStr">
        <is>
          <t>Період</t>
        </is>
      </c>
      <c r="B41" s="3" t="inlineStr">
        <is>
          <t>Сума угод, грн</t>
        </is>
      </c>
    </row>
    <row r="42">
      <c r="A42" t="inlineStr">
        <is>
          <t>2025-09</t>
        </is>
      </c>
      <c r="B42" s="5" t="n">
        <v>151608</v>
      </c>
    </row>
    <row r="43">
      <c r="A43" t="inlineStr">
        <is>
          <t>2025-10</t>
        </is>
      </c>
      <c r="B43" s="5" t="n">
        <v>277012.8</v>
      </c>
    </row>
    <row r="44">
      <c r="A44" t="inlineStr">
        <is>
          <t>2025-11</t>
        </is>
      </c>
      <c r="B44" s="5" t="n">
        <v>267494.52</v>
      </c>
    </row>
    <row r="45">
      <c r="A45" t="inlineStr">
        <is>
          <t>2025-12</t>
        </is>
      </c>
      <c r="B45" s="5" t="n">
        <v>273782.3</v>
      </c>
    </row>
    <row r="46">
      <c r="A46" t="inlineStr">
        <is>
          <t>2026-01</t>
        </is>
      </c>
      <c r="B46" s="5" t="n">
        <v>21288</v>
      </c>
    </row>
    <row r="47">
      <c r="A47" t="inlineStr">
        <is>
          <t>2026-02</t>
        </is>
      </c>
      <c r="B47" s="5" t="n">
        <v>26964</v>
      </c>
    </row>
    <row r="48">
      <c r="A48" t="inlineStr">
        <is>
          <t>2026-03</t>
        </is>
      </c>
      <c r="B48" s="5" t="n">
        <v>74777.7</v>
      </c>
    </row>
    <row r="49">
      <c r="A49" t="inlineStr">
        <is>
          <t>2026-04</t>
        </is>
      </c>
      <c r="B49" s="5" t="n">
        <v>320364</v>
      </c>
    </row>
    <row r="50">
      <c r="A50" t="inlineStr">
        <is>
          <t>2026-05</t>
        </is>
      </c>
      <c r="B50" s="5" t="n">
        <v>111770.4</v>
      </c>
    </row>
    <row r="51">
      <c r="A51" t="inlineStr">
        <is>
          <t>2026-06</t>
        </is>
      </c>
      <c r="B51" s="5" t="n">
        <v>93171.59999999999</v>
      </c>
    </row>
    <row r="52">
      <c r="A52" t="inlineStr">
        <is>
          <t>2026-07</t>
        </is>
      </c>
      <c r="B52" s="5" t="n">
        <v>66798</v>
      </c>
    </row>
    <row r="53">
      <c r="A53" t="inlineStr">
        <is>
          <t>2026-08</t>
        </is>
      </c>
      <c r="B53" s="5" t="n">
        <v>19776</v>
      </c>
    </row>
    <row r="60">
      <c r="A60" s="2" t="inlineStr">
        <is>
          <t>Торгові марки у позиціях</t>
        </is>
      </c>
    </row>
    <row r="61">
      <c r="A61" s="3" t="inlineStr">
        <is>
          <t>Категорія</t>
        </is>
      </c>
      <c r="B61" s="3" t="inlineStr">
        <is>
          <t>Позицій, шт</t>
        </is>
      </c>
    </row>
    <row r="62">
      <c r="A62" t="inlineStr">
        <is>
          <t>Canon</t>
        </is>
      </c>
      <c r="B62" s="5" t="n">
        <v>1</v>
      </c>
    </row>
    <row r="80">
      <c r="A80" s="2" t="inlineStr">
        <is>
          <t>Що саме продає</t>
        </is>
      </c>
    </row>
    <row r="81">
      <c r="A81" s="3" t="inlineStr">
        <is>
          <t>Категорія</t>
        </is>
      </c>
      <c r="B81" s="3" t="inlineStr">
        <is>
          <t>Позицій, шт</t>
        </is>
      </c>
    </row>
    <row r="82">
      <c r="A82" t="inlineStr">
        <is>
          <t>Багатофункціональний пристрій (БФП)</t>
        </is>
      </c>
      <c r="B82" s="5" t="n">
        <v>47</v>
      </c>
    </row>
    <row r="83">
      <c r="A83" t="inlineStr">
        <is>
          <t>Монітор</t>
        </is>
      </c>
      <c r="B83" s="5" t="n">
        <v>30</v>
      </c>
    </row>
    <row r="84">
      <c r="A84" t="inlineStr">
        <is>
          <t>Клавіатура</t>
        </is>
      </c>
      <c r="B84" s="5" t="n">
        <v>17</v>
      </c>
    </row>
    <row r="85">
      <c r="A85" t="inlineStr">
        <is>
          <t>Ноутбук</t>
        </is>
      </c>
      <c r="B85" s="5" t="n">
        <v>7</v>
      </c>
    </row>
    <row r="86">
      <c r="A86" t="inlineStr">
        <is>
          <t>Миша</t>
        </is>
      </c>
      <c r="B86" s="5" t="n">
        <v>7</v>
      </c>
    </row>
    <row r="87">
      <c r="A87" t="inlineStr">
        <is>
          <t>Принтер</t>
        </is>
      </c>
      <c r="B87" s="5" t="n">
        <v>6</v>
      </c>
    </row>
    <row r="88">
      <c r="A88" t="inlineStr">
        <is>
          <t>Накопичувач SSD</t>
        </is>
      </c>
      <c r="B88" s="5" t="n">
        <v>6</v>
      </c>
    </row>
    <row r="89">
      <c r="A89" t="inlineStr">
        <is>
          <t>Планшет</t>
        </is>
      </c>
      <c r="B89" s="5" t="n">
        <v>6</v>
      </c>
    </row>
    <row r="90">
      <c r="A90" t="inlineStr">
        <is>
          <t>Джерело безперебійного живлення</t>
        </is>
      </c>
      <c r="B90" s="5" t="n">
        <v>4</v>
      </c>
    </row>
    <row r="91">
      <c r="A91" t="inlineStr">
        <is>
          <t>Вебкамера</t>
        </is>
      </c>
      <c r="B91" s="5" t="n">
        <v>4</v>
      </c>
    </row>
    <row r="98">
      <c r="A98" s="2" t="inlineStr">
        <is>
          <t>Ключові замовники</t>
        </is>
      </c>
    </row>
    <row r="99">
      <c r="A99" s="3" t="inlineStr">
        <is>
          <t>Категорія</t>
        </is>
      </c>
      <c r="B99" s="3" t="inlineStr">
        <is>
          <t>Сума, грн</t>
        </is>
      </c>
    </row>
    <row r="100">
      <c r="A100" t="inlineStr">
        <is>
          <t>КП «ВОЛИНСЬКЕ ОБЛАСНЕ ТЕРИТОРІАЛЬНЕ МЕДИ</t>
        </is>
      </c>
      <c r="B100" s="5" t="n">
        <v>225600</v>
      </c>
    </row>
    <row r="101">
      <c r="A101" t="inlineStr">
        <is>
          <t>ВОЛИНСЬКА ОБЛАСНА ПРОКУРАТУРА</t>
        </is>
      </c>
      <c r="B101" s="5" t="n">
        <v>177888</v>
      </c>
    </row>
    <row r="102">
      <c r="A102" t="inlineStr">
        <is>
          <t>Департамент "Центр надання адміністратив</t>
        </is>
      </c>
      <c r="B102" s="5" t="n">
        <v>159304.8</v>
      </c>
    </row>
    <row r="103">
      <c r="A103" t="inlineStr">
        <is>
          <t>ВИКОНАВЧИЙ КОМІТЕТ НОВОВОЛИНСЬКОЇ МІСЬКО</t>
        </is>
      </c>
      <c r="B103" s="5" t="n">
        <v>139116</v>
      </c>
    </row>
    <row r="104">
      <c r="A104" t="inlineStr">
        <is>
          <t>Гуманітарний відділ Городищенської сільс</t>
        </is>
      </c>
      <c r="B104" s="5" t="n">
        <v>95520</v>
      </c>
    </row>
    <row r="105">
      <c r="A105" t="inlineStr">
        <is>
          <t>ГОЛОВНЕ УПРАВЛІННЯ ПЕНСІЙНОГО ФОНДУ УКРА</t>
        </is>
      </c>
      <c r="B105" s="5" t="n">
        <v>95100</v>
      </c>
    </row>
    <row r="106">
      <c r="A106" t="inlineStr">
        <is>
          <t>ВІЙСЬКОВА ЧАСТИНА 1141 НАЦІОНАЛЬНОЇ ГВАР</t>
        </is>
      </c>
      <c r="B106" s="5" t="n">
        <v>93153.3</v>
      </c>
    </row>
    <row r="107">
      <c r="A107" t="inlineStr">
        <is>
          <t>Виконавчий комітет Луцької міської ради</t>
        </is>
      </c>
      <c r="B107" s="5" t="n">
        <v>71806.8</v>
      </c>
    </row>
    <row r="108">
      <c r="A108" t="inlineStr">
        <is>
          <t>Управління освіти виконавчого комітету К</t>
        </is>
      </c>
      <c r="B108" s="5" t="n">
        <v>66075.62</v>
      </c>
    </row>
    <row r="109">
      <c r="A109" t="inlineStr">
        <is>
          <t>Виконавчий комітет Ковельської міської р</t>
        </is>
      </c>
      <c r="B109" s="5" t="n">
        <v>60978</v>
      </c>
    </row>
    <row r="116">
      <c r="A116" s="2" t="inlineStr">
        <is>
          <t>Процедури</t>
        </is>
      </c>
    </row>
    <row r="117">
      <c r="A117" s="3" t="inlineStr">
        <is>
          <t>Категорія</t>
        </is>
      </c>
      <c r="B117" s="3" t="inlineStr">
        <is>
          <t>Угод, шт</t>
        </is>
      </c>
    </row>
    <row r="118">
      <c r="A118" t="inlineStr">
        <is>
          <t>Запит пропозицій</t>
        </is>
      </c>
      <c r="B118" s="5" t="n">
        <v>59</v>
      </c>
    </row>
    <row r="119">
      <c r="A119" t="inlineStr">
        <is>
          <t>Звіт про договір</t>
        </is>
      </c>
      <c r="B119" s="5" t="n">
        <v>1</v>
      </c>
    </row>
    <row r="136">
      <c r="A136" s="8" t="inlineStr">
        <is>
          <t>Таблиці</t>
        </is>
      </c>
    </row>
    <row r="138">
      <c r="A138" s="2" t="inlineStr">
        <is>
          <t>ТМ</t>
        </is>
      </c>
    </row>
    <row r="139">
      <c r="A139" s="11" t="inlineStr">
        <is>
          <t>Торгова марка</t>
        </is>
      </c>
      <c r="B139" s="11" t="inlineStr">
        <is>
          <t>Позицій</t>
        </is>
      </c>
      <c r="C139" s="11" t="inlineStr">
        <is>
          <t>Частка</t>
        </is>
      </c>
      <c r="D139" s="11" t="inlineStr">
        <is>
          <t>Власна ТМ за довідником</t>
        </is>
      </c>
    </row>
    <row r="140">
      <c r="A140" t="inlineStr">
        <is>
          <t>Canon</t>
        </is>
      </c>
      <c r="B140" s="5" t="n">
        <v>1</v>
      </c>
      <c r="C140" s="12" t="n">
        <v>1</v>
      </c>
      <c r="D140" t="inlineStr"/>
    </row>
    <row r="142">
      <c r="A142" s="2" t="inlineStr">
        <is>
          <t>Товари</t>
        </is>
      </c>
    </row>
    <row r="143">
      <c r="A143" s="11" t="inlineStr">
        <is>
          <t>Товар</t>
        </is>
      </c>
      <c r="B143" s="11" t="inlineStr">
        <is>
          <t>Позицій</t>
        </is>
      </c>
    </row>
    <row r="144">
      <c r="A144" t="inlineStr">
        <is>
          <t>Багатофункціональний пристрій (БФП)</t>
        </is>
      </c>
      <c r="B144" s="5" t="n">
        <v>47</v>
      </c>
    </row>
    <row r="145">
      <c r="A145" t="inlineStr">
        <is>
          <t>Монітор</t>
        </is>
      </c>
      <c r="B145" s="5" t="n">
        <v>30</v>
      </c>
    </row>
    <row r="146">
      <c r="A146" t="inlineStr">
        <is>
          <t>Клавіатура</t>
        </is>
      </c>
      <c r="B146" s="5" t="n">
        <v>17</v>
      </c>
    </row>
    <row r="147">
      <c r="A147" t="inlineStr">
        <is>
          <t>Ноутбук</t>
        </is>
      </c>
      <c r="B147" s="5" t="n">
        <v>7</v>
      </c>
    </row>
    <row r="148">
      <c r="A148" t="inlineStr">
        <is>
          <t>Миша</t>
        </is>
      </c>
      <c r="B148" s="5" t="n">
        <v>7</v>
      </c>
    </row>
    <row r="149">
      <c r="A149" t="inlineStr">
        <is>
          <t>Принтер</t>
        </is>
      </c>
      <c r="B149" s="5" t="n">
        <v>6</v>
      </c>
    </row>
    <row r="150">
      <c r="A150" t="inlineStr">
        <is>
          <t>Накопичувач SSD</t>
        </is>
      </c>
      <c r="B150" s="5" t="n">
        <v>6</v>
      </c>
    </row>
    <row r="151">
      <c r="A151" t="inlineStr">
        <is>
          <t>Планшет</t>
        </is>
      </c>
      <c r="B151" s="5" t="n">
        <v>6</v>
      </c>
    </row>
    <row r="152">
      <c r="A152" t="inlineStr">
        <is>
          <t>Джерело безперебійного живлення</t>
        </is>
      </c>
      <c r="B152" s="5" t="n">
        <v>4</v>
      </c>
    </row>
    <row r="153">
      <c r="A153" t="inlineStr">
        <is>
          <t>Вебкамера</t>
        </is>
      </c>
      <c r="B153" s="5" t="n">
        <v>4</v>
      </c>
    </row>
    <row r="154">
      <c r="A154" t="inlineStr">
        <is>
          <t>Накопичувач (тип не вказано)</t>
        </is>
      </c>
      <c r="B154" s="5" t="n">
        <v>3</v>
      </c>
    </row>
    <row r="155">
      <c r="A155" t="inlineStr">
        <is>
          <t>Мережевий фільтр і подовжувач</t>
        </is>
      </c>
      <c r="B155" s="5" t="n">
        <v>2</v>
      </c>
    </row>
    <row r="156">
      <c r="A156" t="inlineStr">
        <is>
          <t>Оперативна пам'ять</t>
        </is>
      </c>
      <c r="B156" s="5" t="n">
        <v>2</v>
      </c>
    </row>
    <row r="157">
      <c r="A157" t="inlineStr">
        <is>
          <t>Сканер</t>
        </is>
      </c>
      <c r="B157" s="5" t="n">
        <v>2</v>
      </c>
    </row>
    <row r="158">
      <c r="A158" t="inlineStr">
        <is>
          <t>Оптичний диск</t>
        </is>
      </c>
      <c r="B158" s="5" t="n">
        <v>1</v>
      </c>
    </row>
    <row r="159">
      <c r="A159" t="inlineStr">
        <is>
          <t>Навушники, гарнітура</t>
        </is>
      </c>
      <c r="B159" s="5" t="n">
        <v>1</v>
      </c>
    </row>
    <row r="160">
      <c r="A160" t="inlineStr">
        <is>
          <t>Блок живлення</t>
        </is>
      </c>
      <c r="B160" s="5" t="n">
        <v>1</v>
      </c>
    </row>
    <row r="161">
      <c r="A161" t="inlineStr">
        <is>
          <t>Сканер штрих-коду</t>
        </is>
      </c>
      <c r="B161" s="5" t="n">
        <v>1</v>
      </c>
    </row>
    <row r="162">
      <c r="A162" t="inlineStr">
        <is>
          <t>Захищений носій, засіб КЗІ</t>
        </is>
      </c>
      <c r="B162" s="5" t="n">
        <v>1</v>
      </c>
    </row>
    <row r="164">
      <c r="A164" s="2" t="inlineStr">
        <is>
          <t>Документи</t>
        </is>
      </c>
    </row>
    <row r="165">
      <c r="A165" s="11" t="inlineStr">
        <is>
          <t>Тип документа</t>
        </is>
      </c>
      <c r="B165" s="11" t="inlineStr">
        <is>
          <t>Файлів</t>
        </is>
      </c>
    </row>
    <row r="166">
      <c r="A166" t="inlineStr">
        <is>
          <t>Підпис КЕП</t>
        </is>
      </c>
      <c r="B166" s="5" t="n">
        <v>164</v>
      </c>
    </row>
    <row r="167">
      <c r="A167" t="inlineStr">
        <is>
          <t>Установчі та реєстраційні</t>
        </is>
      </c>
      <c r="B167" s="5" t="n">
        <v>4</v>
      </c>
    </row>
    <row r="168">
      <c r="A168" t="inlineStr">
        <is>
          <t>не класифіковано</t>
        </is>
      </c>
      <c r="B168" s="5" t="n">
        <v>1</v>
      </c>
    </row>
    <row r="170">
      <c r="A170" s="2" t="inlineStr">
        <is>
          <t>Зірвані перемоги</t>
        </is>
      </c>
    </row>
    <row r="171">
      <c r="A171" s="11" t="inlineStr">
        <is>
          <t>Закупівля</t>
        </is>
      </c>
      <c r="B171" s="11" t="inlineStr">
        <is>
          <t>Дата</t>
        </is>
      </c>
      <c r="C171" s="11" t="inlineStr">
        <is>
          <t>Замовник</t>
        </is>
      </c>
      <c r="D171" s="11" t="inlineStr">
        <is>
          <t>Сума, грн</t>
        </is>
      </c>
      <c r="E171" s="11" t="inlineStr">
        <is>
          <t>Причина</t>
        </is>
      </c>
      <c r="F171" s="11" t="inlineStr">
        <is>
          <t>Формулювання замовника</t>
        </is>
      </c>
    </row>
    <row r="172">
      <c r="A172" s="4" t="inlineStr">
        <is>
          <t>UA-2026-07-21-003188-a</t>
        </is>
      </c>
      <c r="B172" t="inlineStr">
        <is>
          <t>2026-08-04</t>
        </is>
      </c>
      <c r="C172" t="inlineStr">
        <is>
          <t>Виконавчий комітет Луцької міської ради</t>
        </is>
      </c>
      <c r="D172" s="5" t="n">
        <v>3900</v>
      </c>
      <c r="E172" t="inlineStr">
        <is>
          <t>Не підписав договір у строк</t>
        </is>
      </c>
      <c r="F172" t="inlineStr">
        <is>
          <t>Переможець не підписав договір, на умовах, визначених замовником у запиті пропозицій постачальників шляхом заповнення електронних форм із окремими полями та у проекті договору, що є складовою частиною запиту пропозицій постачальників у строк, визначений пунктом 66 цього Порядку</t>
        </is>
      </c>
    </row>
    <row r="174">
      <c r="A174" s="2" t="inlineStr">
        <is>
          <t>Угоди</t>
        </is>
      </c>
    </row>
    <row r="175">
      <c r="A175" s="11" t="inlineStr">
        <is>
          <t>Закупівля</t>
        </is>
      </c>
      <c r="B175" s="11" t="inlineStr">
        <is>
          <t>Дата</t>
        </is>
      </c>
      <c r="C175" s="11" t="inlineStr">
        <is>
          <t>Замовник</t>
        </is>
      </c>
      <c r="D175" s="11" t="inlineStr">
        <is>
          <t>Регіон</t>
        </is>
      </c>
      <c r="E175" s="11" t="inlineStr">
        <is>
          <t>Сума, грн</t>
        </is>
      </c>
      <c r="F175" s="11" t="inlineStr">
        <is>
          <t>Очікувана, грн</t>
        </is>
      </c>
      <c r="G175" s="11" t="inlineStr">
        <is>
          <t>Процедура</t>
        </is>
      </c>
      <c r="H175" s="11" t="inlineStr">
        <is>
          <t>Галузь</t>
        </is>
      </c>
      <c r="I175" s="11" t="inlineStr">
        <is>
          <t>Джерело</t>
        </is>
      </c>
    </row>
    <row r="176">
      <c r="A176" s="4" t="inlineStr">
        <is>
          <t>UA-2026-03-24-012123-a</t>
        </is>
      </c>
      <c r="B176" t="inlineStr">
        <is>
          <t>2026-04-03</t>
        </is>
      </c>
      <c r="C176" t="inlineStr">
        <is>
          <t>КП «ВОЛИНСЬКЕ ОБЛАСНЕ ТЕРИТОРІАЛЬНЕ МЕДИЧНЕ ОБ’ЄДНАНННЯ ЗАХИСТУ МАТЕРИНСТВА І ДИТИНСТВА» ВОЛИНСЬКОЇ ОБЛАСНОЇ РАДИ</t>
        </is>
      </c>
      <c r="D176" t="inlineStr">
        <is>
          <t>Волинська область</t>
        </is>
      </c>
      <c r="E176" s="13" t="n">
        <v>154800</v>
      </c>
      <c r="F176" s="13" t="n">
        <v>216990</v>
      </c>
      <c r="G176" t="inlineStr">
        <is>
          <t>Запит пропозицій</t>
        </is>
      </c>
      <c r="H176" t="inlineStr">
        <is>
          <t>Комп’ютерне обладнання</t>
        </is>
      </c>
      <c r="I176" t="inlineStr">
        <is>
          <t>договір</t>
        </is>
      </c>
    </row>
    <row r="177">
      <c r="A177" s="4" t="inlineStr">
        <is>
          <t>UA-2025-12-08-019876-a</t>
        </is>
      </c>
      <c r="B177" t="inlineStr">
        <is>
          <t>2025-12-16</t>
        </is>
      </c>
      <c r="C177" t="inlineStr">
        <is>
          <t>ВОЛИНСЬКА ОБЛАСНА ПРОКУРАТУРА</t>
        </is>
      </c>
      <c r="D177" t="inlineStr">
        <is>
          <t>Волинська область</t>
        </is>
      </c>
      <c r="E177" s="13" t="n">
        <v>151008</v>
      </c>
      <c r="F177" s="13" t="n">
        <v>211200</v>
      </c>
      <c r="G177" t="inlineStr">
        <is>
          <t>Запит пропозицій</t>
        </is>
      </c>
      <c r="H177" t="inlineStr">
        <is>
          <t>Комп’ютерне обладнання</t>
        </is>
      </c>
      <c r="I177" t="inlineStr">
        <is>
          <t>договір</t>
        </is>
      </c>
    </row>
    <row r="178">
      <c r="A178" s="4" t="inlineStr">
        <is>
          <t>UA-2025-10-21-005630-a</t>
        </is>
      </c>
      <c r="B178" t="inlineStr">
        <is>
          <t>2025-10-29</t>
        </is>
      </c>
      <c r="C178" t="inlineStr">
        <is>
          <t>Департамент "Центр надання адміністративних послуг у місті Луцьку" Луцької міської ради</t>
        </is>
      </c>
      <c r="D178" t="inlineStr">
        <is>
          <t>Волинська область</t>
        </is>
      </c>
      <c r="E178" s="13" t="n">
        <v>95988</v>
      </c>
      <c r="F178" s="13" t="n">
        <v>110000</v>
      </c>
      <c r="G178" t="inlineStr">
        <is>
          <t>Запит пропозицій</t>
        </is>
      </c>
      <c r="H178" t="inlineStr">
        <is>
          <t>Комп’ютерне обладнання</t>
        </is>
      </c>
      <c r="I178" t="inlineStr">
        <is>
          <t>договір</t>
        </is>
      </c>
    </row>
    <row r="179">
      <c r="A179" s="4" t="inlineStr">
        <is>
          <t>UA-2025-09-14-000370-a</t>
        </is>
      </c>
      <c r="B179" t="inlineStr">
        <is>
          <t>2025-09-22</t>
        </is>
      </c>
      <c r="C179" t="inlineStr">
        <is>
          <t>Гуманітарний відділ Городищенської сільської ради</t>
        </is>
      </c>
      <c r="D179" t="inlineStr">
        <is>
          <t>Волинська область</t>
        </is>
      </c>
      <c r="E179" s="13" t="n">
        <v>95520</v>
      </c>
      <c r="F179" s="13" t="n">
        <v>97995</v>
      </c>
      <c r="G179" t="inlineStr">
        <is>
          <t>Запит пропозицій</t>
        </is>
      </c>
      <c r="H179" t="inlineStr">
        <is>
          <t>Машини для обробки даних (апаратна частина)</t>
        </is>
      </c>
      <c r="I179" t="inlineStr">
        <is>
          <t>договір</t>
        </is>
      </c>
    </row>
    <row r="180">
      <c r="A180" s="4" t="inlineStr">
        <is>
          <t>UA-2025-10-07-010412-a</t>
        </is>
      </c>
      <c r="B180" t="inlineStr">
        <is>
          <t>2025-10-16</t>
        </is>
      </c>
      <c r="C180" t="inlineStr">
        <is>
          <t>ГОЛОВНЕ УПРАВЛІННЯ ПЕНСІЙНОГО ФОНДУ УКРАЇНИ У ВОЛИНСЬКІЙ ОБЛАСТІ</t>
        </is>
      </c>
      <c r="D180" t="inlineStr">
        <is>
          <t>Волинська область</t>
        </is>
      </c>
      <c r="E180" s="13" t="n">
        <v>95100</v>
      </c>
      <c r="F180" s="13" t="n">
        <v>115000</v>
      </c>
      <c r="G180" t="inlineStr">
        <is>
          <t>Запит пропозицій</t>
        </is>
      </c>
      <c r="H180" t="inlineStr">
        <is>
          <t>Машини для обробки даних (апаратна частина)</t>
        </is>
      </c>
      <c r="I180" t="inlineStr">
        <is>
          <t>договір</t>
        </is>
      </c>
    </row>
    <row r="181">
      <c r="A181" s="4" t="inlineStr">
        <is>
          <t>UA-2026-04-10-003098-a</t>
        </is>
      </c>
      <c r="B181" t="inlineStr">
        <is>
          <t>2026-04-21</t>
        </is>
      </c>
      <c r="C181" t="inlineStr">
        <is>
          <t>КП «ВОЛИНСЬКЕ ОБЛАСНЕ ТЕРИТОРІАЛЬНЕ МЕДИЧНЕ ОБ’ЄДНАНННЯ ЗАХИСТУ МАТЕРИНСТВА І ДИТИНСТВА» ВОЛИНСЬКОЇ ОБЛАСНОЇ РАДИ</t>
        </is>
      </c>
      <c r="D181" t="inlineStr">
        <is>
          <t>Волинська область</t>
        </is>
      </c>
      <c r="E181" s="13" t="n">
        <v>70800</v>
      </c>
      <c r="F181" s="13" t="n">
        <v>70900</v>
      </c>
      <c r="G181" t="inlineStr">
        <is>
          <t>Запит пропозицій</t>
        </is>
      </c>
      <c r="H181" t="inlineStr">
        <is>
          <t>Комп’ютерне обладнання</t>
        </is>
      </c>
      <c r="I181" t="inlineStr">
        <is>
          <t>договір</t>
        </is>
      </c>
    </row>
    <row r="182">
      <c r="A182" s="4" t="inlineStr">
        <is>
          <t>UA-2025-10-27-011448-a</t>
        </is>
      </c>
      <c r="B182" t="inlineStr">
        <is>
          <t>2025-11-10</t>
        </is>
      </c>
      <c r="C182" t="inlineStr">
        <is>
          <t>ВИКОНАВЧИЙ КОМІТЕТ НОВОВОЛИНСЬКОЇ МІСЬКОЇ РАДИ</t>
        </is>
      </c>
      <c r="D182" t="inlineStr">
        <is>
          <t>Волинська область</t>
        </is>
      </c>
      <c r="E182" s="13" t="n">
        <v>65520</v>
      </c>
      <c r="F182" s="13" t="n">
        <v>82500</v>
      </c>
      <c r="G182" t="inlineStr">
        <is>
          <t>Запит пропозицій</t>
        </is>
      </c>
      <c r="H182" t="inlineStr">
        <is>
          <t>Комп’ютерне обладнання</t>
        </is>
      </c>
      <c r="I182" t="inlineStr">
        <is>
          <t>договір</t>
        </is>
      </c>
    </row>
    <row r="183">
      <c r="A183" s="4" t="inlineStr">
        <is>
          <t>UA-2026-04-30-007454-a</t>
        </is>
      </c>
      <c r="B183" t="inlineStr">
        <is>
          <t>2026-05-08</t>
        </is>
      </c>
      <c r="C183" t="inlineStr">
        <is>
          <t>Маневицька селищна рада</t>
        </is>
      </c>
      <c r="D183" t="inlineStr">
        <is>
          <t>Волинська область</t>
        </is>
      </c>
      <c r="E183" s="13" t="n">
        <v>55912.8</v>
      </c>
      <c r="F183" s="13" t="n">
        <v>56000</v>
      </c>
      <c r="G183" t="inlineStr">
        <is>
          <t>Запит пропозицій</t>
        </is>
      </c>
      <c r="H183" t="inlineStr">
        <is>
          <t>Комп’ютерне обладнання</t>
        </is>
      </c>
      <c r="I183" t="inlineStr">
        <is>
          <t>договір</t>
        </is>
      </c>
    </row>
    <row r="184">
      <c r="A184" s="4" t="inlineStr">
        <is>
          <t>UA-2026-06-24-003158-a</t>
        </is>
      </c>
      <c r="B184" t="inlineStr">
        <is>
          <t>2026-07-06</t>
        </is>
      </c>
      <c r="C184" t="inlineStr">
        <is>
          <t>Виконавчий комітет Ратнівської селищної ради</t>
        </is>
      </c>
      <c r="D184" t="inlineStr">
        <is>
          <t>Волинська область</t>
        </is>
      </c>
      <c r="E184" s="13" t="n">
        <v>52488</v>
      </c>
      <c r="F184" s="13" t="n">
        <v>53000</v>
      </c>
      <c r="G184" t="inlineStr">
        <is>
          <t>Запит пропозицій</t>
        </is>
      </c>
      <c r="H184" t="inlineStr">
        <is>
          <t>Машини для обробки даних (апаратна частина)</t>
        </is>
      </c>
      <c r="I184" t="inlineStr">
        <is>
          <t>договір</t>
        </is>
      </c>
    </row>
    <row r="185">
      <c r="A185" s="4" t="inlineStr">
        <is>
          <t>UA-2026-03-25-005724-a</t>
        </is>
      </c>
      <c r="B185" t="inlineStr">
        <is>
          <t>2026-04-06</t>
        </is>
      </c>
      <c r="C185" t="inlineStr">
        <is>
          <t>ВИКОНАВЧИЙ КОМІТЕТ НОВОВОЛИНСЬКОЇ МІСЬКОЇ РАДИ</t>
        </is>
      </c>
      <c r="D185" t="inlineStr">
        <is>
          <t>Волинська область</t>
        </is>
      </c>
      <c r="E185" s="13" t="n">
        <v>46752</v>
      </c>
      <c r="F185" s="13" t="n">
        <v>47100</v>
      </c>
      <c r="G185" t="inlineStr">
        <is>
          <t>Запит пропозицій</t>
        </is>
      </c>
      <c r="H185" t="inlineStr">
        <is>
          <t>Комп’ютерне обладнання</t>
        </is>
      </c>
      <c r="I185" t="inlineStr">
        <is>
          <t>договір</t>
        </is>
      </c>
    </row>
    <row r="186">
      <c r="A186" s="4" t="inlineStr">
        <is>
          <t>UA-2025-10-15-015561-a</t>
        </is>
      </c>
      <c r="B186" t="inlineStr">
        <is>
          <t>2025-10-22</t>
        </is>
      </c>
      <c r="C186" t="inlineStr">
        <is>
          <t>КП "ЛЮБЕШІВСЬКА БАГАТОПРОФІЛЬНА ЛІКАРНЯ" ЛЮБЕШІВСЬКОЇ СЕЛИЩНОЇ РАДИ</t>
        </is>
      </c>
      <c r="D186" t="inlineStr">
        <is>
          <t>Волинська область</t>
        </is>
      </c>
      <c r="E186" s="13" t="n">
        <v>43519.2</v>
      </c>
      <c r="F186" s="13" t="n">
        <v>50975</v>
      </c>
      <c r="G186" t="inlineStr">
        <is>
          <t>Запит пропозицій</t>
        </is>
      </c>
      <c r="H186" t="inlineStr">
        <is>
          <t>Комп’ютерне обладнання</t>
        </is>
      </c>
      <c r="I186" t="inlineStr">
        <is>
          <t>договір</t>
        </is>
      </c>
    </row>
    <row r="187">
      <c r="A187" s="4" t="inlineStr">
        <is>
          <t>UA-2025-11-11-015966-a</t>
        </is>
      </c>
      <c r="B187" t="inlineStr">
        <is>
          <t>2025-11-17</t>
        </is>
      </c>
      <c r="C187" t="inlineStr">
        <is>
          <t>Територіальне управління Державної судової адміністрації України в Волинській області</t>
        </is>
      </c>
      <c r="D187" t="inlineStr">
        <is>
          <t>Волинська область</t>
        </is>
      </c>
      <c r="E187" s="13" t="n">
        <v>36360</v>
      </c>
      <c r="F187" s="13" t="n">
        <v>40316</v>
      </c>
      <c r="G187" t="inlineStr">
        <is>
          <t>Запит пропозицій</t>
        </is>
      </c>
      <c r="H187" t="inlineStr">
        <is>
          <t>Комп’ютерне обладнання</t>
        </is>
      </c>
      <c r="I187" t="inlineStr">
        <is>
          <t>договір</t>
        </is>
      </c>
    </row>
    <row r="188">
      <c r="A188" s="4" t="inlineStr">
        <is>
          <t>UA-2025-10-29-012129-a</t>
        </is>
      </c>
      <c r="B188" t="inlineStr">
        <is>
          <t>2025-11-07</t>
        </is>
      </c>
      <c r="C188" t="inlineStr">
        <is>
          <t>Департамент "Центр надання адміністративних послуг у місті Луцьку" Луцької міської ради</t>
        </is>
      </c>
      <c r="D188" t="inlineStr">
        <is>
          <t>Волинська область</t>
        </is>
      </c>
      <c r="E188" s="13" t="n">
        <v>31800</v>
      </c>
      <c r="F188" s="13" t="n">
        <v>35000</v>
      </c>
      <c r="G188" t="inlineStr">
        <is>
          <t>Запит пропозицій</t>
        </is>
      </c>
      <c r="H188" t="inlineStr">
        <is>
          <t>Комп’ютерне обладнання</t>
        </is>
      </c>
      <c r="I188" t="inlineStr">
        <is>
          <t>договір</t>
        </is>
      </c>
    </row>
    <row r="189">
      <c r="A189" s="4" t="inlineStr">
        <is>
          <t>UA-2025-10-23-012189-a</t>
        </is>
      </c>
      <c r="B189" t="inlineStr">
        <is>
          <t>2025-11-03</t>
        </is>
      </c>
      <c r="C189" t="inlineStr">
        <is>
          <t>Виконавчий комітет Ковельської міської ради</t>
        </is>
      </c>
      <c r="D189" t="inlineStr">
        <is>
          <t>Волинська область</t>
        </is>
      </c>
      <c r="E189" s="13" t="n">
        <v>29556</v>
      </c>
      <c r="F189" s="13" t="n">
        <v>39000</v>
      </c>
      <c r="G189" t="inlineStr">
        <is>
          <t>Запит пропозицій</t>
        </is>
      </c>
      <c r="H189" t="inlineStr">
        <is>
          <t>Комп’ютерне обладнання</t>
        </is>
      </c>
      <c r="I189" t="inlineStr">
        <is>
          <t>договір</t>
        </is>
      </c>
    </row>
    <row r="190">
      <c r="A190" s="4" t="inlineStr">
        <is>
          <t>UA-2025-12-19-020914-a</t>
        </is>
      </c>
      <c r="B190" t="inlineStr">
        <is>
          <t>2025-12-25</t>
        </is>
      </c>
      <c r="C190" t="inlineStr">
        <is>
          <t>КНП "ЛЮБОМЛЬСЬКЕ ТЕРИТОРІАЛЬНЕ МЕДИЧНЕ ОБ'ЄДНАННЯ" ЛЮБОМЛЬСЬКОЇ МІСЬКОЇ РАДИ</t>
        </is>
      </c>
      <c r="D190" t="inlineStr">
        <is>
          <t>Волинська область</t>
        </is>
      </c>
      <c r="E190" s="13" t="n">
        <v>28560</v>
      </c>
      <c r="F190" s="13" t="n">
        <v>30000</v>
      </c>
      <c r="G190" t="inlineStr">
        <is>
          <t>Запит пропозицій</t>
        </is>
      </c>
      <c r="H190" t="inlineStr">
        <is>
          <t>Машини для обробки даних (апаратна частина)</t>
        </is>
      </c>
      <c r="I190" t="inlineStr">
        <is>
          <t>договір</t>
        </is>
      </c>
    </row>
    <row r="191">
      <c r="A191" s="4" t="inlineStr">
        <is>
          <t>UA-2025-09-04-011058-a</t>
        </is>
      </c>
      <c r="B191" t="inlineStr">
        <is>
          <t>2025-09-15</t>
        </is>
      </c>
      <c r="C191" t="inlineStr">
        <is>
          <t>Виконавчий комітет Луцької міської ради</t>
        </is>
      </c>
      <c r="D191" t="inlineStr">
        <is>
          <t>Волинська область</t>
        </is>
      </c>
      <c r="E191" s="13" t="n">
        <v>28140</v>
      </c>
      <c r="F191" s="13" t="n">
        <v>30000</v>
      </c>
      <c r="G191" t="inlineStr">
        <is>
          <t>Запит пропозицій</t>
        </is>
      </c>
      <c r="H191" t="inlineStr">
        <is>
          <t>Машини для обробки даних (апаратна частина)</t>
        </is>
      </c>
      <c r="I191" t="inlineStr">
        <is>
          <t>договір</t>
        </is>
      </c>
    </row>
    <row r="192">
      <c r="A192" s="4" t="inlineStr">
        <is>
          <t>UA-2026-02-10-017035-a</t>
        </is>
      </c>
      <c r="B192" t="inlineStr">
        <is>
          <t>2026-02-16</t>
        </is>
      </c>
      <c r="C192" t="inlineStr">
        <is>
          <t>КП "ЛУЦЬКА ЦЕНТРАЛЬНА РАЙОННА ЛІКАРНЯ" ПІДГАЙЦІВСЬКОЇ СІЛЬСЬКОЇ РАДИ</t>
        </is>
      </c>
      <c r="D192" t="inlineStr">
        <is>
          <t>Волинська область</t>
        </is>
      </c>
      <c r="E192" s="13" t="n">
        <v>26964</v>
      </c>
      <c r="F192" s="13" t="n">
        <v>30000</v>
      </c>
      <c r="G192" t="inlineStr">
        <is>
          <t>Запит пропозицій</t>
        </is>
      </c>
      <c r="H192" t="inlineStr">
        <is>
          <t>Комп’ютерне обладнання</t>
        </is>
      </c>
      <c r="I192" t="inlineStr">
        <is>
          <t>договір</t>
        </is>
      </c>
    </row>
    <row r="193">
      <c r="A193" s="4" t="inlineStr">
        <is>
          <t>UA-2026-04-27-011811-a</t>
        </is>
      </c>
      <c r="B193" t="inlineStr">
        <is>
          <t>2026-05-05</t>
        </is>
      </c>
      <c r="C193" t="inlineStr">
        <is>
          <t>ВОЛИНСЬКА ОБЛАСНА ПРОКУРАТУРА</t>
        </is>
      </c>
      <c r="D193" t="inlineStr">
        <is>
          <t>Волинська область</t>
        </is>
      </c>
      <c r="E193" s="13" t="n">
        <v>26880</v>
      </c>
      <c r="F193" s="13" t="n">
        <v>28000</v>
      </c>
      <c r="G193" t="inlineStr">
        <is>
          <t>Запит пропозицій</t>
        </is>
      </c>
      <c r="H193" t="inlineStr">
        <is>
          <t>Комп’ютерне обладнання</t>
        </is>
      </c>
      <c r="I193" t="inlineStr">
        <is>
          <t>договір</t>
        </is>
      </c>
    </row>
    <row r="194">
      <c r="A194" s="4" t="inlineStr">
        <is>
          <t>UA-2026-03-17-004733-a</t>
        </is>
      </c>
      <c r="B194" t="inlineStr">
        <is>
          <t>2026-03-31</t>
        </is>
      </c>
      <c r="C194" t="inlineStr">
        <is>
          <t>ВІЙСЬКОВА ЧАСТИНА 1141 НАЦІОНАЛЬНОЇ ГВАРДІЇ УКРАЇНИ</t>
        </is>
      </c>
      <c r="D194" t="inlineStr">
        <is>
          <t>Волинська область</t>
        </is>
      </c>
      <c r="E194" s="13" t="n">
        <v>26712</v>
      </c>
      <c r="F194" s="13" t="n">
        <v>32228</v>
      </c>
      <c r="G194" t="inlineStr">
        <is>
          <t>Запит пропозицій</t>
        </is>
      </c>
      <c r="H194" t="inlineStr">
        <is>
          <t>Комп’ютерне обладнання</t>
        </is>
      </c>
      <c r="I194" t="inlineStr">
        <is>
          <t>договір</t>
        </is>
      </c>
    </row>
    <row r="195">
      <c r="A195" s="4" t="inlineStr">
        <is>
          <t>UA-2025-10-31-010117-a</t>
        </is>
      </c>
      <c r="B195" t="inlineStr">
        <is>
          <t>2025-11-07</t>
        </is>
      </c>
      <c r="C195" t="inlineStr">
        <is>
          <t>Управління освіти виконавчого комітету Ковельської міської ради</t>
        </is>
      </c>
      <c r="D195" t="inlineStr">
        <is>
          <t>Волинська область</t>
        </is>
      </c>
      <c r="E195" s="13" t="n">
        <v>26666.4</v>
      </c>
      <c r="F195" s="13" t="n">
        <v>31000</v>
      </c>
      <c r="G195" t="inlineStr">
        <is>
          <t>Запит пропозицій</t>
        </is>
      </c>
      <c r="H195" t="inlineStr">
        <is>
          <t>Комп’ютерне обладнання</t>
        </is>
      </c>
      <c r="I195" t="inlineStr">
        <is>
          <t>договір</t>
        </is>
      </c>
    </row>
    <row r="196">
      <c r="A196" s="4" t="inlineStr">
        <is>
          <t>UA-2026-04-24-007749-a</t>
        </is>
      </c>
      <c r="B196" t="inlineStr">
        <is>
          <t>2026-05-07</t>
        </is>
      </c>
      <c r="C196" t="inlineStr">
        <is>
          <t>ВІЙСЬКОВА ЧАСТИНА 1141 НАЦІОНАЛЬНОЇ ГВАРДІЇ УКРАЇНИ</t>
        </is>
      </c>
      <c r="D196" t="inlineStr">
        <is>
          <t>Волинська область</t>
        </is>
      </c>
      <c r="E196" s="13" t="n">
        <v>25824</v>
      </c>
      <c r="F196" s="13" t="n">
        <v>32228</v>
      </c>
      <c r="G196" t="inlineStr">
        <is>
          <t>Запит пропозицій</t>
        </is>
      </c>
      <c r="H196" t="inlineStr">
        <is>
          <t>Комп’ютерне обладнання</t>
        </is>
      </c>
      <c r="I196" t="inlineStr">
        <is>
          <t>договір</t>
        </is>
      </c>
    </row>
    <row r="197">
      <c r="A197" s="4" t="inlineStr">
        <is>
          <t>UA-2026-06-07-000072-a</t>
        </is>
      </c>
      <c r="B197" t="inlineStr">
        <is>
          <t>2026-06-16</t>
        </is>
      </c>
      <c r="C197" t="inlineStr">
        <is>
          <t>КП "ЛУЦЬКА ЦЕНТРАЛЬНА РАЙОННА ЛІКАРНЯ" ПІДГАЙЦІВСЬКОЇ СІЛЬСЬКОЇ РАДИ</t>
        </is>
      </c>
      <c r="D197" t="inlineStr">
        <is>
          <t>Волинська область</t>
        </is>
      </c>
      <c r="E197" s="13" t="n">
        <v>25080</v>
      </c>
      <c r="F197" s="13" t="n">
        <v>27000</v>
      </c>
      <c r="G197" t="inlineStr">
        <is>
          <t>Запит пропозицій</t>
        </is>
      </c>
      <c r="H197" t="inlineStr">
        <is>
          <t>Комп’ютерне обладнання</t>
        </is>
      </c>
      <c r="I197" t="inlineStr">
        <is>
          <t>договір</t>
        </is>
      </c>
    </row>
    <row r="198">
      <c r="A198" s="4" t="inlineStr">
        <is>
          <t>UA-2026-03-25-003378-a</t>
        </is>
      </c>
      <c r="B198" t="inlineStr">
        <is>
          <t>2026-04-07</t>
        </is>
      </c>
      <c r="C198" t="inlineStr">
        <is>
          <t>Військова частина 9971</t>
        </is>
      </c>
      <c r="D198" t="inlineStr">
        <is>
          <t>Волинська область</t>
        </is>
      </c>
      <c r="E198" s="13" t="n">
        <v>23652</v>
      </c>
      <c r="F198" s="13" t="n">
        <v>23961</v>
      </c>
      <c r="G198" t="inlineStr">
        <is>
          <t>Запит пропозицій</t>
        </is>
      </c>
      <c r="H198" t="inlineStr">
        <is>
          <t>Комп’ютерне обладнання</t>
        </is>
      </c>
      <c r="I198" t="inlineStr">
        <is>
          <t>договір</t>
        </is>
      </c>
    </row>
    <row r="199">
      <c r="A199" s="4" t="inlineStr">
        <is>
          <t>UA-2025-10-23-014412-a</t>
        </is>
      </c>
      <c r="B199" t="inlineStr">
        <is>
          <t>2025-11-03</t>
        </is>
      </c>
      <c r="C199" t="inlineStr">
        <is>
          <t>Виконавчий комітет Ковельської міської ради</t>
        </is>
      </c>
      <c r="D199" t="inlineStr">
        <is>
          <t>Волинська область</t>
        </is>
      </c>
      <c r="E199" s="13" t="n">
        <v>23352</v>
      </c>
      <c r="F199" s="13" t="n">
        <v>32000</v>
      </c>
      <c r="G199" t="inlineStr">
        <is>
          <t>Запит пропозицій</t>
        </is>
      </c>
      <c r="H199" t="inlineStr">
        <is>
          <t>Комп’ютерне обладнання</t>
        </is>
      </c>
      <c r="I199" t="inlineStr">
        <is>
          <t>договір</t>
        </is>
      </c>
    </row>
    <row r="200">
      <c r="A200" s="4" t="inlineStr">
        <is>
          <t>UA-2025-11-25-016365-a</t>
        </is>
      </c>
      <c r="B200" t="inlineStr">
        <is>
          <t>2025-12-03</t>
        </is>
      </c>
      <c r="C200" t="inlineStr">
        <is>
          <t>Управління з гуманітарних питань Горохівської міської ради</t>
        </is>
      </c>
      <c r="D200" t="inlineStr">
        <is>
          <t>Волинська область</t>
        </is>
      </c>
      <c r="E200" s="13" t="n">
        <v>23035.2</v>
      </c>
      <c r="F200" s="13" t="n">
        <v>25870</v>
      </c>
      <c r="G200" t="inlineStr">
        <is>
          <t>Запит пропозицій</t>
        </is>
      </c>
      <c r="H200" t="inlineStr">
        <is>
          <t>Комп’ютерне обладнання</t>
        </is>
      </c>
      <c r="I200" t="inlineStr">
        <is>
          <t>договір</t>
        </is>
      </c>
    </row>
    <row r="201">
      <c r="A201" s="4" t="inlineStr">
        <is>
          <t>UA-2025-10-31-009540-a</t>
        </is>
      </c>
      <c r="B201" t="inlineStr">
        <is>
          <t>2025-11-11</t>
        </is>
      </c>
      <c r="C201" t="inlineStr">
        <is>
          <t>Департамент "Центр надання адміністративних послуг у місті Луцьку" Луцької міської ради</t>
        </is>
      </c>
      <c r="D201" t="inlineStr">
        <is>
          <t>Волинська область</t>
        </is>
      </c>
      <c r="E201" s="13" t="n">
        <v>22308</v>
      </c>
      <c r="F201" s="13" t="n">
        <v>33000</v>
      </c>
      <c r="G201" t="inlineStr">
        <is>
          <t>Запит пропозицій</t>
        </is>
      </c>
      <c r="H201" t="inlineStr">
        <is>
          <t>Комп’ютерне обладнання</t>
        </is>
      </c>
      <c r="I201" t="inlineStr">
        <is>
          <t>договір</t>
        </is>
      </c>
    </row>
    <row r="202">
      <c r="A202" s="4" t="inlineStr">
        <is>
          <t>UA-2026-02-26-008276-a</t>
        </is>
      </c>
      <c r="B202" t="inlineStr">
        <is>
          <t>2026-03-05</t>
        </is>
      </c>
      <c r="C202" t="inlineStr">
        <is>
          <t>СТАРОВИЖІВСЬКА СЕЛИЩНА РАДА</t>
        </is>
      </c>
      <c r="D202" t="inlineStr">
        <is>
          <t>Волинська область</t>
        </is>
      </c>
      <c r="E202" s="13" t="n">
        <v>22176</v>
      </c>
      <c r="F202" s="13" t="n">
        <v>23136</v>
      </c>
      <c r="G202" t="inlineStr">
        <is>
          <t>Запит пропозицій</t>
        </is>
      </c>
      <c r="H202" t="inlineStr">
        <is>
          <t>Комп’ютерне обладнання</t>
        </is>
      </c>
      <c r="I202" t="inlineStr">
        <is>
          <t>договір</t>
        </is>
      </c>
    </row>
    <row r="203">
      <c r="A203" s="4" t="inlineStr">
        <is>
          <t>UA-2026-01-20-013285-a</t>
        </is>
      </c>
      <c r="B203" t="inlineStr">
        <is>
          <t>2026-01-28</t>
        </is>
      </c>
      <c r="C203" t="inlineStr">
        <is>
          <t>КНП "Іваничівська багатопрофільна лікарня"</t>
        </is>
      </c>
      <c r="D203" t="inlineStr">
        <is>
          <t>Волинська область</t>
        </is>
      </c>
      <c r="E203" s="13" t="n">
        <v>21288</v>
      </c>
      <c r="F203" s="13" t="n">
        <v>23674</v>
      </c>
      <c r="G203" t="inlineStr">
        <is>
          <t>Запит пропозицій</t>
        </is>
      </c>
      <c r="H203" t="inlineStr">
        <is>
          <t>Комп’ютерне обладнання</t>
        </is>
      </c>
      <c r="I203" t="inlineStr">
        <is>
          <t>договір</t>
        </is>
      </c>
    </row>
    <row r="204">
      <c r="A204" s="4" t="inlineStr">
        <is>
          <t>UA-2026-06-17-002653-a</t>
        </is>
      </c>
      <c r="B204" t="inlineStr">
        <is>
          <t>2026-06-26</t>
        </is>
      </c>
      <c r="C204" t="inlineStr">
        <is>
          <t>Військова частина Т0430</t>
        </is>
      </c>
      <c r="D204" t="inlineStr">
        <is>
          <t>Волинська область</t>
        </is>
      </c>
      <c r="E204" s="13" t="n">
        <v>20570.4</v>
      </c>
      <c r="F204" s="13" t="n">
        <v>21420</v>
      </c>
      <c r="G204" t="inlineStr">
        <is>
          <t>Запит пропозицій</t>
        </is>
      </c>
      <c r="H204" t="inlineStr">
        <is>
          <t>Комп’ютерне обладнання</t>
        </is>
      </c>
      <c r="I204" t="inlineStr">
        <is>
          <t>договір</t>
        </is>
      </c>
    </row>
    <row r="205">
      <c r="A205" s="4" t="inlineStr">
        <is>
          <t>UA-2026-04-08-004997-a</t>
        </is>
      </c>
      <c r="B205" t="inlineStr">
        <is>
          <t>2026-04-21</t>
        </is>
      </c>
      <c r="C205" t="inlineStr">
        <is>
          <t>ВІЙСЬКОВА ЧАСТИНА 1141 НАЦІОНАЛЬНОЇ ГВАРДІЇ УКРАЇНИ</t>
        </is>
      </c>
      <c r="D205" t="inlineStr">
        <is>
          <t>Волинська область</t>
        </is>
      </c>
      <c r="E205" s="13" t="n">
        <v>20034</v>
      </c>
      <c r="F205" s="13" t="n">
        <v>24171</v>
      </c>
      <c r="G205" t="inlineStr">
        <is>
          <t>Запит пропозицій</t>
        </is>
      </c>
      <c r="H205" t="inlineStr">
        <is>
          <t>Комп’ютерне обладнання</t>
        </is>
      </c>
      <c r="I205" t="inlineStr">
        <is>
          <t>договір</t>
        </is>
      </c>
    </row>
    <row r="206">
      <c r="A206" s="4" t="inlineStr">
        <is>
          <t>UA-2025-12-05-007794-a</t>
        </is>
      </c>
      <c r="B206" t="inlineStr">
        <is>
          <t>2025-12-12</t>
        </is>
      </c>
      <c r="C206" t="inlineStr">
        <is>
          <t>МАР'ЯНІВСЬКА СЕЛИЩНА РАДА</t>
        </is>
      </c>
      <c r="D206" t="inlineStr">
        <is>
          <t>Волинська область</t>
        </is>
      </c>
      <c r="E206" s="13" t="n">
        <v>18732</v>
      </c>
      <c r="F206" s="13" t="n">
        <v>20114</v>
      </c>
      <c r="G206" t="inlineStr">
        <is>
          <t>Запит пропозицій</t>
        </is>
      </c>
      <c r="H206" t="inlineStr">
        <is>
          <t>Комп’ютерне обладнання</t>
        </is>
      </c>
      <c r="I206" t="inlineStr">
        <is>
          <t>договір</t>
        </is>
      </c>
    </row>
    <row r="207">
      <c r="A207" s="4" t="inlineStr">
        <is>
          <t>UA-2026-06-18-005002-a</t>
        </is>
      </c>
      <c r="B207" t="inlineStr">
        <is>
          <t>2026-06-30</t>
        </is>
      </c>
      <c r="C207" t="inlineStr">
        <is>
          <t>Луцький національний технічний університет</t>
        </is>
      </c>
      <c r="D207" t="inlineStr">
        <is>
          <t>Волинська область</t>
        </is>
      </c>
      <c r="E207" s="13" t="n">
        <v>17332.8</v>
      </c>
      <c r="F207" s="13" t="n">
        <v>19729.67</v>
      </c>
      <c r="G207" t="inlineStr">
        <is>
          <t>Запит пропозицій</t>
        </is>
      </c>
      <c r="H207" t="inlineStr">
        <is>
          <t>Комп’ютерне обладнання</t>
        </is>
      </c>
      <c r="I207" t="inlineStr">
        <is>
          <t>договір</t>
        </is>
      </c>
    </row>
    <row r="208">
      <c r="A208" s="4" t="inlineStr">
        <is>
          <t>UA-2026-03-02-012836-a</t>
        </is>
      </c>
      <c r="B208" t="inlineStr">
        <is>
          <t>2026-03-09</t>
        </is>
      </c>
      <c r="C208" t="inlineStr">
        <is>
          <t>Управління поліції охорони у Волинській області</t>
        </is>
      </c>
      <c r="D208" t="inlineStr">
        <is>
          <t>Волинська область</t>
        </is>
      </c>
      <c r="E208" s="13" t="n">
        <v>16320</v>
      </c>
      <c r="F208" s="13" t="n">
        <v>17650</v>
      </c>
      <c r="G208" t="inlineStr">
        <is>
          <t>Запит пропозицій</t>
        </is>
      </c>
      <c r="H208" t="inlineStr">
        <is>
          <t>Комп’ютерне обладнання</t>
        </is>
      </c>
      <c r="I208" t="inlineStr">
        <is>
          <t>договір</t>
        </is>
      </c>
    </row>
    <row r="209">
      <c r="A209" s="4" t="inlineStr">
        <is>
          <t>UA-2025-09-18-012450-a</t>
        </is>
      </c>
      <c r="B209" t="inlineStr">
        <is>
          <t>2025-09-25</t>
        </is>
      </c>
      <c r="C209" t="inlineStr">
        <is>
          <t>УПРАВЛІННЯ ОСВІТИ ВИКОНАВЧОГО КОМІТЕТУ НОВОВОЛИНСЬКОЇ МІСЬКОЇ РАДИ ВОЛИНСЬКОЇ ОБЛАСТІ</t>
        </is>
      </c>
      <c r="D209" t="inlineStr">
        <is>
          <t>Волинська область</t>
        </is>
      </c>
      <c r="E209" s="13" t="n">
        <v>15912</v>
      </c>
      <c r="F209" s="13" t="n">
        <v>17000</v>
      </c>
      <c r="G209" t="inlineStr">
        <is>
          <t>Запит пропозицій</t>
        </is>
      </c>
      <c r="H209" t="inlineStr">
        <is>
          <t>Комп’ютерне обладнання</t>
        </is>
      </c>
      <c r="I209" t="inlineStr">
        <is>
          <t>договір</t>
        </is>
      </c>
    </row>
    <row r="210">
      <c r="A210" s="4" t="inlineStr">
        <is>
          <t>UA-2025-10-16-012983-a</t>
        </is>
      </c>
      <c r="B210" t="inlineStr">
        <is>
          <t>2025-10-23</t>
        </is>
      </c>
      <c r="C210" t="inlineStr">
        <is>
          <t>Управління освіти виконавчого комітету Ковельської міської ради</t>
        </is>
      </c>
      <c r="D210" t="inlineStr">
        <is>
          <t>Волинська область</t>
        </is>
      </c>
      <c r="E210" s="13" t="n">
        <v>15480</v>
      </c>
      <c r="F210" s="13" t="n">
        <v>15500</v>
      </c>
      <c r="G210" t="inlineStr">
        <is>
          <t>Запит пропозицій</t>
        </is>
      </c>
      <c r="H210" t="inlineStr">
        <is>
          <t>Комп’ютерне обладнання</t>
        </is>
      </c>
      <c r="I210" t="inlineStr">
        <is>
          <t>договір</t>
        </is>
      </c>
    </row>
    <row r="211">
      <c r="A211" s="4" t="inlineStr">
        <is>
          <t>UA-2025-10-28-010333-a</t>
        </is>
      </c>
      <c r="B211" t="inlineStr">
        <is>
          <t>2025-11-10</t>
        </is>
      </c>
      <c r="C211" t="inlineStr">
        <is>
          <t>ВИКОНАВЧИЙ КОМІТЕТ НОВОВОЛИНСЬКОЇ МІСЬКОЇ РАДИ</t>
        </is>
      </c>
      <c r="D211" t="inlineStr">
        <is>
          <t>Волинська область</t>
        </is>
      </c>
      <c r="E211" s="13" t="n">
        <v>14808</v>
      </c>
      <c r="F211" s="13" t="n">
        <v>18000</v>
      </c>
      <c r="G211" t="inlineStr">
        <is>
          <t>Запит пропозицій</t>
        </is>
      </c>
      <c r="H211" t="inlineStr">
        <is>
          <t>Комп’ютерне обладнання</t>
        </is>
      </c>
      <c r="I211" t="inlineStr">
        <is>
          <t>договір</t>
        </is>
      </c>
    </row>
    <row r="212">
      <c r="A212" s="4" t="inlineStr">
        <is>
          <t>UA-2026-07-06-008716-a</t>
        </is>
      </c>
      <c r="B212" t="inlineStr">
        <is>
          <t>2026-07-16</t>
        </is>
      </c>
      <c r="C212" t="inlineStr">
        <is>
          <t>Військова частина Т0430</t>
        </is>
      </c>
      <c r="D212" t="inlineStr">
        <is>
          <t>Волинська область</t>
        </is>
      </c>
      <c r="E212" s="13" t="n">
        <v>14310</v>
      </c>
      <c r="F212" s="13" t="n">
        <v>15532.5</v>
      </c>
      <c r="G212" t="inlineStr">
        <is>
          <t>Запит пропозицій</t>
        </is>
      </c>
      <c r="H212" t="inlineStr">
        <is>
          <t>Комп’ютерне обладнання</t>
        </is>
      </c>
      <c r="I212" t="inlineStr">
        <is>
          <t>договір</t>
        </is>
      </c>
    </row>
    <row r="213">
      <c r="A213" s="4" t="inlineStr">
        <is>
          <t>UA-2025-09-16-000938-a</t>
        </is>
      </c>
      <c r="B213" t="inlineStr">
        <is>
          <t>2025-09-29</t>
        </is>
      </c>
      <c r="C213" t="inlineStr">
        <is>
          <t>ВИКОНАВЧИЙ КОМІТЕТ НОВОВОЛИНСЬКОЇ МІСЬКОЇ РАДИ</t>
        </is>
      </c>
      <c r="D213" t="inlineStr">
        <is>
          <t>Волинська область</t>
        </is>
      </c>
      <c r="E213" s="13" t="n">
        <v>12036</v>
      </c>
      <c r="F213" s="13" t="n">
        <v>16000</v>
      </c>
      <c r="G213" t="inlineStr">
        <is>
          <t>Запит пропозицій</t>
        </is>
      </c>
      <c r="H213" t="inlineStr">
        <is>
          <t>Комп’ютерне обладнання</t>
        </is>
      </c>
      <c r="I213" t="inlineStr">
        <is>
          <t>договір</t>
        </is>
      </c>
    </row>
    <row r="214">
      <c r="A214" s="4" t="inlineStr">
        <is>
          <t>UA-2026-06-10-005645-a</t>
        </is>
      </c>
      <c r="B214" t="inlineStr">
        <is>
          <t>2026-06-16</t>
        </is>
      </c>
      <c r="C214" t="inlineStr">
        <is>
          <t>Любомльська міська рада</t>
        </is>
      </c>
      <c r="D214" t="inlineStr">
        <is>
          <t>Волинська область</t>
        </is>
      </c>
      <c r="E214" s="13" t="n">
        <v>11126.4</v>
      </c>
      <c r="F214" s="13" t="n">
        <v>13000</v>
      </c>
      <c r="G214" t="inlineStr">
        <is>
          <t>Запит пропозицій</t>
        </is>
      </c>
      <c r="H214" t="inlineStr">
        <is>
          <t>Комп’ютерне обладнання</t>
        </is>
      </c>
      <c r="I214" t="inlineStr">
        <is>
          <t>договір</t>
        </is>
      </c>
    </row>
    <row r="215">
      <c r="A215" s="4" t="inlineStr">
        <is>
          <t>UA-2025-11-28-003445-a</t>
        </is>
      </c>
      <c r="B215" t="inlineStr">
        <is>
          <t>2025-12-09</t>
        </is>
      </c>
      <c r="C215" t="inlineStr">
        <is>
          <t>КП "Волинська обласна клінічна лікарня" Волинської обласної ради</t>
        </is>
      </c>
      <c r="D215" t="inlineStr">
        <is>
          <t>Волинська область</t>
        </is>
      </c>
      <c r="E215" s="13" t="n">
        <v>11028</v>
      </c>
      <c r="F215" s="13" t="n">
        <v>16000</v>
      </c>
      <c r="G215" t="inlineStr">
        <is>
          <t>Запит пропозицій</t>
        </is>
      </c>
      <c r="H215" t="inlineStr">
        <is>
          <t>Машини для обробки даних (апаратна частина)</t>
        </is>
      </c>
      <c r="I215" t="inlineStr">
        <is>
          <t>договір</t>
        </is>
      </c>
    </row>
    <row r="216">
      <c r="A216" s="4" t="inlineStr">
        <is>
          <t>UA-2025-11-24-004540-a</t>
        </is>
      </c>
      <c r="B216" t="inlineStr">
        <is>
          <t>2025-11-24</t>
        </is>
      </c>
      <c r="C216" t="inlineStr">
        <is>
          <t>Управління освіти виконавчого комітету Ковельської міської ради</t>
        </is>
      </c>
      <c r="D216" t="inlineStr">
        <is>
          <t>Волинська область</t>
        </is>
      </c>
      <c r="E216" s="13" t="n">
        <v>10500.12</v>
      </c>
      <c r="F216" s="13" t="n">
        <v>10500.12</v>
      </c>
      <c r="G216" t="inlineStr">
        <is>
          <t>Звіт про договір</t>
        </is>
      </c>
      <c r="H216" t="inlineStr">
        <is>
          <t>Машини для обробки даних (апаратна частина)</t>
        </is>
      </c>
      <c r="I216" t="inlineStr">
        <is>
          <t>договір</t>
        </is>
      </c>
    </row>
    <row r="217">
      <c r="A217" s="4" t="inlineStr">
        <is>
          <t>UA-2026-08-14-011679-a</t>
        </is>
      </c>
      <c r="B217" t="inlineStr">
        <is>
          <t>2026-08-25</t>
        </is>
      </c>
      <c r="C217" t="inlineStr">
        <is>
          <t>ВІЙСЬКОВА ЧАСТИНА 1141 НАЦІОНАЛЬНОЇ ГВАРДІЇ УКРАЇНИ</t>
        </is>
      </c>
      <c r="D217" t="inlineStr">
        <is>
          <t>Волинська область</t>
        </is>
      </c>
      <c r="E217" s="13" t="n">
        <v>9960</v>
      </c>
      <c r="F217" s="13" t="n">
        <v>8749.17</v>
      </c>
      <c r="G217" t="inlineStr">
        <is>
          <t>Запит пропозицій</t>
        </is>
      </c>
      <c r="H217" t="inlineStr">
        <is>
          <t>Комп’ютерне обладнання</t>
        </is>
      </c>
      <c r="I217" t="inlineStr">
        <is>
          <t>договір</t>
        </is>
      </c>
    </row>
    <row r="218">
      <c r="A218" s="4" t="inlineStr">
        <is>
          <t>UA-2025-10-22-010976-a</t>
        </is>
      </c>
      <c r="B218" t="inlineStr">
        <is>
          <t>2025-10-31</t>
        </is>
      </c>
      <c r="C218" t="inlineStr">
        <is>
          <t>Виконавчий комітет Луцької міської ради</t>
        </is>
      </c>
      <c r="D218" t="inlineStr">
        <is>
          <t>Волинська область</t>
        </is>
      </c>
      <c r="E218" s="13" t="n">
        <v>9864</v>
      </c>
      <c r="F218" s="13" t="n">
        <v>10000</v>
      </c>
      <c r="G218" t="inlineStr">
        <is>
          <t>Запит пропозицій</t>
        </is>
      </c>
      <c r="H218" t="inlineStr">
        <is>
          <t>Комп’ютерне обладнання</t>
        </is>
      </c>
      <c r="I218" t="inlineStr">
        <is>
          <t>договір</t>
        </is>
      </c>
    </row>
    <row r="219">
      <c r="A219" s="4" t="inlineStr">
        <is>
          <t>UA-2025-11-21-010548-a</t>
        </is>
      </c>
      <c r="B219" t="inlineStr">
        <is>
          <t>2025-12-04</t>
        </is>
      </c>
      <c r="C219" t="inlineStr">
        <is>
          <t>Виконавчий комітет Луцької міської ради</t>
        </is>
      </c>
      <c r="D219" t="inlineStr">
        <is>
          <t>Волинська область</t>
        </is>
      </c>
      <c r="E219" s="13" t="n">
        <v>9840</v>
      </c>
      <c r="F219" s="13" t="n">
        <v>10000</v>
      </c>
      <c r="G219" t="inlineStr">
        <is>
          <t>Запит пропозицій</t>
        </is>
      </c>
      <c r="H219" t="inlineStr">
        <is>
          <t>Комп’ютерне обладнання</t>
        </is>
      </c>
      <c r="I219" t="inlineStr">
        <is>
          <t>договір</t>
        </is>
      </c>
    </row>
    <row r="220">
      <c r="A220" s="4" t="inlineStr">
        <is>
          <t>UA-2026-08-06-004562-a</t>
        </is>
      </c>
      <c r="B220" t="inlineStr">
        <is>
          <t>2026-08-17</t>
        </is>
      </c>
      <c r="C220" t="inlineStr">
        <is>
          <t>Виконавчий комітет Луцької міської ради</t>
        </is>
      </c>
      <c r="D220" t="inlineStr">
        <is>
          <t>Волинська область</t>
        </is>
      </c>
      <c r="E220" s="13" t="n">
        <v>9816</v>
      </c>
      <c r="F220" s="13" t="n">
        <v>8245.83</v>
      </c>
      <c r="G220" t="inlineStr">
        <is>
          <t>Запит пропозицій</t>
        </is>
      </c>
      <c r="H220" t="inlineStr">
        <is>
          <t>Комп’ютерне обладнання</t>
        </is>
      </c>
      <c r="I220" t="inlineStr">
        <is>
          <t>договір</t>
        </is>
      </c>
    </row>
    <row r="221">
      <c r="A221" s="4" t="inlineStr">
        <is>
          <t>UA-2025-12-05-006953-a</t>
        </is>
      </c>
      <c r="B221" t="inlineStr">
        <is>
          <t>2025-12-15</t>
        </is>
      </c>
      <c r="C221" t="inlineStr">
        <is>
          <t>Гуманітарний відділ Литовезької сільської ради</t>
        </is>
      </c>
      <c r="D221" t="inlineStr">
        <is>
          <t>Волинська область</t>
        </is>
      </c>
      <c r="E221" s="13" t="n">
        <v>9618</v>
      </c>
      <c r="F221" s="13" t="n">
        <v>12500</v>
      </c>
      <c r="G221" t="inlineStr">
        <is>
          <t>Запит пропозицій</t>
        </is>
      </c>
      <c r="H221" t="inlineStr">
        <is>
          <t>Комп’ютерне обладнання</t>
        </is>
      </c>
      <c r="I221" t="inlineStr">
        <is>
          <t>договір</t>
        </is>
      </c>
    </row>
    <row r="222">
      <c r="A222" s="4" t="inlineStr">
        <is>
          <t>UA-2026-03-17-015724-a</t>
        </is>
      </c>
      <c r="B222" t="inlineStr">
        <is>
          <t>2026-03-31</t>
        </is>
      </c>
      <c r="C222" t="inlineStr">
        <is>
          <t>ВІЙСЬКОВА ЧАСТИНА 1141 НАЦІОНАЛЬНОЇ ГВАРДІЇ УКРАЇНИ</t>
        </is>
      </c>
      <c r="D222" t="inlineStr">
        <is>
          <t>Волинська область</t>
        </is>
      </c>
      <c r="E222" s="13" t="n">
        <v>9569.700000000001</v>
      </c>
      <c r="F222" s="13" t="n">
        <v>9599</v>
      </c>
      <c r="G222" t="inlineStr">
        <is>
          <t>Запит пропозицій</t>
        </is>
      </c>
      <c r="H222" t="inlineStr">
        <is>
          <t>Комп’ютерне обладнання</t>
        </is>
      </c>
      <c r="I222" t="inlineStr">
        <is>
          <t>договір</t>
        </is>
      </c>
    </row>
    <row r="223">
      <c r="A223" s="4" t="inlineStr">
        <is>
          <t>UA-2025-10-17-007625-a</t>
        </is>
      </c>
      <c r="B223" t="inlineStr">
        <is>
          <t>2025-10-29</t>
        </is>
      </c>
      <c r="C223" t="inlineStr">
        <is>
          <t>Департамент "Центр надання адміністративних послуг у місті Луцьку" Луцької міської ради</t>
        </is>
      </c>
      <c r="D223" t="inlineStr">
        <is>
          <t>Волинська область</t>
        </is>
      </c>
      <c r="E223" s="13" t="n">
        <v>9208.799999999999</v>
      </c>
      <c r="F223" s="13" t="n">
        <v>13200</v>
      </c>
      <c r="G223" t="inlineStr">
        <is>
          <t>Запит пропозицій</t>
        </is>
      </c>
      <c r="H223" t="inlineStr">
        <is>
          <t>Комп’ютерне обладнання</t>
        </is>
      </c>
      <c r="I223" t="inlineStr">
        <is>
          <t>договір</t>
        </is>
      </c>
    </row>
    <row r="224">
      <c r="A224" s="4" t="inlineStr">
        <is>
          <t>UA-2025-12-15-023173-a</t>
        </is>
      </c>
      <c r="B224" t="inlineStr">
        <is>
          <t>2025-12-26</t>
        </is>
      </c>
      <c r="C224" t="inlineStr">
        <is>
          <t>Департамент житлово-комунального господарства Луцької міської ради</t>
        </is>
      </c>
      <c r="D224" t="inlineStr">
        <is>
          <t>Волинська область</t>
        </is>
      </c>
      <c r="E224" s="13" t="n">
        <v>8532</v>
      </c>
      <c r="F224" s="13" t="n">
        <v>8900</v>
      </c>
      <c r="G224" t="inlineStr">
        <is>
          <t>Запит пропозицій</t>
        </is>
      </c>
      <c r="H224" t="inlineStr">
        <is>
          <t>Комп’ютерне обладнання</t>
        </is>
      </c>
      <c r="I224" t="inlineStr">
        <is>
          <t>договір</t>
        </is>
      </c>
    </row>
    <row r="225">
      <c r="A225" s="4" t="inlineStr">
        <is>
          <t>UA-2026-06-04-013042-a</t>
        </is>
      </c>
      <c r="B225" t="inlineStr">
        <is>
          <t>2026-06-17</t>
        </is>
      </c>
      <c r="C225" t="inlineStr">
        <is>
          <t>Виконавчий комітет Ковельської міської ради</t>
        </is>
      </c>
      <c r="D225" t="inlineStr">
        <is>
          <t>Волинська область</t>
        </is>
      </c>
      <c r="E225" s="13" t="n">
        <v>8070</v>
      </c>
      <c r="F225" s="13" t="n">
        <v>15250</v>
      </c>
      <c r="G225" t="inlineStr">
        <is>
          <t>Запит пропозицій</t>
        </is>
      </c>
      <c r="H225" t="inlineStr">
        <is>
          <t>Комп’ютерне обладнання</t>
        </is>
      </c>
      <c r="I225" t="inlineStr">
        <is>
          <t>договір</t>
        </is>
      </c>
    </row>
    <row r="226">
      <c r="A226" s="4" t="inlineStr">
        <is>
          <t>UA-2025-09-23-009836-a</t>
        </is>
      </c>
      <c r="B226" t="inlineStr">
        <is>
          <t>2025-10-01</t>
        </is>
      </c>
      <c r="C226" t="inlineStr">
        <is>
          <t>Виконавчий комітет Луцької міської ради</t>
        </is>
      </c>
      <c r="D226" t="inlineStr">
        <is>
          <t>Волинська область</t>
        </is>
      </c>
      <c r="E226" s="13" t="n">
        <v>7852.8</v>
      </c>
      <c r="F226" s="13" t="n">
        <v>8500</v>
      </c>
      <c r="G226" t="inlineStr">
        <is>
          <t>Запит пропозицій</t>
        </is>
      </c>
      <c r="H226" t="inlineStr">
        <is>
          <t>Машини для обробки даних (апаратна частина)</t>
        </is>
      </c>
      <c r="I226" t="inlineStr">
        <is>
          <t>договір</t>
        </is>
      </c>
    </row>
    <row r="227">
      <c r="A227" s="4" t="inlineStr">
        <is>
          <t>UA-2026-06-19-009380-a</t>
        </is>
      </c>
      <c r="B227" t="inlineStr">
        <is>
          <t>2026-06-24</t>
        </is>
      </c>
      <c r="C227" t="inlineStr">
        <is>
          <t>КП "ЛЮБЕШІВСЬКА БАГАТОПРОФІЛЬНА ЛІКАРНЯ" ЛЮБЕШІВСЬКОЇ СЕЛИЩНОЇ РАДИ</t>
        </is>
      </c>
      <c r="D227" t="inlineStr">
        <is>
          <t>Волинська область</t>
        </is>
      </c>
      <c r="E227" s="13" t="n">
        <v>6798</v>
      </c>
      <c r="F227" s="13" t="n">
        <v>6816</v>
      </c>
      <c r="G227" t="inlineStr">
        <is>
          <t>Запит пропозицій</t>
        </is>
      </c>
      <c r="H227" t="inlineStr">
        <is>
          <t>Комп’ютерне обладнання</t>
        </is>
      </c>
      <c r="I227" t="inlineStr">
        <is>
          <t>рішення про переможця</t>
        </is>
      </c>
    </row>
    <row r="228">
      <c r="A228" s="4" t="inlineStr">
        <is>
          <t>UA-2025-12-10-011297-a</t>
        </is>
      </c>
      <c r="B228" t="inlineStr">
        <is>
          <t>2025-12-19</t>
        </is>
      </c>
      <c r="C228" t="inlineStr">
        <is>
          <t>Управління освіти виконавчого комітету Ковельської міської ради</t>
        </is>
      </c>
      <c r="D228" t="inlineStr">
        <is>
          <t>Волинська область</t>
        </is>
      </c>
      <c r="E228" s="13" t="n">
        <v>6715.1</v>
      </c>
      <c r="F228" s="13" t="n">
        <v>6900</v>
      </c>
      <c r="G228" t="inlineStr">
        <is>
          <t>Запит пропозицій</t>
        </is>
      </c>
      <c r="H228" t="inlineStr">
        <is>
          <t>Комп’ютерне обладнання</t>
        </is>
      </c>
      <c r="I228" t="inlineStr">
        <is>
          <t>договір</t>
        </is>
      </c>
    </row>
    <row r="229">
      <c r="A229" s="4" t="inlineStr">
        <is>
          <t>UA-2025-12-11-018667-a</t>
        </is>
      </c>
      <c r="B229" t="inlineStr">
        <is>
          <t>2025-12-17</t>
        </is>
      </c>
      <c r="C229" t="inlineStr">
        <is>
          <t>Управління освіти виконавчого комітету Ковельської міської ради</t>
        </is>
      </c>
      <c r="D229" t="inlineStr">
        <is>
          <t>Волинська область</t>
        </is>
      </c>
      <c r="E229" s="13" t="n">
        <v>6714</v>
      </c>
      <c r="F229" s="13" t="n">
        <v>6900</v>
      </c>
      <c r="G229" t="inlineStr">
        <is>
          <t>Запит пропозицій</t>
        </is>
      </c>
      <c r="H229" t="inlineStr">
        <is>
          <t>Комп’ютерне обладнання</t>
        </is>
      </c>
      <c r="I229" t="inlineStr">
        <is>
          <t>договір</t>
        </is>
      </c>
    </row>
    <row r="230">
      <c r="A230" s="4" t="inlineStr">
        <is>
          <t>UA-2025-11-13-004827-a</t>
        </is>
      </c>
      <c r="B230" t="inlineStr">
        <is>
          <t>2025-11-24</t>
        </is>
      </c>
      <c r="C230" t="inlineStr">
        <is>
          <t>Гуманітарний відділ Литовезької сільської ради</t>
        </is>
      </c>
      <c r="D230" t="inlineStr">
        <is>
          <t>Волинська область</t>
        </is>
      </c>
      <c r="E230" s="13" t="n">
        <v>6624</v>
      </c>
      <c r="F230" s="13" t="n">
        <v>12000</v>
      </c>
      <c r="G230" t="inlineStr">
        <is>
          <t>Запит пропозицій</t>
        </is>
      </c>
      <c r="H230" t="inlineStr">
        <is>
          <t>Комп’ютерне обладнання</t>
        </is>
      </c>
      <c r="I230" t="inlineStr">
        <is>
          <t>договір</t>
        </is>
      </c>
    </row>
    <row r="231">
      <c r="A231" s="4" t="inlineStr">
        <is>
          <t>UA-2026-06-22-008493-a</t>
        </is>
      </c>
      <c r="B231" t="inlineStr">
        <is>
          <t>2026-06-30</t>
        </is>
      </c>
      <c r="C231" t="inlineStr">
        <is>
          <t>Виконавчий комітет Луцької міської ради</t>
        </is>
      </c>
      <c r="D231" t="inlineStr">
        <is>
          <t>Волинська область</t>
        </is>
      </c>
      <c r="E231" s="13" t="n">
        <v>4194</v>
      </c>
      <c r="F231" s="13" t="n">
        <v>4500</v>
      </c>
      <c r="G231" t="inlineStr">
        <is>
          <t>Запит пропозицій</t>
        </is>
      </c>
      <c r="H231" t="inlineStr">
        <is>
          <t>Комп’ютерне обладнання</t>
        </is>
      </c>
      <c r="I231" t="inlineStr">
        <is>
          <t>договір</t>
        </is>
      </c>
    </row>
    <row r="232">
      <c r="A232" s="4" t="inlineStr">
        <is>
          <t>UA-2026-04-17-009755-a</t>
        </is>
      </c>
      <c r="B232" t="inlineStr">
        <is>
          <t>2026-04-28</t>
        </is>
      </c>
      <c r="C232" t="inlineStr">
        <is>
          <t>КНП Ковельське міськрайонне територіальне медичне об'єднання Ковельської міської ради Волинської області</t>
        </is>
      </c>
      <c r="D232" t="inlineStr">
        <is>
          <t>Волинська область</t>
        </is>
      </c>
      <c r="E232" s="13" t="n">
        <v>2688</v>
      </c>
      <c r="F232" s="13" t="n">
        <v>2777</v>
      </c>
      <c r="G232" t="inlineStr">
        <is>
          <t>Запит пропозицій</t>
        </is>
      </c>
      <c r="H232" t="inlineStr">
        <is>
          <t>Комп’ютерне обладнання</t>
        </is>
      </c>
      <c r="I232" t="inlineStr">
        <is>
          <t>договір</t>
        </is>
      </c>
    </row>
    <row r="233">
      <c r="A233" s="4" t="inlineStr">
        <is>
          <t>UA-2026-05-18-008602-a</t>
        </is>
      </c>
      <c r="B233" t="inlineStr">
        <is>
          <t>2026-05-25</t>
        </is>
      </c>
      <c r="C233" t="inlineStr">
        <is>
          <t>Виконавчий комітет Луцької міської ради</t>
        </is>
      </c>
      <c r="D233" t="inlineStr">
        <is>
          <t>Волинська область</t>
        </is>
      </c>
      <c r="E233" s="13" t="n">
        <v>2100</v>
      </c>
      <c r="F233" s="13" t="n">
        <v>2600</v>
      </c>
      <c r="G233" t="inlineStr">
        <is>
          <t>Запит пропозицій</t>
        </is>
      </c>
      <c r="H233" t="inlineStr">
        <is>
          <t>Комп’ютерне обладнання</t>
        </is>
      </c>
      <c r="I233" t="inlineStr">
        <is>
          <t>договір</t>
        </is>
      </c>
    </row>
    <row r="234">
      <c r="A234" s="4" t="inlineStr">
        <is>
          <t>UA-2026-04-02-012974-a</t>
        </is>
      </c>
      <c r="B234" t="inlineStr">
        <is>
          <t>2026-04-14</t>
        </is>
      </c>
      <c r="C234" t="inlineStr">
        <is>
          <t>Луцький національний технічний університет</t>
        </is>
      </c>
      <c r="D234" t="inlineStr">
        <is>
          <t>Волинська область</t>
        </is>
      </c>
      <c r="E234" s="13" t="n">
        <v>1638</v>
      </c>
      <c r="F234" s="13" t="n">
        <v>1849.2</v>
      </c>
      <c r="G234" t="inlineStr">
        <is>
          <t>Запит пропозицій</t>
        </is>
      </c>
      <c r="H234" t="inlineStr">
        <is>
          <t>Комп’ютерне обладнання</t>
        </is>
      </c>
      <c r="I234" t="inlineStr">
        <is>
          <t>договір</t>
        </is>
      </c>
    </row>
    <row r="235">
      <c r="A235" s="4" t="inlineStr">
        <is>
          <t>UA-2026-04-24-006694-a</t>
        </is>
      </c>
      <c r="B235" t="inlineStr">
        <is>
          <t>2026-05-07</t>
        </is>
      </c>
      <c r="C235" t="inlineStr">
        <is>
          <t>ВІЙСЬКОВА ЧАСТИНА 1141 НАЦІОНАЛЬНОЇ ГВАРДІЇ УКРАЇНИ</t>
        </is>
      </c>
      <c r="D235" t="inlineStr">
        <is>
          <t>Волинська область</t>
        </is>
      </c>
      <c r="E235" s="13" t="n">
        <v>1053.6</v>
      </c>
      <c r="F235" s="13" t="n">
        <v>1360</v>
      </c>
      <c r="G235" t="inlineStr">
        <is>
          <t>Запит пропозицій</t>
        </is>
      </c>
      <c r="H235" t="inlineStr">
        <is>
          <t>Комп’ютерне обладнання</t>
        </is>
      </c>
      <c r="I235" t="inlineStr">
        <is>
          <t>договір</t>
        </is>
      </c>
    </row>
    <row r="237">
      <c r="A237" s="2" t="inlineStr">
        <is>
          <t>Наші зустрічі</t>
        </is>
      </c>
    </row>
    <row r="238">
      <c r="A238" s="11" t="inlineStr">
        <is>
          <t>Закупівля</t>
        </is>
      </c>
      <c r="B238" s="11" t="inlineStr">
        <is>
          <t>Дата</t>
        </is>
      </c>
      <c r="C238" s="11" t="inlineStr">
        <is>
          <t>Замовник</t>
        </is>
      </c>
      <c r="D238" s="11" t="inlineStr">
        <is>
          <t>Предмет</t>
        </is>
      </c>
      <c r="E238" s="11" t="inlineStr">
        <is>
          <t>Сума переможця, грн</t>
        </is>
      </c>
      <c r="F238" s="11" t="inlineStr">
        <is>
          <t>Наша пропозиція, грн</t>
        </is>
      </c>
      <c r="G238" s="11" t="inlineStr">
        <is>
          <t>Розрив</t>
        </is>
      </c>
      <c r="H238" s="11" t="inlineStr">
        <is>
          <t>Що сталося</t>
        </is>
      </c>
    </row>
    <row r="239">
      <c r="A239" s="4" t="inlineStr">
        <is>
          <t>UA-2026-03-24-012123-a</t>
        </is>
      </c>
      <c r="B239" t="inlineStr">
        <is>
          <t>2026-03-24</t>
        </is>
      </c>
      <c r="C239" t="inlineStr">
        <is>
          <t>КП «ВОЛИНСЬКЕ ОБЛАСНЕ ТЕРИТОРІАЛЬНЕ МЕДИЧНЕ ОБ’ЄДНАНННЯ ЗАХИСТУ МАТЕРИНСТВА І ДИТИНСТВА» ВОЛИНСЬКОЇ ОБЛАСНОЇ РАДИ</t>
        </is>
      </c>
      <c r="D239" t="inlineStr">
        <is>
          <t>БФП Canon i-SENSYS MF461dw з Wi-Fi (5951C020). Комплект постачання: БФП, стартов</t>
        </is>
      </c>
      <c r="E239" s="13" t="n">
        <v>154800</v>
      </c>
      <c r="H239" t="inlineStr">
        <is>
          <t>ми не подавалися</t>
        </is>
      </c>
    </row>
    <row r="240">
      <c r="A240" s="4" t="inlineStr">
        <is>
          <t>UA-2025-12-08-019876-a</t>
        </is>
      </c>
      <c r="B240" t="inlineStr">
        <is>
          <t>2025-12-08</t>
        </is>
      </c>
      <c r="C240" t="inlineStr">
        <is>
          <t>ВОЛИНСЬКА ОБЛАСНА ПРОКУРАТУРА</t>
        </is>
      </c>
      <c r="D240" t="inlineStr">
        <is>
          <t>Периферійне обладнання (пристрої для друку та сканування) за кодом (ДК 021:2015-</t>
        </is>
      </c>
      <c r="E240" s="13" t="n">
        <v>151008</v>
      </c>
      <c r="H240" t="inlineStr">
        <is>
          <t>ми не подавалися</t>
        </is>
      </c>
    </row>
    <row r="241">
      <c r="A241" s="4" t="inlineStr">
        <is>
          <t>UA-2025-10-21-005630-a</t>
        </is>
      </c>
      <c r="B241" t="inlineStr">
        <is>
          <t>2025-10-21</t>
        </is>
      </c>
      <c r="C241" t="inlineStr">
        <is>
          <t>Департамент "Центр надання адміністративних послуг у місті Луцьку" Луцької міської ради</t>
        </is>
      </c>
      <c r="D241" t="inlineStr">
        <is>
          <t>Багатофункціональні пристрої Canon i-SENSYS MF3010 (5252B004)</t>
        </is>
      </c>
      <c r="E241" s="13" t="n">
        <v>95988</v>
      </c>
      <c r="H241" t="inlineStr">
        <is>
          <t>ми не подавалися</t>
        </is>
      </c>
    </row>
    <row r="242">
      <c r="A242" s="4" t="inlineStr">
        <is>
          <t>UA-2025-09-14-000370-a</t>
        </is>
      </c>
      <c r="B242" t="inlineStr">
        <is>
          <t>2025-09-14</t>
        </is>
      </c>
      <c r="C242" t="inlineStr">
        <is>
          <t>Гуманітарний відділ Городищенської сільської ради</t>
        </is>
      </c>
      <c r="D242" t="inlineStr">
        <is>
          <t>Ноутбуки - ДК 021:2015:30210000-4 Машини для обробки даних (апаратна частина)</t>
        </is>
      </c>
      <c r="E242" s="13" t="n">
        <v>95520</v>
      </c>
      <c r="H242" t="inlineStr">
        <is>
          <t>ми не подавалися</t>
        </is>
      </c>
    </row>
    <row r="243">
      <c r="A243" s="4" t="inlineStr">
        <is>
          <t>UA-2025-10-07-010412-a</t>
        </is>
      </c>
      <c r="B243" t="inlineStr">
        <is>
          <t>2025-10-07</t>
        </is>
      </c>
      <c r="C243" t="inlineStr">
        <is>
          <t>ГОЛОВНЕ УПРАВЛІННЯ ПЕНСІЙНОГО ФОНДУ УКРАЇНИ У ВОЛИНСЬКІЙ ОБЛАСТІ</t>
        </is>
      </c>
      <c r="D243" t="inlineStr">
        <is>
          <t>Машини для обробки даних (апаратна частина) (сканер протяжний)</t>
        </is>
      </c>
      <c r="E243" s="13" t="n">
        <v>95100</v>
      </c>
      <c r="H243" t="inlineStr">
        <is>
          <t>ми не подавалися</t>
        </is>
      </c>
    </row>
    <row r="244">
      <c r="A244" s="4" t="inlineStr">
        <is>
          <t>UA-2026-04-10-003098-a</t>
        </is>
      </c>
      <c r="B244" t="inlineStr">
        <is>
          <t>2026-04-10</t>
        </is>
      </c>
      <c r="C244" t="inlineStr">
        <is>
          <t>КП «ВОЛИНСЬКЕ ОБЛАСНЕ ТЕРИТОРІАЛЬНЕ МЕДИЧНЕ ОБ’ЄДНАНННЯ ЗАХИСТУ МАТЕРИНСТВА І ДИТИНСТВА» ВОЛИНСЬКОЇ ОБЛАСНОЇ РАДИ</t>
        </is>
      </c>
      <c r="D244" t="inlineStr">
        <is>
          <t>Монітор Philips 24E1N1100A/00</t>
        </is>
      </c>
      <c r="E244" s="13" t="n">
        <v>70800</v>
      </c>
      <c r="H244" t="inlineStr">
        <is>
          <t>ми не подавалися</t>
        </is>
      </c>
    </row>
    <row r="245">
      <c r="A245" s="4" t="inlineStr">
        <is>
          <t>UA-2025-10-27-011448-a</t>
        </is>
      </c>
      <c r="B245" t="inlineStr">
        <is>
          <t>2025-10-27</t>
        </is>
      </c>
      <c r="C245" t="inlineStr">
        <is>
          <t>ВИКОНАВЧИЙ КОМІТЕТ НОВОВОЛИНСЬКОЇ МІСЬКОЇ РАДИ</t>
        </is>
      </c>
      <c r="D245" t="inlineStr">
        <is>
          <t>Комп’ютерне обладнання</t>
        </is>
      </c>
      <c r="E245" s="13" t="n">
        <v>65520</v>
      </c>
      <c r="H245" t="inlineStr">
        <is>
          <t>ми не подавалися</t>
        </is>
      </c>
    </row>
    <row r="246">
      <c r="A246" s="4" t="inlineStr">
        <is>
          <t>UA-2026-04-30-007454-a</t>
        </is>
      </c>
      <c r="B246" t="inlineStr">
        <is>
          <t>2026-04-30</t>
        </is>
      </c>
      <c r="C246" t="inlineStr">
        <is>
          <t>Маневицька селищна рада</t>
        </is>
      </c>
      <c r="D246" t="inlineStr">
        <is>
          <t>Багатофункціональні пристрої; Монітори</t>
        </is>
      </c>
      <c r="E246" s="13" t="n">
        <v>55912.8</v>
      </c>
      <c r="H246" t="inlineStr">
        <is>
          <t>ми не подавалися</t>
        </is>
      </c>
    </row>
    <row r="247">
      <c r="A247" s="4" t="inlineStr">
        <is>
          <t>UA-2026-06-24-003158-a</t>
        </is>
      </c>
      <c r="B247" t="inlineStr">
        <is>
          <t>2026-06-24</t>
        </is>
      </c>
      <c r="C247" t="inlineStr">
        <is>
          <t>Виконавчий комітет Ратнівської селищної ради</t>
        </is>
      </c>
      <c r="D247" t="inlineStr">
        <is>
          <t>Ноутбук Acer Extensa 15 EXO15-41-R8P4 (NX.EL5EU.008)</t>
        </is>
      </c>
      <c r="E247" s="13" t="n">
        <v>52488</v>
      </c>
      <c r="H247" t="inlineStr">
        <is>
          <t>ми не подавалися</t>
        </is>
      </c>
    </row>
    <row r="248">
      <c r="A248" s="4" t="inlineStr">
        <is>
          <t>UA-2026-03-25-005724-a</t>
        </is>
      </c>
      <c r="B248" t="inlineStr">
        <is>
          <t>2026-03-25</t>
        </is>
      </c>
      <c r="C248" t="inlineStr">
        <is>
          <t>ВИКОНАВЧИЙ КОМІТЕТ НОВОВОЛИНСЬКОЇ МІСЬКОЇ РАДИ</t>
        </is>
      </c>
      <c r="D248" t="inlineStr">
        <is>
          <t>Монітори</t>
        </is>
      </c>
      <c r="E248" s="13" t="n">
        <v>46752</v>
      </c>
      <c r="H248" t="inlineStr">
        <is>
          <t>ми не подавалися</t>
        </is>
      </c>
    </row>
    <row r="249">
      <c r="A249" s="4" t="inlineStr">
        <is>
          <t>UA-2025-10-15-015561-a</t>
        </is>
      </c>
      <c r="B249" t="inlineStr">
        <is>
          <t>2025-10-15</t>
        </is>
      </c>
      <c r="C249" t="inlineStr">
        <is>
          <t>КП "ЛЮБЕШІВСЬКА БАГАТОПРОФІЛЬНА ЛІКАРНЯ" ЛЮБЕШІВСЬКОЇ СЕЛИЩНОЇ РАДИ</t>
        </is>
      </c>
      <c r="D249" t="inlineStr">
        <is>
          <t>Монітори; Багатофункціональні пристрої; Клавіатури в комплекті з мишею</t>
        </is>
      </c>
      <c r="E249" s="13" t="n">
        <v>43519.2</v>
      </c>
      <c r="H249" t="inlineStr">
        <is>
          <t>ми не подавалися</t>
        </is>
      </c>
    </row>
    <row r="250">
      <c r="A250" s="4" t="inlineStr">
        <is>
          <t>UA-2025-11-11-015966-a</t>
        </is>
      </c>
      <c r="B250" t="inlineStr">
        <is>
          <t>2025-11-11</t>
        </is>
      </c>
      <c r="C250" t="inlineStr">
        <is>
          <t>Територіальне управління Державної судової адміністрації України в Волинській області</t>
        </is>
      </c>
      <c r="D250" t="inlineStr">
        <is>
          <t>код ДК 021:2015 30230000-0 «Комп’ютерне обладнання» БФП Canon i-SENSYS MF453dw з</t>
        </is>
      </c>
      <c r="E250" s="13" t="n">
        <v>36360</v>
      </c>
      <c r="H250" t="inlineStr">
        <is>
          <t>ми не подавалися</t>
        </is>
      </c>
    </row>
    <row r="251">
      <c r="A251" s="4" t="inlineStr">
        <is>
          <t>UA-2025-10-29-012129-a</t>
        </is>
      </c>
      <c r="B251" t="inlineStr">
        <is>
          <t>2025-10-29</t>
        </is>
      </c>
      <c r="C251" t="inlineStr">
        <is>
          <t>Департамент "Центр надання адміністративних послуг у місті Луцьку" Луцької міської ради</t>
        </is>
      </c>
      <c r="D251" t="inlineStr">
        <is>
          <t>Монітори 21.5" Philips 221V8 /00/01</t>
        </is>
      </c>
      <c r="E251" s="13" t="n">
        <v>31800</v>
      </c>
      <c r="H251" t="inlineStr">
        <is>
          <t>ми не подавалися</t>
        </is>
      </c>
    </row>
    <row r="252">
      <c r="A252" s="4" t="inlineStr">
        <is>
          <t>UA-2025-10-23-012189-a</t>
        </is>
      </c>
      <c r="B252" t="inlineStr">
        <is>
          <t>2025-10-23</t>
        </is>
      </c>
      <c r="C252" t="inlineStr">
        <is>
          <t>Виконавчий комітет Ковельської міської ради</t>
        </is>
      </c>
      <c r="D252" t="inlineStr">
        <is>
          <t>Багатофункціональні пристрої Canon i-SENSYS MF3010</t>
        </is>
      </c>
      <c r="E252" s="13" t="n">
        <v>29556</v>
      </c>
      <c r="H252" t="inlineStr">
        <is>
          <t>ми не подавалися</t>
        </is>
      </c>
    </row>
    <row r="253">
      <c r="A253" s="4" t="inlineStr">
        <is>
          <t>UA-2025-12-19-020914-a</t>
        </is>
      </c>
      <c r="B253" t="inlineStr">
        <is>
          <t>2025-12-19</t>
        </is>
      </c>
      <c r="C253" t="inlineStr">
        <is>
          <t>КНП "ЛЮБОМЛЬСЬКЕ ТЕРИТОРІАЛЬНЕ МЕДИЧНЕ ОБ'ЄДНАННЯ" ЛЮБОМЛЬСЬКОЇ МІСЬКОЇ РАДИ</t>
        </is>
      </c>
      <c r="D253" t="inlineStr">
        <is>
          <t>Ноутбуки</t>
        </is>
      </c>
      <c r="E253" s="13" t="n">
        <v>28560</v>
      </c>
      <c r="H253" t="inlineStr">
        <is>
          <t>ми не подавалися</t>
        </is>
      </c>
    </row>
    <row r="254">
      <c r="A254" s="4" t="inlineStr">
        <is>
          <t>UA-2025-09-04-011058-a</t>
        </is>
      </c>
      <c r="B254" t="inlineStr">
        <is>
          <t>2025-09-04</t>
        </is>
      </c>
      <c r="C254" t="inlineStr">
        <is>
          <t>Виконавчий комітет Луцької міської ради</t>
        </is>
      </c>
      <c r="D254" t="inlineStr">
        <is>
          <t>Ноутбук Lenovo V17 G4 IRU Iron Grey (83A2003KRA)</t>
        </is>
      </c>
      <c r="E254" s="13" t="n">
        <v>28140</v>
      </c>
      <c r="H254" t="inlineStr">
        <is>
          <t>ми не подавалися</t>
        </is>
      </c>
    </row>
    <row r="255">
      <c r="A255" s="4" t="inlineStr">
        <is>
          <t>UA-2026-02-10-017035-a</t>
        </is>
      </c>
      <c r="B255" t="inlineStr">
        <is>
          <t>2026-02-10</t>
        </is>
      </c>
      <c r="C255" t="inlineStr">
        <is>
          <t>КП "ЛУЦЬКА ЦЕНТРАЛЬНА РАЙОННА ЛІКАРНЯ" ПІДГАЙЦІВСЬКОЇ СІЛЬСЬКОЇ РАДИ</t>
        </is>
      </c>
      <c r="D255" t="inlineStr">
        <is>
          <t>БФП лазерний, монохромний, А4, 15 000 ст./міс., 20 ст./хв., Ethernet, Wi-Fi, USB</t>
        </is>
      </c>
      <c r="E255" s="13" t="n">
        <v>26964</v>
      </c>
      <c r="H255" t="inlineStr">
        <is>
          <t>ми не подавалися</t>
        </is>
      </c>
    </row>
    <row r="256">
      <c r="A256" s="4" t="inlineStr">
        <is>
          <t>UA-2026-04-27-011811-a</t>
        </is>
      </c>
      <c r="B256" t="inlineStr">
        <is>
          <t>2026-04-27</t>
        </is>
      </c>
      <c r="C256" t="inlineStr">
        <is>
          <t>ВОЛИНСЬКА ОБЛАСНА ПРОКУРАТУРА</t>
        </is>
      </c>
      <c r="D256" t="inlineStr">
        <is>
          <t>Монітори згідно коду ДК 021:2015:30230000-0 - Комп’ютерне обладнання</t>
        </is>
      </c>
      <c r="E256" s="13" t="n">
        <v>26880</v>
      </c>
      <c r="H256" t="inlineStr">
        <is>
          <t>ми не подавалися</t>
        </is>
      </c>
    </row>
    <row r="257">
      <c r="A257" s="4" t="inlineStr">
        <is>
          <t>UA-2026-03-17-004733-a</t>
        </is>
      </c>
      <c r="B257" t="inlineStr">
        <is>
          <t>2026-03-17</t>
        </is>
      </c>
      <c r="C257" t="inlineStr">
        <is>
          <t>ВІЙСЬКОВА ЧАСТИНА 1141 НАЦІОНАЛЬНОЇ ГВАРДІЇ УКРАЇНИ</t>
        </is>
      </c>
      <c r="D257" t="inlineStr">
        <is>
          <t>Багатофункціональні пристрої</t>
        </is>
      </c>
      <c r="E257" s="13" t="n">
        <v>26712</v>
      </c>
      <c r="H257" t="inlineStr">
        <is>
          <t>ми не подавалися</t>
        </is>
      </c>
    </row>
    <row r="258">
      <c r="A258" s="4" t="inlineStr">
        <is>
          <t>UA-2025-10-31-010117-a</t>
        </is>
      </c>
      <c r="B258" t="inlineStr">
        <is>
          <t>2025-10-31</t>
        </is>
      </c>
      <c r="C258" t="inlineStr">
        <is>
          <t>Управління освіти виконавчого комітету Ковельської міської ради</t>
        </is>
      </c>
      <c r="D258" t="inlineStr">
        <is>
          <t>Принтер струменевий, кольоровий, A4, 22 ст./хв., Wi-Fi, USB</t>
        </is>
      </c>
      <c r="E258" s="13" t="n">
        <v>26666.4</v>
      </c>
      <c r="H258" t="inlineStr">
        <is>
          <t>ми не подавалися</t>
        </is>
      </c>
    </row>
    <row r="259">
      <c r="A259" s="4" t="inlineStr">
        <is>
          <t>UA-2026-04-24-007749-a</t>
        </is>
      </c>
      <c r="B259" t="inlineStr">
        <is>
          <t>2026-04-24</t>
        </is>
      </c>
      <c r="C259" t="inlineStr">
        <is>
          <t>ВІЙСЬКОВА ЧАСТИНА 1141 НАЦІОНАЛЬНОЇ ГВАРДІЇ УКРАЇНИ</t>
        </is>
      </c>
      <c r="D259" t="inlineStr">
        <is>
          <t>Багатофункціональні пристрої</t>
        </is>
      </c>
      <c r="E259" s="13" t="n">
        <v>25824</v>
      </c>
      <c r="H259" t="inlineStr">
        <is>
          <t>ми не подавалися</t>
        </is>
      </c>
    </row>
    <row r="260">
      <c r="A260" s="4" t="inlineStr">
        <is>
          <t>UA-2026-06-07-000072-a</t>
        </is>
      </c>
      <c r="B260" t="inlineStr">
        <is>
          <t>2026-06-07</t>
        </is>
      </c>
      <c r="C260" t="inlineStr">
        <is>
          <t>КП "ЛУЦЬКА ЦЕНТРАЛЬНА РАЙОННА ЛІКАРНЯ" ПІДГАЙЦІВСЬКОЇ СІЛЬСЬКОЇ РАДИ</t>
        </is>
      </c>
      <c r="D260" t="inlineStr">
        <is>
          <t>Багатофункціональні пристрої А4, лазерний, монохромний, 20 000 стор/міс, 29 ст./</t>
        </is>
      </c>
      <c r="E260" s="13" t="n">
        <v>25080</v>
      </c>
      <c r="H260" t="inlineStr">
        <is>
          <t>ми не подавалися</t>
        </is>
      </c>
    </row>
    <row r="261">
      <c r="A261" s="4" t="inlineStr">
        <is>
          <t>UA-2026-03-25-003378-a</t>
        </is>
      </c>
      <c r="B261" t="inlineStr">
        <is>
          <t>2026-03-25</t>
        </is>
      </c>
      <c r="C261" t="inlineStr">
        <is>
          <t>Військова частина 9971</t>
        </is>
      </c>
      <c r="D261" t="inlineStr">
        <is>
          <t>Монітори</t>
        </is>
      </c>
      <c r="E261" s="13" t="n">
        <v>23652</v>
      </c>
      <c r="H261" t="inlineStr">
        <is>
          <t>ми не подавалися</t>
        </is>
      </c>
    </row>
    <row r="262">
      <c r="A262" s="4" t="inlineStr">
        <is>
          <t>UA-2025-10-23-014412-a</t>
        </is>
      </c>
      <c r="B262" t="inlineStr">
        <is>
          <t>2025-10-23</t>
        </is>
      </c>
      <c r="C262" t="inlineStr">
        <is>
          <t>Виконавчий комітет Ковельської міської ради</t>
        </is>
      </c>
      <c r="D262" t="inlineStr">
        <is>
          <t>Багатофункціональний пристрій Canon i-SENSYS MF272dw</t>
        </is>
      </c>
      <c r="E262" s="13" t="n">
        <v>23352</v>
      </c>
      <c r="H262" t="inlineStr">
        <is>
          <t>ми не подавалися</t>
        </is>
      </c>
    </row>
    <row r="263">
      <c r="A263" s="4" t="inlineStr">
        <is>
          <t>UA-2025-11-25-016365-a</t>
        </is>
      </c>
      <c r="B263" t="inlineStr">
        <is>
          <t>2025-11-25</t>
        </is>
      </c>
      <c r="C263" t="inlineStr">
        <is>
          <t>Управління з гуманітарних питань Горохівської міської ради</t>
        </is>
      </c>
      <c r="D263" t="inlineStr">
        <is>
          <t>ДК 021:2015: 30230000-0 - Комп’ютерне обладнання (Монітори, Клавіатури в комплек</t>
        </is>
      </c>
      <c r="E263" s="13" t="n">
        <v>23035.2</v>
      </c>
      <c r="H263" t="inlineStr">
        <is>
          <t>ми не подавалися</t>
        </is>
      </c>
    </row>
    <row r="264">
      <c r="A264" s="4" t="inlineStr">
        <is>
          <t>UA-2025-10-31-009540-a</t>
        </is>
      </c>
      <c r="B264" t="inlineStr">
        <is>
          <t>2025-10-31</t>
        </is>
      </c>
      <c r="C264" t="inlineStr">
        <is>
          <t>Департамент "Центр надання адміністративних послуг у місті Луцьку" Луцької міської ради</t>
        </is>
      </c>
      <c r="D264" t="inlineStr">
        <is>
          <t>Навушники з мікрофоном Logitech H151 Stereo Headset (981-000589)</t>
        </is>
      </c>
      <c r="E264" s="13" t="n">
        <v>22308</v>
      </c>
      <c r="H264" t="inlineStr">
        <is>
          <t>ми не подавалися</t>
        </is>
      </c>
    </row>
    <row r="265">
      <c r="A265" s="4" t="inlineStr">
        <is>
          <t>UA-2026-02-26-008276-a</t>
        </is>
      </c>
      <c r="B265" t="inlineStr">
        <is>
          <t>2026-02-26</t>
        </is>
      </c>
      <c r="C265" t="inlineStr">
        <is>
          <t>СТАРОВИЖІВСЬКА СЕЛИЩНА РАДА</t>
        </is>
      </c>
      <c r="D265" t="inlineStr">
        <is>
          <t>Монітори Philips 24E1N1100A/00</t>
        </is>
      </c>
      <c r="E265" s="13" t="n">
        <v>22176</v>
      </c>
      <c r="H265" t="inlineStr">
        <is>
          <t>ми не подавалися</t>
        </is>
      </c>
    </row>
    <row r="266">
      <c r="A266" s="4" t="inlineStr">
        <is>
          <t>UA-2026-01-20-013285-a</t>
        </is>
      </c>
      <c r="B266" t="inlineStr">
        <is>
          <t>2026-01-20</t>
        </is>
      </c>
      <c r="C266" t="inlineStr">
        <is>
          <t>КНП "Іваничівська багатопрофільна лікарня"</t>
        </is>
      </c>
      <c r="D266" t="inlineStr">
        <is>
          <t>ДК 021-2015 (CPV) 30230000-0 Комп’ютерне обладнання (БФП Canon i-SENSYS MF657Cdw</t>
        </is>
      </c>
      <c r="E266" s="13" t="n">
        <v>21288</v>
      </c>
      <c r="H266" t="inlineStr">
        <is>
          <t>ми не подавалися</t>
        </is>
      </c>
    </row>
    <row r="267">
      <c r="A267" s="4" t="inlineStr">
        <is>
          <t>UA-2026-06-17-002653-a</t>
        </is>
      </c>
      <c r="B267" t="inlineStr">
        <is>
          <t>2026-06-17</t>
        </is>
      </c>
      <c r="C267" t="inlineStr">
        <is>
          <t>Військова частина Т0430</t>
        </is>
      </c>
      <c r="D267" t="inlineStr">
        <is>
          <t>Комп’ютерне обладнання</t>
        </is>
      </c>
      <c r="E267" s="13" t="n">
        <v>20570.4</v>
      </c>
      <c r="H267" t="inlineStr">
        <is>
          <t>ми не подавалися</t>
        </is>
      </c>
    </row>
    <row r="268">
      <c r="A268" s="4" t="inlineStr">
        <is>
          <t>UA-2026-04-08-004997-a</t>
        </is>
      </c>
      <c r="B268" t="inlineStr">
        <is>
          <t>2026-04-08</t>
        </is>
      </c>
      <c r="C268" t="inlineStr">
        <is>
          <t>ВІЙСЬКОВА ЧАСТИНА 1141 НАЦІОНАЛЬНОЇ ГВАРДІЇ УКРАЇНИ</t>
        </is>
      </c>
      <c r="D268" t="inlineStr">
        <is>
          <t>Багатофункціональні пристрої Canon G3410</t>
        </is>
      </c>
      <c r="E268" s="13" t="n">
        <v>20034</v>
      </c>
      <c r="H268" t="inlineStr">
        <is>
          <t>ми не подавалися</t>
        </is>
      </c>
    </row>
    <row r="269">
      <c r="A269" s="4" t="inlineStr">
        <is>
          <t>UA-2025-12-05-007794-a</t>
        </is>
      </c>
      <c r="B269" t="inlineStr">
        <is>
          <t>2025-12-05</t>
        </is>
      </c>
      <c r="C269" t="inlineStr">
        <is>
          <t>МАР'ЯНІВСЬКА СЕЛИЩНА РАДА</t>
        </is>
      </c>
      <c r="D269" t="inlineStr">
        <is>
          <t>Багатофункціональний пристрій Epson EcoTank L3260 зWiFi</t>
        </is>
      </c>
      <c r="E269" s="13" t="n">
        <v>18732</v>
      </c>
      <c r="H269" t="inlineStr">
        <is>
          <t>ми не подавалися</t>
        </is>
      </c>
    </row>
    <row r="270">
      <c r="A270" s="4" t="inlineStr">
        <is>
          <t>UA-2026-06-18-005002-a</t>
        </is>
      </c>
      <c r="B270" t="inlineStr">
        <is>
          <t>2026-06-18</t>
        </is>
      </c>
      <c r="C270" t="inlineStr">
        <is>
          <t>Луцький національний технічний університет</t>
        </is>
      </c>
      <c r="D270" t="inlineStr">
        <is>
          <t>Багатофункціональний пристрій</t>
        </is>
      </c>
      <c r="E270" s="13" t="n">
        <v>17332.8</v>
      </c>
      <c r="H270" t="inlineStr">
        <is>
          <t>ми не подавалися</t>
        </is>
      </c>
    </row>
    <row r="271">
      <c r="A271" s="4" t="inlineStr">
        <is>
          <t>UA-2026-03-02-012836-a</t>
        </is>
      </c>
      <c r="B271" t="inlineStr">
        <is>
          <t>2026-03-02</t>
        </is>
      </c>
      <c r="C271" t="inlineStr">
        <is>
          <t>Управління поліції охорони у Волинській області</t>
        </is>
      </c>
      <c r="D271" t="inlineStr">
        <is>
          <t>ДК 021:2015:30230000-0: Комп’ютерне обладнання (багатофункціональний пристрій ла</t>
        </is>
      </c>
      <c r="E271" s="13" t="n">
        <v>16320</v>
      </c>
      <c r="H271" t="inlineStr">
        <is>
          <t>ми не подавалися</t>
        </is>
      </c>
    </row>
    <row r="272">
      <c r="A272" s="4" t="inlineStr">
        <is>
          <t>UA-2025-09-18-012450-a</t>
        </is>
      </c>
      <c r="B272" t="inlineStr">
        <is>
          <t>2025-09-18</t>
        </is>
      </c>
      <c r="C272" t="inlineStr">
        <is>
          <t>УПРАВЛІННЯ ОСВІТИ ВИКОНАВЧОГО КОМІТЕТУ НОВОВОЛИНСЬКОЇ МІСЬКОЇ РАДИ ВОЛИНСЬКОЇ ОБЛАСТІ</t>
        </is>
      </c>
      <c r="D272" t="inlineStr">
        <is>
          <t>Комп’ютерне обладнання</t>
        </is>
      </c>
      <c r="E272" s="13" t="n">
        <v>15912</v>
      </c>
      <c r="H272" t="inlineStr">
        <is>
          <t>ми не подавалися</t>
        </is>
      </c>
    </row>
    <row r="273">
      <c r="A273" s="4" t="inlineStr">
        <is>
          <t>UA-2025-10-16-012983-a</t>
        </is>
      </c>
      <c r="B273" t="inlineStr">
        <is>
          <t>2025-10-16</t>
        </is>
      </c>
      <c r="C273" t="inlineStr">
        <is>
          <t>Управління освіти виконавчого комітету Ковельської міської ради</t>
        </is>
      </c>
      <c r="D273" t="inlineStr">
        <is>
          <t>Принтер струменевий, кольоровий, A4, 22 ст./хв., Wi-Fi, USB</t>
        </is>
      </c>
      <c r="E273" s="13" t="n">
        <v>15480</v>
      </c>
      <c r="H273" t="inlineStr">
        <is>
          <t>ми не подавалися</t>
        </is>
      </c>
    </row>
    <row r="274">
      <c r="A274" s="4" t="inlineStr">
        <is>
          <t>UA-2025-10-28-010333-a</t>
        </is>
      </c>
      <c r="B274" t="inlineStr">
        <is>
          <t>2025-10-28</t>
        </is>
      </c>
      <c r="C274" t="inlineStr">
        <is>
          <t>ВИКОНАВЧИЙ КОМІТЕТ НОВОВОЛИНСЬКОЇ МІСЬКОЇ РАДИ</t>
        </is>
      </c>
      <c r="D274" t="inlineStr">
        <is>
          <t>Пристрій безперебійного живлення</t>
        </is>
      </c>
      <c r="E274" s="13" t="n">
        <v>14808</v>
      </c>
      <c r="H274" t="inlineStr">
        <is>
          <t>ми не подавалися</t>
        </is>
      </c>
    </row>
    <row r="275">
      <c r="A275" s="4" t="inlineStr">
        <is>
          <t>UA-2025-09-16-000938-a</t>
        </is>
      </c>
      <c r="B275" t="inlineStr">
        <is>
          <t>2025-09-16</t>
        </is>
      </c>
      <c r="C275" t="inlineStr">
        <is>
          <t>ВИКОНАВЧИЙ КОМІТЕТ НОВОВОЛИНСЬКОЇ МІСЬКОЇ РАДИ</t>
        </is>
      </c>
      <c r="D275" t="inlineStr">
        <is>
          <t>Накопичувач SSD Portable Samsung 2TB T5 EVO USB 3.2 Gen 1</t>
        </is>
      </c>
      <c r="E275" s="13" t="n">
        <v>12036</v>
      </c>
      <c r="H275" t="inlineStr">
        <is>
          <t>ми не подавалися</t>
        </is>
      </c>
    </row>
    <row r="276">
      <c r="A276" s="4" t="inlineStr">
        <is>
          <t>UA-2026-07-06-008716-a</t>
        </is>
      </c>
      <c r="B276" t="inlineStr">
        <is>
          <t>2026-07-06</t>
        </is>
      </c>
      <c r="C276" t="inlineStr">
        <is>
          <t>Військова частина Т0430</t>
        </is>
      </c>
      <c r="D276" t="inlineStr">
        <is>
          <t>Комп’ютерне обладнання</t>
        </is>
      </c>
      <c r="E276" s="13" t="n">
        <v>11925</v>
      </c>
      <c r="H276" t="inlineStr">
        <is>
          <t>ми не подавалися</t>
        </is>
      </c>
    </row>
    <row r="277">
      <c r="A277" s="4" t="inlineStr">
        <is>
          <t>UA-2026-06-10-005645-a</t>
        </is>
      </c>
      <c r="B277" t="inlineStr">
        <is>
          <t>2026-06-10</t>
        </is>
      </c>
      <c r="C277" t="inlineStr">
        <is>
          <t>Любомльська міська рада</t>
        </is>
      </c>
      <c r="D277" t="inlineStr">
        <is>
          <t>Монітор Samsung 24" S24D400</t>
        </is>
      </c>
      <c r="E277" s="13" t="n">
        <v>11126.4</v>
      </c>
      <c r="H277" t="inlineStr">
        <is>
          <t>ми не подавалися</t>
        </is>
      </c>
    </row>
    <row r="278">
      <c r="A278" s="4" t="inlineStr">
        <is>
          <t>UA-2025-11-28-003445-a</t>
        </is>
      </c>
      <c r="B278" t="inlineStr">
        <is>
          <t>2025-11-28</t>
        </is>
      </c>
      <c r="C278" t="inlineStr">
        <is>
          <t>КП "Волинська обласна клінічна лікарня" Волинської обласної ради</t>
        </is>
      </c>
      <c r="D278" t="inlineStr">
        <is>
          <t>Сканер штрих-кодів ручний, 1D, USB (система зчитування лазерна)</t>
        </is>
      </c>
      <c r="E278" s="13" t="n">
        <v>11028</v>
      </c>
      <c r="H278" t="inlineStr">
        <is>
          <t>ми не подавалися</t>
        </is>
      </c>
    </row>
    <row r="279">
      <c r="A279" s="4" t="inlineStr">
        <is>
          <t>UA-2025-11-24-004540-a</t>
        </is>
      </c>
      <c r="B279" t="inlineStr">
        <is>
          <t>2025-11-24</t>
        </is>
      </c>
      <c r="C279" t="inlineStr">
        <is>
          <t>Управління освіти виконавчого комітету Ковельської міської ради</t>
        </is>
      </c>
      <c r="D279" t="inlineStr">
        <is>
          <t>ДК 021:2015:30210000-4 Машини для обробки даних (апаратна частина). Сканер Canon</t>
        </is>
      </c>
      <c r="E279" s="13" t="n">
        <v>10500.12</v>
      </c>
      <c r="H279" t="inlineStr">
        <is>
          <t>ми не подавалися</t>
        </is>
      </c>
    </row>
    <row r="280">
      <c r="A280" s="4" t="inlineStr">
        <is>
          <t>UA-2025-10-22-010976-a</t>
        </is>
      </c>
      <c r="B280" t="inlineStr">
        <is>
          <t>2025-10-22</t>
        </is>
      </c>
      <c r="C280" t="inlineStr">
        <is>
          <t>Виконавчий комітет Луцької міської ради</t>
        </is>
      </c>
      <c r="D280" t="inlineStr">
        <is>
          <t>Клавіатури в комплекті з мишею</t>
        </is>
      </c>
      <c r="E280" s="13" t="n">
        <v>9864</v>
      </c>
      <c r="H280" t="inlineStr">
        <is>
          <t>ми не подавалися</t>
        </is>
      </c>
    </row>
    <row r="281">
      <c r="A281" s="4" t="inlineStr">
        <is>
          <t>UA-2025-11-21-010548-a</t>
        </is>
      </c>
      <c r="B281" t="inlineStr">
        <is>
          <t>2025-11-21</t>
        </is>
      </c>
      <c r="C281" t="inlineStr">
        <is>
          <t>Виконавчий комітет Луцької міської ради</t>
        </is>
      </c>
      <c r="D281" t="inlineStr">
        <is>
          <t>Клавіатури в комплекті з мишею</t>
        </is>
      </c>
      <c r="E281" s="13" t="n">
        <v>9840</v>
      </c>
      <c r="H281" t="inlineStr">
        <is>
          <t>ми не подавалися</t>
        </is>
      </c>
    </row>
    <row r="282">
      <c r="A282" s="4" t="inlineStr">
        <is>
          <t>UA-2025-12-05-006953-a</t>
        </is>
      </c>
      <c r="B282" t="inlineStr">
        <is>
          <t>2025-12-05</t>
        </is>
      </c>
      <c r="C282" t="inlineStr">
        <is>
          <t>Гуманітарний відділ Литовезької сільської ради</t>
        </is>
      </c>
      <c r="D282" t="inlineStr">
        <is>
          <t>БФП кольорового друку Epson L3260 з Wi-Fi (C11CJ66409)</t>
        </is>
      </c>
      <c r="E282" s="13" t="n">
        <v>9618</v>
      </c>
      <c r="H282" t="inlineStr">
        <is>
          <t>ми не подавалися</t>
        </is>
      </c>
    </row>
    <row r="283">
      <c r="A283" s="4" t="inlineStr">
        <is>
          <t>UA-2026-03-17-015724-a</t>
        </is>
      </c>
      <c r="B283" t="inlineStr">
        <is>
          <t>2026-03-17</t>
        </is>
      </c>
      <c r="C283" t="inlineStr">
        <is>
          <t>ВІЙСЬКОВА ЧАСТИНА 1141 НАЦІОНАЛЬНОЇ ГВАРДІЇ УКРАЇНИ</t>
        </is>
      </c>
      <c r="D283" t="inlineStr">
        <is>
          <t>Монітори Samsubg LS32CG550</t>
        </is>
      </c>
      <c r="E283" s="13" t="n">
        <v>9569.700000000001</v>
      </c>
      <c r="H283" t="inlineStr">
        <is>
          <t>ми не подавалися</t>
        </is>
      </c>
    </row>
    <row r="284">
      <c r="A284" s="4" t="inlineStr">
        <is>
          <t>UA-2025-10-17-007625-a</t>
        </is>
      </c>
      <c r="B284" t="inlineStr">
        <is>
          <t>2025-10-17</t>
        </is>
      </c>
      <c r="C284" t="inlineStr">
        <is>
          <t>Департамент "Центр надання адміністративних послуг у місті Луцьку" Луцької міської ради</t>
        </is>
      </c>
      <c r="D284" t="inlineStr">
        <is>
          <t>Клавіатури в комплекті з мишами Logitech MK270 Wireless Combo (920-004508)</t>
        </is>
      </c>
      <c r="E284" s="13" t="n">
        <v>9208.799999999999</v>
      </c>
      <c r="H284" t="inlineStr">
        <is>
          <t>ми не подавалися</t>
        </is>
      </c>
    </row>
    <row r="285">
      <c r="A285" s="4" t="inlineStr">
        <is>
          <t>UA-2025-12-15-023173-a</t>
        </is>
      </c>
      <c r="B285" t="inlineStr">
        <is>
          <t>2025-12-15</t>
        </is>
      </c>
      <c r="C285" t="inlineStr">
        <is>
          <t>Департамент житлово-комунального господарства Луцької міської ради</t>
        </is>
      </c>
      <c r="D285" t="inlineStr">
        <is>
          <t>Монітори</t>
        </is>
      </c>
      <c r="E285" s="13" t="n">
        <v>8532</v>
      </c>
      <c r="H285" t="inlineStr">
        <is>
          <t>ми не подавалися</t>
        </is>
      </c>
    </row>
    <row r="286">
      <c r="A286" s="4" t="inlineStr">
        <is>
          <t>UA-2026-08-14-011679-a</t>
        </is>
      </c>
      <c r="B286" t="inlineStr">
        <is>
          <t>2026-08-14</t>
        </is>
      </c>
      <c r="C286" t="inlineStr">
        <is>
          <t>ВІЙСЬКОВА ЧАСТИНА 1141 НАЦІОНАЛЬНОЇ ГВАРДІЇ УКРАЇНИ</t>
        </is>
      </c>
      <c r="D286" t="inlineStr">
        <is>
          <t>Монітор 31.5" Samsung Odyssey G5 S32CG550</t>
        </is>
      </c>
      <c r="E286" s="13" t="n">
        <v>8300</v>
      </c>
      <c r="H286" t="inlineStr">
        <is>
          <t>ми не подавалися</t>
        </is>
      </c>
    </row>
    <row r="287">
      <c r="A287" s="4" t="inlineStr">
        <is>
          <t>UA-2026-08-06-004562-a</t>
        </is>
      </c>
      <c r="B287" t="inlineStr">
        <is>
          <t>2026-08-06</t>
        </is>
      </c>
      <c r="C287" t="inlineStr">
        <is>
          <t>Виконавчий комітет Луцької міської ради</t>
        </is>
      </c>
      <c r="D287" t="inlineStr">
        <is>
          <t>БФП Epson EcoTank L3251 (C11CJ67413)</t>
        </is>
      </c>
      <c r="E287" s="13" t="n">
        <v>8180</v>
      </c>
      <c r="H287" t="inlineStr">
        <is>
          <t>ми не подавалися</t>
        </is>
      </c>
    </row>
    <row r="288">
      <c r="A288" s="4" t="inlineStr">
        <is>
          <t>UA-2026-06-04-013042-a</t>
        </is>
      </c>
      <c r="B288" t="inlineStr">
        <is>
          <t>2026-06-04</t>
        </is>
      </c>
      <c r="C288" t="inlineStr">
        <is>
          <t>Виконавчий комітет Ковельської міської ради</t>
        </is>
      </c>
      <c r="D288" t="inlineStr">
        <is>
          <t>Клавіатури в комплекті з мишею, миші оптичні</t>
        </is>
      </c>
      <c r="E288" s="13" t="n">
        <v>8070</v>
      </c>
      <c r="H288" t="inlineStr">
        <is>
          <t>ми не подавалися</t>
        </is>
      </c>
    </row>
    <row r="289">
      <c r="A289" s="4" t="inlineStr">
        <is>
          <t>UA-2025-09-23-009836-a</t>
        </is>
      </c>
      <c r="B289" t="inlineStr">
        <is>
          <t>2025-09-23</t>
        </is>
      </c>
      <c r="C289" t="inlineStr">
        <is>
          <t>Виконавчий комітет Луцької міської ради</t>
        </is>
      </c>
      <c r="D289" t="inlineStr">
        <is>
          <t>Планшет Lenovo Tab 4/128 LTE Luna Grey + Clear Case (ZAEJ0050UA)</t>
        </is>
      </c>
      <c r="E289" s="13" t="n">
        <v>7852.8</v>
      </c>
      <c r="H289" t="inlineStr">
        <is>
          <t>ми не подавалися</t>
        </is>
      </c>
    </row>
    <row r="290">
      <c r="A290" s="4" t="inlineStr">
        <is>
          <t>UA-2026-06-19-009380-a</t>
        </is>
      </c>
      <c r="B290" t="inlineStr">
        <is>
          <t>2026-06-19</t>
        </is>
      </c>
      <c r="C290" t="inlineStr">
        <is>
          <t>КП "ЛЮБЕШІВСЬКА БАГАТОПРОФІЛЬНА ЛІКАРНЯ" ЛЮБЕШІВСЬКОЇ СЕЛИЩНОЇ РАДИ</t>
        </is>
      </c>
      <c r="D290" t="inlineStr">
        <is>
          <t>Монітори (Код ДК 021:2015:30230000-0 Комп’ютерне обладнання)</t>
        </is>
      </c>
      <c r="E290" s="13" t="n">
        <v>6798</v>
      </c>
      <c r="H290" t="inlineStr">
        <is>
          <t>ми не подавалися</t>
        </is>
      </c>
    </row>
    <row r="291">
      <c r="A291" s="4" t="inlineStr">
        <is>
          <t>UA-2025-12-10-011297-a</t>
        </is>
      </c>
      <c r="B291" t="inlineStr">
        <is>
          <t>2025-12-10</t>
        </is>
      </c>
      <c r="C291" t="inlineStr">
        <is>
          <t>Управління освіти виконавчого комітету Ковельської міської ради</t>
        </is>
      </c>
      <c r="D291" t="inlineStr">
        <is>
          <t>Принтери</t>
        </is>
      </c>
      <c r="E291" s="13" t="n">
        <v>6715.1</v>
      </c>
      <c r="H291" t="inlineStr">
        <is>
          <t>ми не подавалися</t>
        </is>
      </c>
    </row>
    <row r="292">
      <c r="A292" s="4" t="inlineStr">
        <is>
          <t>UA-2025-12-11-018667-a</t>
        </is>
      </c>
      <c r="B292" t="inlineStr">
        <is>
          <t>2025-12-11</t>
        </is>
      </c>
      <c r="C292" t="inlineStr">
        <is>
          <t>Управління освіти виконавчого комітету Ковельської міської ради</t>
        </is>
      </c>
      <c r="D292" t="inlineStr">
        <is>
          <t>Принтери</t>
        </is>
      </c>
      <c r="E292" s="13" t="n">
        <v>6714</v>
      </c>
      <c r="H292" t="inlineStr">
        <is>
          <t>ми не подавалися</t>
        </is>
      </c>
    </row>
    <row r="293">
      <c r="A293" s="4" t="inlineStr">
        <is>
          <t>UA-2025-11-13-004827-a</t>
        </is>
      </c>
      <c r="B293" t="inlineStr">
        <is>
          <t>2025-11-13</t>
        </is>
      </c>
      <c r="C293" t="inlineStr">
        <is>
          <t>Гуманітарний відділ Литовезької сільської ради</t>
        </is>
      </c>
      <c r="D293" t="inlineStr">
        <is>
          <t>Принтери</t>
        </is>
      </c>
      <c r="E293" s="13" t="n">
        <v>6624</v>
      </c>
      <c r="H293" t="inlineStr">
        <is>
          <t>ми не подавалися</t>
        </is>
      </c>
    </row>
    <row r="294">
      <c r="A294" s="4" t="inlineStr">
        <is>
          <t>UA-2026-06-22-008493-a</t>
        </is>
      </c>
      <c r="B294" t="inlineStr">
        <is>
          <t>2026-06-22</t>
        </is>
      </c>
      <c r="C294" t="inlineStr">
        <is>
          <t>Виконавчий комітет Луцької міської ради</t>
        </is>
      </c>
      <c r="D294" t="inlineStr">
        <is>
          <t>Монітори</t>
        </is>
      </c>
      <c r="E294" s="13" t="n">
        <v>4194</v>
      </c>
      <c r="H294" t="inlineStr">
        <is>
          <t>ми не подавалися</t>
        </is>
      </c>
    </row>
    <row r="295">
      <c r="A295" s="4" t="inlineStr">
        <is>
          <t>UA-2026-04-17-009755-a</t>
        </is>
      </c>
      <c r="B295" t="inlineStr">
        <is>
          <t>2026-04-17</t>
        </is>
      </c>
      <c r="C295" t="inlineStr">
        <is>
          <t>КНП Ковельське міськрайонне територіальне медичне об'єднання Ковельської міської ради Волинської області</t>
        </is>
      </c>
      <c r="D295" t="inlineStr">
        <is>
          <t>Миша дротова, 1000 dpi, USB (30237410-6); Клавіатура дротова, повнорозмірна, USB</t>
        </is>
      </c>
      <c r="E295" s="13" t="n">
        <v>2688</v>
      </c>
      <c r="H295" t="inlineStr">
        <is>
          <t>ми не подавалися</t>
        </is>
      </c>
    </row>
    <row r="296">
      <c r="A296" s="4" t="inlineStr">
        <is>
          <t>UA-2026-05-18-008602-a</t>
        </is>
      </c>
      <c r="B296" t="inlineStr">
        <is>
          <t>2026-05-18</t>
        </is>
      </c>
      <c r="C296" t="inlineStr">
        <is>
          <t>Виконавчий комітет Луцької міської ради</t>
        </is>
      </c>
      <c r="D296" t="inlineStr">
        <is>
          <t>Мережеві фільтри та подовжувачі</t>
        </is>
      </c>
      <c r="E296" s="13" t="n">
        <v>2100</v>
      </c>
      <c r="H296" t="inlineStr">
        <is>
          <t>ми не подавалися</t>
        </is>
      </c>
    </row>
    <row r="297">
      <c r="A297" s="4" t="inlineStr">
        <is>
          <t>UA-2026-04-02-012974-a</t>
        </is>
      </c>
      <c r="B297" t="inlineStr">
        <is>
          <t>2026-04-02</t>
        </is>
      </c>
      <c r="C297" t="inlineStr">
        <is>
          <t>Луцький національний технічний університет</t>
        </is>
      </c>
      <c r="D297" t="inlineStr">
        <is>
          <t>Комп'ютерне обладнання в рамках реалізації проєкту "Цифрові екосистеми інклюзивн</t>
        </is>
      </c>
      <c r="E297" s="13" t="n">
        <v>1638</v>
      </c>
      <c r="H297" t="inlineStr">
        <is>
          <t>ми не подавалися</t>
        </is>
      </c>
    </row>
    <row r="298">
      <c r="A298" s="4" t="inlineStr">
        <is>
          <t>UA-2026-04-24-006694-a</t>
        </is>
      </c>
      <c r="B298" t="inlineStr">
        <is>
          <t>2026-04-24</t>
        </is>
      </c>
      <c r="C298" t="inlineStr">
        <is>
          <t>ВІЙСЬКОВА ЧАСТИНА 1141 НАЦІОНАЛЬНОЇ ГВАРДІЇ УКРАЇНИ</t>
        </is>
      </c>
      <c r="D298" t="inlineStr">
        <is>
          <t>Клавіатури в комплекті з мишею</t>
        </is>
      </c>
      <c r="E298" s="13" t="n">
        <v>1053.6</v>
      </c>
      <c r="H298" t="inlineStr">
        <is>
          <t>ми не подавалися</t>
        </is>
      </c>
    </row>
    <row r="300">
      <c r="A300" s="8" t="inlineStr">
        <is>
          <t>Сильні сторони</t>
        </is>
      </c>
    </row>
    <row r="301">
      <c r="A301" t="inlineStr">
        <is>
          <t>+  стабільна база замовників (50,0% повторних)</t>
        </is>
      </c>
    </row>
    <row r="302">
      <c r="A302" t="inlineStr">
        <is>
          <t>+  уміє вигравати у відкритих торгах</t>
        </is>
      </c>
    </row>
    <row r="304">
      <c r="A304" s="8" t="inlineStr">
        <is>
          <t>Слабкі сторони</t>
        </is>
      </c>
    </row>
    <row r="305">
      <c r="A305" t="inlineStr">
        <is>
          <t>−  сертифікатів у поданих файлах не знайдено</t>
        </is>
      </c>
    </row>
  </sheetData>
  <hyperlinks>
    <hyperlink xmlns:r="http://schemas.openxmlformats.org/officeDocument/2006/relationships" ref="A172" r:id="rId1"/>
    <hyperlink xmlns:r="http://schemas.openxmlformats.org/officeDocument/2006/relationships" ref="A176" r:id="rId2"/>
    <hyperlink xmlns:r="http://schemas.openxmlformats.org/officeDocument/2006/relationships" ref="A177" r:id="rId3"/>
    <hyperlink xmlns:r="http://schemas.openxmlformats.org/officeDocument/2006/relationships" ref="A178" r:id="rId4"/>
    <hyperlink xmlns:r="http://schemas.openxmlformats.org/officeDocument/2006/relationships" ref="A179" r:id="rId5"/>
    <hyperlink xmlns:r="http://schemas.openxmlformats.org/officeDocument/2006/relationships" ref="A180" r:id="rId6"/>
    <hyperlink xmlns:r="http://schemas.openxmlformats.org/officeDocument/2006/relationships" ref="A181" r:id="rId7"/>
    <hyperlink xmlns:r="http://schemas.openxmlformats.org/officeDocument/2006/relationships" ref="A182" r:id="rId8"/>
    <hyperlink xmlns:r="http://schemas.openxmlformats.org/officeDocument/2006/relationships" ref="A183" r:id="rId9"/>
    <hyperlink xmlns:r="http://schemas.openxmlformats.org/officeDocument/2006/relationships" ref="A184" r:id="rId10"/>
    <hyperlink xmlns:r="http://schemas.openxmlformats.org/officeDocument/2006/relationships" ref="A185" r:id="rId11"/>
    <hyperlink xmlns:r="http://schemas.openxmlformats.org/officeDocument/2006/relationships" ref="A186" r:id="rId12"/>
    <hyperlink xmlns:r="http://schemas.openxmlformats.org/officeDocument/2006/relationships" ref="A187" r:id="rId13"/>
    <hyperlink xmlns:r="http://schemas.openxmlformats.org/officeDocument/2006/relationships" ref="A188" r:id="rId14"/>
    <hyperlink xmlns:r="http://schemas.openxmlformats.org/officeDocument/2006/relationships" ref="A189" r:id="rId15"/>
    <hyperlink xmlns:r="http://schemas.openxmlformats.org/officeDocument/2006/relationships" ref="A190" r:id="rId16"/>
    <hyperlink xmlns:r="http://schemas.openxmlformats.org/officeDocument/2006/relationships" ref="A191" r:id="rId17"/>
    <hyperlink xmlns:r="http://schemas.openxmlformats.org/officeDocument/2006/relationships" ref="A192" r:id="rId18"/>
    <hyperlink xmlns:r="http://schemas.openxmlformats.org/officeDocument/2006/relationships" ref="A193" r:id="rId19"/>
    <hyperlink xmlns:r="http://schemas.openxmlformats.org/officeDocument/2006/relationships" ref="A194" r:id="rId20"/>
    <hyperlink xmlns:r="http://schemas.openxmlformats.org/officeDocument/2006/relationships" ref="A195" r:id="rId21"/>
    <hyperlink xmlns:r="http://schemas.openxmlformats.org/officeDocument/2006/relationships" ref="A196" r:id="rId22"/>
    <hyperlink xmlns:r="http://schemas.openxmlformats.org/officeDocument/2006/relationships" ref="A197" r:id="rId23"/>
    <hyperlink xmlns:r="http://schemas.openxmlformats.org/officeDocument/2006/relationships" ref="A198" r:id="rId24"/>
    <hyperlink xmlns:r="http://schemas.openxmlformats.org/officeDocument/2006/relationships" ref="A199" r:id="rId25"/>
    <hyperlink xmlns:r="http://schemas.openxmlformats.org/officeDocument/2006/relationships" ref="A200" r:id="rId26"/>
    <hyperlink xmlns:r="http://schemas.openxmlformats.org/officeDocument/2006/relationships" ref="A201" r:id="rId27"/>
    <hyperlink xmlns:r="http://schemas.openxmlformats.org/officeDocument/2006/relationships" ref="A202" r:id="rId28"/>
    <hyperlink xmlns:r="http://schemas.openxmlformats.org/officeDocument/2006/relationships" ref="A203" r:id="rId29"/>
    <hyperlink xmlns:r="http://schemas.openxmlformats.org/officeDocument/2006/relationships" ref="A204" r:id="rId30"/>
    <hyperlink xmlns:r="http://schemas.openxmlformats.org/officeDocument/2006/relationships" ref="A205" r:id="rId31"/>
    <hyperlink xmlns:r="http://schemas.openxmlformats.org/officeDocument/2006/relationships" ref="A206" r:id="rId32"/>
    <hyperlink xmlns:r="http://schemas.openxmlformats.org/officeDocument/2006/relationships" ref="A207" r:id="rId33"/>
    <hyperlink xmlns:r="http://schemas.openxmlformats.org/officeDocument/2006/relationships" ref="A208" r:id="rId34"/>
    <hyperlink xmlns:r="http://schemas.openxmlformats.org/officeDocument/2006/relationships" ref="A209" r:id="rId35"/>
    <hyperlink xmlns:r="http://schemas.openxmlformats.org/officeDocument/2006/relationships" ref="A210" r:id="rId36"/>
    <hyperlink xmlns:r="http://schemas.openxmlformats.org/officeDocument/2006/relationships" ref="A211" r:id="rId37"/>
    <hyperlink xmlns:r="http://schemas.openxmlformats.org/officeDocument/2006/relationships" ref="A212" r:id="rId38"/>
    <hyperlink xmlns:r="http://schemas.openxmlformats.org/officeDocument/2006/relationships" ref="A213" r:id="rId39"/>
    <hyperlink xmlns:r="http://schemas.openxmlformats.org/officeDocument/2006/relationships" ref="A214" r:id="rId40"/>
    <hyperlink xmlns:r="http://schemas.openxmlformats.org/officeDocument/2006/relationships" ref="A215" r:id="rId41"/>
    <hyperlink xmlns:r="http://schemas.openxmlformats.org/officeDocument/2006/relationships" ref="A216" r:id="rId42"/>
    <hyperlink xmlns:r="http://schemas.openxmlformats.org/officeDocument/2006/relationships" ref="A217" r:id="rId43"/>
    <hyperlink xmlns:r="http://schemas.openxmlformats.org/officeDocument/2006/relationships" ref="A218" r:id="rId44"/>
    <hyperlink xmlns:r="http://schemas.openxmlformats.org/officeDocument/2006/relationships" ref="A219" r:id="rId45"/>
    <hyperlink xmlns:r="http://schemas.openxmlformats.org/officeDocument/2006/relationships" ref="A220" r:id="rId46"/>
    <hyperlink xmlns:r="http://schemas.openxmlformats.org/officeDocument/2006/relationships" ref="A221" r:id="rId47"/>
    <hyperlink xmlns:r="http://schemas.openxmlformats.org/officeDocument/2006/relationships" ref="A222" r:id="rId48"/>
    <hyperlink xmlns:r="http://schemas.openxmlformats.org/officeDocument/2006/relationships" ref="A223" r:id="rId49"/>
    <hyperlink xmlns:r="http://schemas.openxmlformats.org/officeDocument/2006/relationships" ref="A224" r:id="rId50"/>
    <hyperlink xmlns:r="http://schemas.openxmlformats.org/officeDocument/2006/relationships" ref="A225" r:id="rId51"/>
    <hyperlink xmlns:r="http://schemas.openxmlformats.org/officeDocument/2006/relationships" ref="A226" r:id="rId52"/>
    <hyperlink xmlns:r="http://schemas.openxmlformats.org/officeDocument/2006/relationships" ref="A227" r:id="rId53"/>
    <hyperlink xmlns:r="http://schemas.openxmlformats.org/officeDocument/2006/relationships" ref="A228" r:id="rId54"/>
    <hyperlink xmlns:r="http://schemas.openxmlformats.org/officeDocument/2006/relationships" ref="A229" r:id="rId55"/>
    <hyperlink xmlns:r="http://schemas.openxmlformats.org/officeDocument/2006/relationships" ref="A230" r:id="rId56"/>
    <hyperlink xmlns:r="http://schemas.openxmlformats.org/officeDocument/2006/relationships" ref="A231" r:id="rId57"/>
    <hyperlink xmlns:r="http://schemas.openxmlformats.org/officeDocument/2006/relationships" ref="A232" r:id="rId58"/>
    <hyperlink xmlns:r="http://schemas.openxmlformats.org/officeDocument/2006/relationships" ref="A233" r:id="rId59"/>
    <hyperlink xmlns:r="http://schemas.openxmlformats.org/officeDocument/2006/relationships" ref="A234" r:id="rId60"/>
    <hyperlink xmlns:r="http://schemas.openxmlformats.org/officeDocument/2006/relationships" ref="A235" r:id="rId61"/>
    <hyperlink xmlns:r="http://schemas.openxmlformats.org/officeDocument/2006/relationships" ref="A239" r:id="rId62"/>
    <hyperlink xmlns:r="http://schemas.openxmlformats.org/officeDocument/2006/relationships" ref="A240" r:id="rId63"/>
    <hyperlink xmlns:r="http://schemas.openxmlformats.org/officeDocument/2006/relationships" ref="A241" r:id="rId64"/>
    <hyperlink xmlns:r="http://schemas.openxmlformats.org/officeDocument/2006/relationships" ref="A242" r:id="rId65"/>
    <hyperlink xmlns:r="http://schemas.openxmlformats.org/officeDocument/2006/relationships" ref="A243" r:id="rId66"/>
    <hyperlink xmlns:r="http://schemas.openxmlformats.org/officeDocument/2006/relationships" ref="A244" r:id="rId67"/>
    <hyperlink xmlns:r="http://schemas.openxmlformats.org/officeDocument/2006/relationships" ref="A245" r:id="rId68"/>
    <hyperlink xmlns:r="http://schemas.openxmlformats.org/officeDocument/2006/relationships" ref="A246" r:id="rId69"/>
    <hyperlink xmlns:r="http://schemas.openxmlformats.org/officeDocument/2006/relationships" ref="A247" r:id="rId70"/>
    <hyperlink xmlns:r="http://schemas.openxmlformats.org/officeDocument/2006/relationships" ref="A248" r:id="rId71"/>
    <hyperlink xmlns:r="http://schemas.openxmlformats.org/officeDocument/2006/relationships" ref="A249" r:id="rId72"/>
    <hyperlink xmlns:r="http://schemas.openxmlformats.org/officeDocument/2006/relationships" ref="A250" r:id="rId73"/>
    <hyperlink xmlns:r="http://schemas.openxmlformats.org/officeDocument/2006/relationships" ref="A251" r:id="rId74"/>
    <hyperlink xmlns:r="http://schemas.openxmlformats.org/officeDocument/2006/relationships" ref="A252" r:id="rId75"/>
    <hyperlink xmlns:r="http://schemas.openxmlformats.org/officeDocument/2006/relationships" ref="A253" r:id="rId76"/>
    <hyperlink xmlns:r="http://schemas.openxmlformats.org/officeDocument/2006/relationships" ref="A254" r:id="rId77"/>
    <hyperlink xmlns:r="http://schemas.openxmlformats.org/officeDocument/2006/relationships" ref="A255" r:id="rId78"/>
    <hyperlink xmlns:r="http://schemas.openxmlformats.org/officeDocument/2006/relationships" ref="A256" r:id="rId79"/>
    <hyperlink xmlns:r="http://schemas.openxmlformats.org/officeDocument/2006/relationships" ref="A257" r:id="rId80"/>
    <hyperlink xmlns:r="http://schemas.openxmlformats.org/officeDocument/2006/relationships" ref="A258" r:id="rId81"/>
    <hyperlink xmlns:r="http://schemas.openxmlformats.org/officeDocument/2006/relationships" ref="A259" r:id="rId82"/>
    <hyperlink xmlns:r="http://schemas.openxmlformats.org/officeDocument/2006/relationships" ref="A260" r:id="rId83"/>
    <hyperlink xmlns:r="http://schemas.openxmlformats.org/officeDocument/2006/relationships" ref="A261" r:id="rId84"/>
    <hyperlink xmlns:r="http://schemas.openxmlformats.org/officeDocument/2006/relationships" ref="A262" r:id="rId85"/>
    <hyperlink xmlns:r="http://schemas.openxmlformats.org/officeDocument/2006/relationships" ref="A263" r:id="rId86"/>
    <hyperlink xmlns:r="http://schemas.openxmlformats.org/officeDocument/2006/relationships" ref="A264" r:id="rId87"/>
    <hyperlink xmlns:r="http://schemas.openxmlformats.org/officeDocument/2006/relationships" ref="A265" r:id="rId88"/>
    <hyperlink xmlns:r="http://schemas.openxmlformats.org/officeDocument/2006/relationships" ref="A266" r:id="rId89"/>
    <hyperlink xmlns:r="http://schemas.openxmlformats.org/officeDocument/2006/relationships" ref="A267" r:id="rId90"/>
    <hyperlink xmlns:r="http://schemas.openxmlformats.org/officeDocument/2006/relationships" ref="A268" r:id="rId91"/>
    <hyperlink xmlns:r="http://schemas.openxmlformats.org/officeDocument/2006/relationships" ref="A269" r:id="rId92"/>
    <hyperlink xmlns:r="http://schemas.openxmlformats.org/officeDocument/2006/relationships" ref="A270" r:id="rId93"/>
    <hyperlink xmlns:r="http://schemas.openxmlformats.org/officeDocument/2006/relationships" ref="A271" r:id="rId94"/>
    <hyperlink xmlns:r="http://schemas.openxmlformats.org/officeDocument/2006/relationships" ref="A272" r:id="rId95"/>
    <hyperlink xmlns:r="http://schemas.openxmlformats.org/officeDocument/2006/relationships" ref="A273" r:id="rId96"/>
    <hyperlink xmlns:r="http://schemas.openxmlformats.org/officeDocument/2006/relationships" ref="A274" r:id="rId97"/>
    <hyperlink xmlns:r="http://schemas.openxmlformats.org/officeDocument/2006/relationships" ref="A275" r:id="rId98"/>
    <hyperlink xmlns:r="http://schemas.openxmlformats.org/officeDocument/2006/relationships" ref="A276" r:id="rId99"/>
    <hyperlink xmlns:r="http://schemas.openxmlformats.org/officeDocument/2006/relationships" ref="A277" r:id="rId100"/>
    <hyperlink xmlns:r="http://schemas.openxmlformats.org/officeDocument/2006/relationships" ref="A278" r:id="rId101"/>
    <hyperlink xmlns:r="http://schemas.openxmlformats.org/officeDocument/2006/relationships" ref="A279" r:id="rId102"/>
    <hyperlink xmlns:r="http://schemas.openxmlformats.org/officeDocument/2006/relationships" ref="A280" r:id="rId103"/>
    <hyperlink xmlns:r="http://schemas.openxmlformats.org/officeDocument/2006/relationships" ref="A281" r:id="rId104"/>
    <hyperlink xmlns:r="http://schemas.openxmlformats.org/officeDocument/2006/relationships" ref="A282" r:id="rId105"/>
    <hyperlink xmlns:r="http://schemas.openxmlformats.org/officeDocument/2006/relationships" ref="A283" r:id="rId106"/>
    <hyperlink xmlns:r="http://schemas.openxmlformats.org/officeDocument/2006/relationships" ref="A284" r:id="rId107"/>
    <hyperlink xmlns:r="http://schemas.openxmlformats.org/officeDocument/2006/relationships" ref="A285" r:id="rId108"/>
    <hyperlink xmlns:r="http://schemas.openxmlformats.org/officeDocument/2006/relationships" ref="A286" r:id="rId109"/>
    <hyperlink xmlns:r="http://schemas.openxmlformats.org/officeDocument/2006/relationships" ref="A287" r:id="rId110"/>
    <hyperlink xmlns:r="http://schemas.openxmlformats.org/officeDocument/2006/relationships" ref="A288" r:id="rId111"/>
    <hyperlink xmlns:r="http://schemas.openxmlformats.org/officeDocument/2006/relationships" ref="A289" r:id="rId112"/>
    <hyperlink xmlns:r="http://schemas.openxmlformats.org/officeDocument/2006/relationships" ref="A290" r:id="rId113"/>
    <hyperlink xmlns:r="http://schemas.openxmlformats.org/officeDocument/2006/relationships" ref="A291" r:id="rId114"/>
    <hyperlink xmlns:r="http://schemas.openxmlformats.org/officeDocument/2006/relationships" ref="A292" r:id="rId115"/>
    <hyperlink xmlns:r="http://schemas.openxmlformats.org/officeDocument/2006/relationships" ref="A293" r:id="rId116"/>
    <hyperlink xmlns:r="http://schemas.openxmlformats.org/officeDocument/2006/relationships" ref="A294" r:id="rId117"/>
    <hyperlink xmlns:r="http://schemas.openxmlformats.org/officeDocument/2006/relationships" ref="A295" r:id="rId118"/>
    <hyperlink xmlns:r="http://schemas.openxmlformats.org/officeDocument/2006/relationships" ref="A296" r:id="rId119"/>
    <hyperlink xmlns:r="http://schemas.openxmlformats.org/officeDocument/2006/relationships" ref="A297" r:id="rId120"/>
    <hyperlink xmlns:r="http://schemas.openxmlformats.org/officeDocument/2006/relationships" ref="A298" r:id="rId121"/>
  </hyperlinks>
  <pageMargins left="0.75" right="0.75" top="1" bottom="1" header="0.5" footer="0.5"/>
  <drawing xmlns:r="http://schemas.openxmlformats.org/officeDocument/2006/relationships" r:id="rId122"/>
  <tableParts count="6">
    <tablePart xmlns:r="http://schemas.openxmlformats.org/officeDocument/2006/relationships" r:id="rId123"/>
    <tablePart xmlns:r="http://schemas.openxmlformats.org/officeDocument/2006/relationships" r:id="rId124"/>
    <tablePart xmlns:r="http://schemas.openxmlformats.org/officeDocument/2006/relationships" r:id="rId125"/>
    <tablePart xmlns:r="http://schemas.openxmlformats.org/officeDocument/2006/relationships" r:id="rId126"/>
    <tablePart xmlns:r="http://schemas.openxmlformats.org/officeDocument/2006/relationships" r:id="rId127"/>
    <tablePart xmlns:r="http://schemas.openxmlformats.org/officeDocument/2006/relationships" r:id="rId128"/>
  </tableParts>
</worksheet>
</file>

<file path=xl/worksheets/sheet30.xml><?xml version="1.0" encoding="utf-8"?>
<worksheet xmlns="http://schemas.openxmlformats.org/spreadsheetml/2006/main">
  <sheetPr>
    <outlinePr summaryBelow="1" summaryRight="1"/>
    <pageSetUpPr/>
  </sheetPr>
  <dimension ref="A1:I220"/>
  <sheetViews>
    <sheetView showGridLines="0" workbookViewId="0">
      <selection activeCell="A1" sqref="A1"/>
    </sheetView>
  </sheetViews>
  <sheetFormatPr baseColWidth="8" defaultRowHeight="15"/>
  <cols>
    <col width="42" customWidth="1" min="1" max="1"/>
    <col width="25" customWidth="1" min="2" max="2"/>
    <col width="60" customWidth="1" min="3" max="3"/>
    <col width="60" customWidth="1" min="4" max="4"/>
    <col width="22" customWidth="1" min="5" max="5"/>
    <col width="60" customWidth="1" min="6" max="6"/>
    <col width="23" customWidth="1" min="7" max="7"/>
    <col width="45" customWidth="1" min="8" max="8"/>
    <col width="10" customWidth="1" min="9" max="9"/>
  </cols>
  <sheetData>
    <row r="1">
      <c r="A1" s="1" t="inlineStr">
        <is>
          <t>ТОВ "АРТЛАЙН ІНТЕГРАЦІЯ"</t>
        </is>
      </c>
    </row>
    <row r="2">
      <c r="A2" s="6" t="inlineStr">
        <is>
          <t>ЄДРПОУ 40733799  ·  конкурент  ·  місце №17</t>
        </is>
      </c>
    </row>
    <row r="4">
      <c r="A4" s="7" t="inlineStr">
        <is>
          <t>ТОВ "АРТЛАЙН ІНТЕГРАЦІЯ" (40733799)</t>
        </is>
      </c>
    </row>
    <row r="6">
      <c r="A6" s="8" t="inlineStr">
        <is>
          <t>Показники</t>
        </is>
      </c>
    </row>
    <row r="7">
      <c r="A7" s="9" t="inlineStr">
        <is>
          <t>Місце на ринку</t>
        </is>
      </c>
      <c r="B7" s="10" t="inlineStr">
        <is>
          <t>№17</t>
        </is>
      </c>
    </row>
    <row r="8">
      <c r="A8" s="9" t="inlineStr">
        <is>
          <t>Сума угод</t>
        </is>
      </c>
      <c r="B8" s="10" t="inlineStr">
        <is>
          <t>1,6 млн грн</t>
        </is>
      </c>
    </row>
    <row r="9">
      <c r="A9" s="9" t="inlineStr">
        <is>
          <t>Частка ринку</t>
        </is>
      </c>
      <c r="B9" s="10" t="inlineStr">
        <is>
          <t>1,3%</t>
        </is>
      </c>
    </row>
    <row r="10">
      <c r="A10" s="9" t="inlineStr">
        <is>
          <t>Угод</t>
        </is>
      </c>
      <c r="B10" s="10" t="inlineStr">
        <is>
          <t>15</t>
        </is>
      </c>
    </row>
    <row r="11">
      <c r="A11" s="9" t="inlineStr">
        <is>
          <t>Закупівель виграно</t>
        </is>
      </c>
      <c r="B11" s="10" t="inlineStr">
        <is>
          <t>15</t>
        </is>
      </c>
    </row>
    <row r="12">
      <c r="A12" s="9" t="inlineStr">
        <is>
          <t>Подань (де видно)</t>
        </is>
      </c>
      <c r="B12" s="10" t="inlineStr">
        <is>
          <t>21</t>
        </is>
      </c>
    </row>
    <row r="13">
      <c r="A13" s="9" t="inlineStr">
        <is>
          <t>Виграно з поданих</t>
        </is>
      </c>
      <c r="B13" s="10" t="inlineStr">
        <is>
          <t>14 з 21</t>
        </is>
      </c>
    </row>
    <row r="14">
      <c r="A14" s="9" t="inlineStr">
        <is>
          <t>Результативність</t>
        </is>
      </c>
      <c r="B14" s="10" t="inlineStr">
        <is>
          <t>66,7%</t>
        </is>
      </c>
    </row>
    <row r="15">
      <c r="A15" s="9" t="inlineStr">
        <is>
          <t>Середня угода</t>
        </is>
      </c>
      <c r="B15" s="10" t="inlineStr">
        <is>
          <t>104,2 тис. грн</t>
        </is>
      </c>
    </row>
    <row r="16">
      <c r="A16" s="9" t="inlineStr">
        <is>
          <t>Медіанна угода</t>
        </is>
      </c>
      <c r="B16" s="10" t="inlineStr">
        <is>
          <t>45,0 тис. грн</t>
        </is>
      </c>
    </row>
    <row r="17">
      <c r="A17" s="9" t="inlineStr">
        <is>
          <t>Замовників</t>
        </is>
      </c>
      <c r="B17" s="10" t="inlineStr">
        <is>
          <t>6</t>
        </is>
      </c>
    </row>
    <row r="18">
      <c r="A18" s="9" t="inlineStr">
        <is>
          <t>Областей</t>
        </is>
      </c>
      <c r="B18" s="10" t="inlineStr">
        <is>
          <t>1</t>
        </is>
      </c>
    </row>
    <row r="19">
      <c r="A19" s="9" t="inlineStr">
        <is>
          <t>Основна ТМ</t>
        </is>
      </c>
      <c r="B19" s="10" t="inlineStr">
        <is>
          <t>Artline</t>
        </is>
      </c>
    </row>
    <row r="20">
      <c r="A20" s="9" t="inlineStr">
        <is>
          <t>Основний товар</t>
        </is>
      </c>
      <c r="B20" s="10" t="inlineStr">
        <is>
          <t>Моноблок</t>
        </is>
      </c>
    </row>
    <row r="21">
      <c r="A21" s="9" t="inlineStr">
        <is>
          <t>Дисконт (медіана)</t>
        </is>
      </c>
      <c r="B21" s="10" t="inlineStr">
        <is>
          <t>4,7%</t>
        </is>
      </c>
    </row>
    <row r="22">
      <c r="A22" s="9" t="inlineStr">
        <is>
          <t>Повторні замовники</t>
        </is>
      </c>
      <c r="B22" s="10" t="inlineStr">
        <is>
          <t>60,0%</t>
        </is>
      </c>
    </row>
    <row r="23">
      <c r="A23" s="9" t="inlineStr">
        <is>
          <t>Активність</t>
        </is>
      </c>
      <c r="B23" s="10" t="inlineStr">
        <is>
          <t>2025-09-22 — 2026-08-11</t>
        </is>
      </c>
    </row>
    <row r="24">
      <c r="A24" s="9" t="inlineStr">
        <is>
          <t>Зірвано перемог</t>
        </is>
      </c>
      <c r="B24" s="10" t="inlineStr">
        <is>
          <t>1 на 75,0 тис. грн</t>
        </is>
      </c>
    </row>
    <row r="25">
      <c r="A25" s="9" t="inlineStr">
        <is>
          <t>Причина зривів</t>
        </is>
      </c>
      <c r="B25" s="10" t="inlineStr">
        <is>
          <t>Відмова від договору</t>
        </is>
      </c>
    </row>
    <row r="27">
      <c r="A27" s="8" t="inlineStr">
        <is>
          <t>Висновки</t>
        </is>
      </c>
    </row>
    <row r="28">
      <c r="A28" t="inlineStr">
        <is>
          <t>•  17-е місце на ринку: 1,6 млн грн (1,3% обороту)</t>
        </is>
      </c>
    </row>
    <row r="29">
      <c r="A29" t="inlineStr">
        <is>
          <t>•  Основний товар: моноблок</t>
        </is>
      </c>
    </row>
    <row r="30">
      <c r="A30" t="inlineStr">
        <is>
          <t>•  Монобрендовий гравець: ТМ Artline у 66,7% позицій — довідник знає її як власну ТМ АРТЛАЙН ІНТЕГРАЦІЯ</t>
        </is>
      </c>
    </row>
    <row r="31">
      <c r="A31" t="inlineStr">
        <is>
          <t>•  Грає у відкритих процедурах: лише 6,7% угод без торгів</t>
        </is>
      </c>
    </row>
    <row r="32">
      <c r="A32" t="inlineStr">
        <is>
          <t>•  Тримає ціну: дисконт 4,7% проти 8,3% по ринку</t>
        </is>
      </c>
    </row>
    <row r="33">
      <c r="A33" t="inlineStr">
        <is>
          <t>•  Географічно сфокусований: Волинська область (100,0% угод)</t>
        </is>
      </c>
    </row>
    <row r="34">
      <c r="A34" t="inlineStr">
        <is>
          <t>•  Тримається постійних замовників: 60,0% угод — повторні</t>
        </is>
      </c>
    </row>
    <row r="35">
      <c r="A35" t="inlineStr">
        <is>
          <t>•  Результативність на торгах: 66,7% (14 з 21)</t>
        </is>
      </c>
    </row>
    <row r="36">
      <c r="A36" t="inlineStr">
        <is>
          <t>•  Динаміка: зростає (126% у другій половині періоду)</t>
        </is>
      </c>
    </row>
    <row r="37">
      <c r="A37" t="inlineStr">
        <is>
          <t>•  У поданих файлах — сертифікатів: 22, авторизаційних листів: 15</t>
        </is>
      </c>
    </row>
    <row r="38">
      <c r="A38" t="inlineStr">
        <is>
          <t>•  Зірваних перемог: 1 на 75,0 тис. грн, найчастіше — відмова від договору</t>
        </is>
      </c>
    </row>
    <row r="40">
      <c r="A40" s="8" t="inlineStr">
        <is>
          <t>Графіки</t>
        </is>
      </c>
    </row>
    <row r="42">
      <c r="A42" s="2" t="inlineStr">
        <is>
          <t>Динаміка по місяцях</t>
        </is>
      </c>
    </row>
    <row r="43">
      <c r="A43" s="3" t="inlineStr">
        <is>
          <t>Період</t>
        </is>
      </c>
      <c r="B43" s="3" t="inlineStr">
        <is>
          <t>Сума угод, грн</t>
        </is>
      </c>
    </row>
    <row r="44">
      <c r="A44" t="inlineStr">
        <is>
          <t>2025-09</t>
        </is>
      </c>
      <c r="B44" s="5" t="n">
        <v>71250</v>
      </c>
    </row>
    <row r="45">
      <c r="A45" t="inlineStr">
        <is>
          <t>2025-10</t>
        </is>
      </c>
      <c r="B45" s="5" t="n">
        <v>13200</v>
      </c>
    </row>
    <row r="46">
      <c r="A46" t="inlineStr">
        <is>
          <t>2025-11</t>
        </is>
      </c>
      <c r="B46" s="5" t="n">
        <v>91800</v>
      </c>
    </row>
    <row r="47">
      <c r="A47" t="inlineStr">
        <is>
          <t>2026-01</t>
        </is>
      </c>
      <c r="B47" s="5" t="n">
        <v>136800</v>
      </c>
    </row>
    <row r="48">
      <c r="A48" t="inlineStr">
        <is>
          <t>2026-02</t>
        </is>
      </c>
      <c r="B48" s="5" t="n">
        <v>167124</v>
      </c>
    </row>
    <row r="49">
      <c r="A49" t="inlineStr">
        <is>
          <t>2026-03</t>
        </is>
      </c>
      <c r="B49" s="5" t="n">
        <v>769824</v>
      </c>
    </row>
    <row r="50">
      <c r="A50" t="inlineStr">
        <is>
          <t>2026-04</t>
        </is>
      </c>
      <c r="B50" s="5" t="n">
        <v>33597</v>
      </c>
    </row>
    <row r="51">
      <c r="A51" t="inlineStr">
        <is>
          <t>2026-05</t>
        </is>
      </c>
      <c r="B51" s="5" t="n">
        <v>134982</v>
      </c>
    </row>
    <row r="52">
      <c r="A52" t="inlineStr">
        <is>
          <t>2026-06</t>
        </is>
      </c>
      <c r="B52" s="5" t="n">
        <v>36999</v>
      </c>
    </row>
    <row r="53">
      <c r="A53" t="inlineStr">
        <is>
          <t>2026-08</t>
        </is>
      </c>
      <c r="B53" s="5" t="n">
        <v>107815.5</v>
      </c>
    </row>
    <row r="62">
      <c r="A62" s="2" t="inlineStr">
        <is>
          <t>Торгові марки у позиціях</t>
        </is>
      </c>
    </row>
    <row r="63">
      <c r="A63" s="3" t="inlineStr">
        <is>
          <t>Категорія</t>
        </is>
      </c>
      <c r="B63" s="3" t="inlineStr">
        <is>
          <t>Позицій, шт</t>
        </is>
      </c>
    </row>
    <row r="64">
      <c r="A64" t="inlineStr">
        <is>
          <t>Artline</t>
        </is>
      </c>
      <c r="B64" s="5" t="n">
        <v>6</v>
      </c>
    </row>
    <row r="65">
      <c r="A65" t="inlineStr">
        <is>
          <t>HP</t>
        </is>
      </c>
      <c r="B65" s="5" t="n">
        <v>1</v>
      </c>
    </row>
    <row r="66">
      <c r="A66" t="inlineStr">
        <is>
          <t>AMD</t>
        </is>
      </c>
      <c r="B66" s="5" t="n">
        <v>1</v>
      </c>
    </row>
    <row r="67">
      <c r="A67" t="inlineStr">
        <is>
          <t>Samsung</t>
        </is>
      </c>
      <c r="B67" s="5" t="n">
        <v>1</v>
      </c>
    </row>
    <row r="82">
      <c r="A82" s="2" t="inlineStr">
        <is>
          <t>Що саме продає</t>
        </is>
      </c>
    </row>
    <row r="83">
      <c r="A83" s="3" t="inlineStr">
        <is>
          <t>Категорія</t>
        </is>
      </c>
      <c r="B83" s="3" t="inlineStr">
        <is>
          <t>Позицій, шт</t>
        </is>
      </c>
    </row>
    <row r="84">
      <c r="A84" t="inlineStr">
        <is>
          <t>Моноблок</t>
        </is>
      </c>
      <c r="B84" s="5" t="n">
        <v>9</v>
      </c>
    </row>
    <row r="85">
      <c r="A85" t="inlineStr">
        <is>
          <t>Персональний комп'ютер</t>
        </is>
      </c>
      <c r="B85" s="5" t="n">
        <v>5</v>
      </c>
    </row>
    <row r="86">
      <c r="A86" t="inlineStr">
        <is>
          <t>Монітор</t>
        </is>
      </c>
      <c r="B86" s="5" t="n">
        <v>3</v>
      </c>
    </row>
    <row r="87">
      <c r="A87" t="inlineStr">
        <is>
          <t>Artline gaming x43</t>
        </is>
      </c>
      <c r="B87" s="5" t="n">
        <v>1</v>
      </c>
    </row>
    <row r="88">
      <c r="A88" t="inlineStr">
        <is>
          <t>Ноутбук</t>
        </is>
      </c>
      <c r="B88" s="5" t="n">
        <v>1</v>
      </c>
    </row>
    <row r="89">
      <c r="A89" t="inlineStr">
        <is>
          <t>Клавіатура</t>
        </is>
      </c>
      <c r="B89" s="5" t="n">
        <v>1</v>
      </c>
    </row>
    <row r="90">
      <c r="A90" t="inlineStr">
        <is>
          <t>Artline home h47</t>
        </is>
      </c>
      <c r="B90" s="5" t="n">
        <v>1</v>
      </c>
    </row>
    <row r="91">
      <c r="A91" t="inlineStr">
        <is>
          <t>Системний блок</t>
        </is>
      </c>
      <c r="B91" s="5" t="n">
        <v>1</v>
      </c>
    </row>
    <row r="98">
      <c r="A98" s="2" t="inlineStr">
        <is>
          <t>Ключові замовники</t>
        </is>
      </c>
    </row>
    <row r="99">
      <c r="A99" s="3" t="inlineStr">
        <is>
          <t>Категорія</t>
        </is>
      </c>
      <c r="B99" s="3" t="inlineStr">
        <is>
          <t>Сума, грн</t>
        </is>
      </c>
    </row>
    <row r="100">
      <c r="A100" t="inlineStr">
        <is>
          <t>Військова частина 9971</t>
        </is>
      </c>
      <c r="B100" s="5" t="n">
        <v>848826</v>
      </c>
    </row>
    <row r="101">
      <c r="A101" t="inlineStr">
        <is>
          <t>ВІЙСЬКОВА ЧАСТИНА 1141 НАЦІОНАЛЬНОЇ ГВАР</t>
        </is>
      </c>
      <c r="B101" s="5" t="n">
        <v>348501</v>
      </c>
    </row>
    <row r="102">
      <c r="A102" t="inlineStr">
        <is>
          <t>КНП «Камінь-Каширська центральна районна</t>
        </is>
      </c>
      <c r="B102" s="5" t="n">
        <v>136800</v>
      </c>
    </row>
    <row r="103">
      <c r="A103" t="inlineStr">
        <is>
          <t>Квартирно - експлуатаційний відділ м. Во</t>
        </is>
      </c>
      <c r="B103" s="5" t="n">
        <v>121015.5</v>
      </c>
    </row>
    <row r="104">
      <c r="A104" t="inlineStr">
        <is>
          <t>ВИКОНАВЧИЙ КОМІТЕТ НОВОВОЛИНСЬКОЇ МІСЬКО</t>
        </is>
      </c>
      <c r="B104" s="5" t="n">
        <v>71250</v>
      </c>
    </row>
    <row r="105">
      <c r="A105" t="inlineStr">
        <is>
          <t>МАР'ЯНІВСЬКА СЕЛИЩНА РАДА</t>
        </is>
      </c>
      <c r="B105" s="5" t="n">
        <v>36999</v>
      </c>
    </row>
    <row r="114">
      <c r="A114" s="2" t="inlineStr">
        <is>
          <t>Процедури</t>
        </is>
      </c>
    </row>
    <row r="115">
      <c r="A115" s="3" t="inlineStr">
        <is>
          <t>Категорія</t>
        </is>
      </c>
      <c r="B115" s="3" t="inlineStr">
        <is>
          <t>Угод, шт</t>
        </is>
      </c>
    </row>
    <row r="116">
      <c r="A116" t="inlineStr">
        <is>
          <t>Запит пропозицій</t>
        </is>
      </c>
      <c r="B116" s="5" t="n">
        <v>6</v>
      </c>
    </row>
    <row r="117">
      <c r="A117" t="inlineStr">
        <is>
          <t>Допорогова</t>
        </is>
      </c>
      <c r="B117" s="5" t="n">
        <v>6</v>
      </c>
    </row>
    <row r="118">
      <c r="A118" t="inlineStr">
        <is>
          <t>Відкриті торги (нові)</t>
        </is>
      </c>
      <c r="B118" s="5" t="n">
        <v>2</v>
      </c>
    </row>
    <row r="119">
      <c r="A119" t="inlineStr">
        <is>
          <t>Звіт про договір</t>
        </is>
      </c>
      <c r="B119" s="5" t="n">
        <v>1</v>
      </c>
    </row>
    <row r="134">
      <c r="A134" s="8" t="inlineStr">
        <is>
          <t>Таблиці</t>
        </is>
      </c>
    </row>
    <row r="136">
      <c r="A136" s="2" t="inlineStr">
        <is>
          <t>ТМ</t>
        </is>
      </c>
    </row>
    <row r="137">
      <c r="A137" s="11" t="inlineStr">
        <is>
          <t>Торгова марка</t>
        </is>
      </c>
      <c r="B137" s="11" t="inlineStr">
        <is>
          <t>Позицій</t>
        </is>
      </c>
      <c r="C137" s="11" t="inlineStr">
        <is>
          <t>Частка</t>
        </is>
      </c>
      <c r="D137" s="11" t="inlineStr">
        <is>
          <t>Власна ТМ за довідником</t>
        </is>
      </c>
    </row>
    <row r="138">
      <c r="A138" t="inlineStr">
        <is>
          <t>Artline</t>
        </is>
      </c>
      <c r="B138" s="5" t="n">
        <v>6</v>
      </c>
      <c r="C138" s="12" t="n">
        <v>0.6667</v>
      </c>
      <c r="D138" t="inlineStr">
        <is>
          <t>АРТЛАЙН ІНТЕГРАЦІЯ</t>
        </is>
      </c>
    </row>
    <row r="139">
      <c r="A139" t="inlineStr">
        <is>
          <t>HP</t>
        </is>
      </c>
      <c r="B139" s="5" t="n">
        <v>1</v>
      </c>
      <c r="C139" s="12" t="n">
        <v>0.1111</v>
      </c>
      <c r="D139" t="inlineStr"/>
    </row>
    <row r="140">
      <c r="A140" t="inlineStr">
        <is>
          <t>AMD</t>
        </is>
      </c>
      <c r="B140" s="5" t="n">
        <v>1</v>
      </c>
      <c r="C140" s="12" t="n">
        <v>0.1111</v>
      </c>
      <c r="D140" t="inlineStr"/>
    </row>
    <row r="141">
      <c r="A141" t="inlineStr">
        <is>
          <t>Samsung</t>
        </is>
      </c>
      <c r="B141" s="5" t="n">
        <v>1</v>
      </c>
      <c r="C141" s="12" t="n">
        <v>0.1111</v>
      </c>
      <c r="D141" t="inlineStr"/>
    </row>
    <row r="143">
      <c r="A143" s="2" t="inlineStr">
        <is>
          <t>Товари</t>
        </is>
      </c>
    </row>
    <row r="144">
      <c r="A144" s="11" t="inlineStr">
        <is>
          <t>Товар</t>
        </is>
      </c>
      <c r="B144" s="11" t="inlineStr">
        <is>
          <t>Позицій</t>
        </is>
      </c>
    </row>
    <row r="145">
      <c r="A145" t="inlineStr">
        <is>
          <t>Моноблок</t>
        </is>
      </c>
      <c r="B145" s="5" t="n">
        <v>9</v>
      </c>
    </row>
    <row r="146">
      <c r="A146" t="inlineStr">
        <is>
          <t>Персональний комп'ютер</t>
        </is>
      </c>
      <c r="B146" s="5" t="n">
        <v>5</v>
      </c>
    </row>
    <row r="147">
      <c r="A147" t="inlineStr">
        <is>
          <t>Монітор</t>
        </is>
      </c>
      <c r="B147" s="5" t="n">
        <v>3</v>
      </c>
    </row>
    <row r="148">
      <c r="A148" t="inlineStr">
        <is>
          <t>Artline gaming x43</t>
        </is>
      </c>
      <c r="B148" s="5" t="n">
        <v>1</v>
      </c>
    </row>
    <row r="149">
      <c r="A149" t="inlineStr">
        <is>
          <t>Ноутбук</t>
        </is>
      </c>
      <c r="B149" s="5" t="n">
        <v>1</v>
      </c>
    </row>
    <row r="150">
      <c r="A150" t="inlineStr">
        <is>
          <t>Клавіатура</t>
        </is>
      </c>
      <c r="B150" s="5" t="n">
        <v>1</v>
      </c>
    </row>
    <row r="151">
      <c r="A151" t="inlineStr">
        <is>
          <t>Artline home h47</t>
        </is>
      </c>
      <c r="B151" s="5" t="n">
        <v>1</v>
      </c>
    </row>
    <row r="152">
      <c r="A152" t="inlineStr">
        <is>
          <t>Системний блок</t>
        </is>
      </c>
      <c r="B152" s="5" t="n">
        <v>1</v>
      </c>
    </row>
    <row r="154">
      <c r="A154" s="2" t="inlineStr">
        <is>
          <t>Документи</t>
        </is>
      </c>
    </row>
    <row r="155">
      <c r="A155" s="11" t="inlineStr">
        <is>
          <t>Тип документа</t>
        </is>
      </c>
      <c r="B155" s="11" t="inlineStr">
        <is>
          <t>Файлів</t>
        </is>
      </c>
    </row>
    <row r="156">
      <c r="A156" t="inlineStr">
        <is>
          <t>не класифіковано</t>
        </is>
      </c>
      <c r="B156" s="5" t="n">
        <v>159</v>
      </c>
    </row>
    <row r="157">
      <c r="A157" t="inlineStr">
        <is>
          <t>Підпис КЕП</t>
        </is>
      </c>
      <c r="B157" s="5" t="n">
        <v>110</v>
      </c>
    </row>
    <row r="158">
      <c r="A158" t="inlineStr">
        <is>
          <t>Установчі та реєстраційні</t>
        </is>
      </c>
      <c r="B158" s="5" t="n">
        <v>32</v>
      </c>
    </row>
    <row r="159">
      <c r="A159" t="inlineStr">
        <is>
          <t>Досвід / аналогічні договори</t>
        </is>
      </c>
      <c r="B159" s="5" t="n">
        <v>30</v>
      </c>
    </row>
    <row r="160">
      <c r="A160" t="inlineStr">
        <is>
          <t>Технічна специфікація</t>
        </is>
      </c>
      <c r="B160" s="5" t="n">
        <v>24</v>
      </c>
    </row>
    <row r="161">
      <c r="A161" t="inlineStr">
        <is>
          <t>Договір</t>
        </is>
      </c>
      <c r="B161" s="5" t="n">
        <v>24</v>
      </c>
    </row>
    <row r="162">
      <c r="A162" t="inlineStr">
        <is>
          <t>Сертифікат / декларація відповідності</t>
        </is>
      </c>
      <c r="B162" s="5" t="n">
        <v>22</v>
      </c>
    </row>
    <row r="163">
      <c r="A163" t="inlineStr">
        <is>
          <t>Лист виробника / авторизація</t>
        </is>
      </c>
      <c r="B163" s="5" t="n">
        <v>15</v>
      </c>
    </row>
    <row r="164">
      <c r="A164" t="inlineStr">
        <is>
          <t>Тендерна документація</t>
        </is>
      </c>
      <c r="B164" s="5" t="n">
        <v>8</v>
      </c>
    </row>
    <row r="165">
      <c r="A165" t="inlineStr">
        <is>
          <t>Цінова пропозиція</t>
        </is>
      </c>
      <c r="B165" s="5" t="n">
        <v>5</v>
      </c>
    </row>
    <row r="166">
      <c r="A166" t="inlineStr">
        <is>
          <t>Гарантія та сервіс</t>
        </is>
      </c>
      <c r="B166" s="5" t="n">
        <v>3</v>
      </c>
    </row>
    <row r="167">
      <c r="A167" t="inlineStr">
        <is>
          <t>Пропозиція учасника</t>
        </is>
      </c>
      <c r="B167" s="5" t="n">
        <v>2</v>
      </c>
    </row>
    <row r="169">
      <c r="A169" s="2" t="inlineStr">
        <is>
          <t>Зірвані перемоги</t>
        </is>
      </c>
    </row>
    <row r="170">
      <c r="A170" s="11" t="inlineStr">
        <is>
          <t>Закупівля</t>
        </is>
      </c>
      <c r="B170" s="11" t="inlineStr">
        <is>
          <t>Дата</t>
        </is>
      </c>
      <c r="C170" s="11" t="inlineStr">
        <is>
          <t>Замовник</t>
        </is>
      </c>
      <c r="D170" s="11" t="inlineStr">
        <is>
          <t>Сума, грн</t>
        </is>
      </c>
      <c r="E170" s="11" t="inlineStr">
        <is>
          <t>Причина</t>
        </is>
      </c>
      <c r="F170" s="11" t="inlineStr">
        <is>
          <t>Формулювання замовника</t>
        </is>
      </c>
    </row>
    <row r="171">
      <c r="A171" s="4" t="inlineStr">
        <is>
          <t>UA-2025-12-16-022042-a</t>
        </is>
      </c>
      <c r="B171" t="inlineStr">
        <is>
          <t>2025-12-22</t>
        </is>
      </c>
      <c r="C171" t="inlineStr">
        <is>
          <t>КНП «Камінь-Каширська центральна районна лікарня» Камінь-Каширської міської ради Волинської області</t>
        </is>
      </c>
      <c r="D171" s="5" t="n">
        <v>74970</v>
      </c>
      <c r="E171" t="inlineStr">
        <is>
          <t>Відмова від договору</t>
        </is>
      </c>
      <c r="F171" t="inlineStr">
        <is>
          <t>письмово відмовився від укладання договору на умовах, визначених у запиті пропозицій постачальників</t>
        </is>
      </c>
    </row>
    <row r="173">
      <c r="A173" s="2" t="inlineStr">
        <is>
          <t>Угоди</t>
        </is>
      </c>
    </row>
    <row r="174">
      <c r="A174" s="11" t="inlineStr">
        <is>
          <t>Закупівля</t>
        </is>
      </c>
      <c r="B174" s="11" t="inlineStr">
        <is>
          <t>Дата</t>
        </is>
      </c>
      <c r="C174" s="11" t="inlineStr">
        <is>
          <t>Замовник</t>
        </is>
      </c>
      <c r="D174" s="11" t="inlineStr">
        <is>
          <t>Регіон</t>
        </is>
      </c>
      <c r="E174" s="11" t="inlineStr">
        <is>
          <t>Сума, грн</t>
        </is>
      </c>
      <c r="F174" s="11" t="inlineStr">
        <is>
          <t>Очікувана, грн</t>
        </is>
      </c>
      <c r="G174" s="11" t="inlineStr">
        <is>
          <t>Процедура</t>
        </is>
      </c>
      <c r="H174" s="11" t="inlineStr">
        <is>
          <t>Галузь</t>
        </is>
      </c>
      <c r="I174" s="11" t="inlineStr">
        <is>
          <t>Джерело</t>
        </is>
      </c>
    </row>
    <row r="175">
      <c r="A175" s="4" t="inlineStr">
        <is>
          <t>UA-2026-02-16-010196-a</t>
        </is>
      </c>
      <c r="B175" t="inlineStr">
        <is>
          <t>2026-03-09</t>
        </is>
      </c>
      <c r="C175" t="inlineStr">
        <is>
          <t>Військова частина 9971</t>
        </is>
      </c>
      <c r="D175" t="inlineStr">
        <is>
          <t>Волинська область</t>
        </is>
      </c>
      <c r="E175" s="13" t="n">
        <v>757026</v>
      </c>
      <c r="F175" s="13" t="n">
        <v>795000</v>
      </c>
      <c r="G175" t="inlineStr">
        <is>
          <t>Відкриті торги (нові)</t>
        </is>
      </c>
      <c r="H175" t="inlineStr">
        <is>
          <t>Машини для обробки даних (апаратна частина)</t>
        </is>
      </c>
      <c r="I175" t="inlineStr">
        <is>
          <t>договір</t>
        </is>
      </c>
    </row>
    <row r="176">
      <c r="A176" s="4" t="inlineStr">
        <is>
          <t>UA-2026-01-23-013674-a</t>
        </is>
      </c>
      <c r="B176" t="inlineStr">
        <is>
          <t>2026-01-30</t>
        </is>
      </c>
      <c r="C176" t="inlineStr">
        <is>
          <t>КНП «Камінь-Каширська центральна районна лікарня» Камінь-Каширської міської ради Волинської області</t>
        </is>
      </c>
      <c r="D176" t="inlineStr">
        <is>
          <t>Волинська область</t>
        </is>
      </c>
      <c r="E176" s="13" t="n">
        <v>136800</v>
      </c>
      <c r="F176" s="13" t="n">
        <v>141000</v>
      </c>
      <c r="G176" t="inlineStr">
        <is>
          <t>Запит пропозицій</t>
        </is>
      </c>
      <c r="H176" t="inlineStr">
        <is>
          <t>Машини для обробки даних (апаратна частина)</t>
        </is>
      </c>
      <c r="I176" t="inlineStr">
        <is>
          <t>договір</t>
        </is>
      </c>
    </row>
    <row r="177">
      <c r="A177" s="4" t="inlineStr">
        <is>
          <t>UA-2026-02-12-014782-a</t>
        </is>
      </c>
      <c r="B177" t="inlineStr">
        <is>
          <t>2026-02-26</t>
        </is>
      </c>
      <c r="C177" t="inlineStr">
        <is>
          <t>ВІЙСЬКОВА ЧАСТИНА 1141 НАЦІОНАЛЬНОЇ ГВАРДІЇ УКРАЇНИ</t>
        </is>
      </c>
      <c r="D177" t="inlineStr">
        <is>
          <t>Волинська область</t>
        </is>
      </c>
      <c r="E177" s="13" t="n">
        <v>129828</v>
      </c>
      <c r="F177" s="13" t="n">
        <v>134640</v>
      </c>
      <c r="G177" t="inlineStr">
        <is>
          <t>Допорогова</t>
        </is>
      </c>
      <c r="H177" t="inlineStr">
        <is>
          <t>Машини для обробки даних (апаратна частина)</t>
        </is>
      </c>
      <c r="I177" t="inlineStr">
        <is>
          <t>договір</t>
        </is>
      </c>
    </row>
    <row r="178">
      <c r="A178" s="4" t="inlineStr">
        <is>
          <t>UA-2026-08-03-004932-a</t>
        </is>
      </c>
      <c r="B178" t="inlineStr">
        <is>
          <t>2026-08-11</t>
        </is>
      </c>
      <c r="C178" t="inlineStr">
        <is>
          <t>Квартирно - експлуатаційний відділ м. Володимир</t>
        </is>
      </c>
      <c r="D178" t="inlineStr">
        <is>
          <t>Волинська область</t>
        </is>
      </c>
      <c r="E178" s="13" t="n">
        <v>107815.5</v>
      </c>
      <c r="F178" s="13" t="n">
        <v>92625</v>
      </c>
      <c r="G178" t="inlineStr">
        <is>
          <t>Запит пропозицій</t>
        </is>
      </c>
      <c r="H178" t="inlineStr">
        <is>
          <t>Машини для обробки даних (апаратна частина)</t>
        </is>
      </c>
      <c r="I178" t="inlineStr">
        <is>
          <t>договір</t>
        </is>
      </c>
    </row>
    <row r="179">
      <c r="A179" s="4" t="inlineStr">
        <is>
          <t>UA-2025-11-13-011847-a</t>
        </is>
      </c>
      <c r="B179" t="inlineStr">
        <is>
          <t>2025-11-28</t>
        </is>
      </c>
      <c r="C179" t="inlineStr">
        <is>
          <t>Військова частина 9971</t>
        </is>
      </c>
      <c r="D179" t="inlineStr">
        <is>
          <t>Волинська область</t>
        </is>
      </c>
      <c r="E179" s="13" t="n">
        <v>91800</v>
      </c>
      <c r="F179" s="13" t="n">
        <v>93600</v>
      </c>
      <c r="G179" t="inlineStr">
        <is>
          <t>Відкриті торги (нові)</t>
        </is>
      </c>
      <c r="H179" t="inlineStr">
        <is>
          <t>Машини для обробки даних (апаратна частина)</t>
        </is>
      </c>
      <c r="I179" t="inlineStr">
        <is>
          <t>договір</t>
        </is>
      </c>
    </row>
    <row r="180">
      <c r="A180" s="4" t="inlineStr">
        <is>
          <t>UA-2026-04-25-000383-a</t>
        </is>
      </c>
      <c r="B180" t="inlineStr">
        <is>
          <t>2026-05-13</t>
        </is>
      </c>
      <c r="C180" t="inlineStr">
        <is>
          <t>ВІЙСЬКОВА ЧАСТИНА 1141 НАЦІОНАЛЬНОЇ ГВАРДІЇ УКРАЇНИ</t>
        </is>
      </c>
      <c r="D180" t="inlineStr">
        <is>
          <t>Волинська область</t>
        </is>
      </c>
      <c r="E180" s="13" t="n">
        <v>89988</v>
      </c>
      <c r="F180" s="13" t="n">
        <v>96000</v>
      </c>
      <c r="G180" t="inlineStr">
        <is>
          <t>Допорогова</t>
        </is>
      </c>
      <c r="H180" t="inlineStr">
        <is>
          <t>Машини для обробки даних (апаратна частина)</t>
        </is>
      </c>
      <c r="I180" t="inlineStr">
        <is>
          <t>договір</t>
        </is>
      </c>
    </row>
    <row r="181">
      <c r="A181" s="4" t="inlineStr">
        <is>
          <t>UA-2025-09-15-004289-a</t>
        </is>
      </c>
      <c r="B181" t="inlineStr">
        <is>
          <t>2025-09-22</t>
        </is>
      </c>
      <c r="C181" t="inlineStr">
        <is>
          <t>ВИКОНАВЧИЙ КОМІТЕТ НОВОВОЛИНСЬКОЇ МІСЬКОЇ РАДИ</t>
        </is>
      </c>
      <c r="D181" t="inlineStr">
        <is>
          <t>Волинська область</t>
        </is>
      </c>
      <c r="E181" s="13" t="n">
        <v>71250</v>
      </c>
      <c r="F181" s="13" t="n">
        <v>125000</v>
      </c>
      <c r="G181" t="inlineStr">
        <is>
          <t>Запит пропозицій</t>
        </is>
      </c>
      <c r="H181" t="inlineStr">
        <is>
          <t>Машини для обробки даних (апаратна частина)</t>
        </is>
      </c>
      <c r="I181" t="inlineStr">
        <is>
          <t>договір</t>
        </is>
      </c>
    </row>
    <row r="182">
      <c r="A182" s="4" t="inlineStr">
        <is>
          <t>UA-2026-04-25-000392-a</t>
        </is>
      </c>
      <c r="B182" t="inlineStr">
        <is>
          <t>2026-05-09</t>
        </is>
      </c>
      <c r="C182" t="inlineStr">
        <is>
          <t>ВІЙСЬКОВА ЧАСТИНА 1141 НАЦІОНАЛЬНОЇ ГВАРДІЇ УКРАЇНИ</t>
        </is>
      </c>
      <c r="D182" t="inlineStr">
        <is>
          <t>Волинська область</t>
        </is>
      </c>
      <c r="E182" s="13" t="n">
        <v>44994</v>
      </c>
      <c r="F182" s="13" t="n">
        <v>48000</v>
      </c>
      <c r="G182" t="inlineStr">
        <is>
          <t>Допорогова</t>
        </is>
      </c>
      <c r="H182" t="inlineStr">
        <is>
          <t>Машини для обробки даних (апаратна частина)</t>
        </is>
      </c>
      <c r="I182" t="inlineStr">
        <is>
          <t>договір</t>
        </is>
      </c>
    </row>
    <row r="183">
      <c r="A183" s="4" t="inlineStr">
        <is>
          <t>UA-2026-06-29-007703-a</t>
        </is>
      </c>
      <c r="B183" t="inlineStr">
        <is>
          <t>2026-06-29</t>
        </is>
      </c>
      <c r="C183" t="inlineStr">
        <is>
          <t>МАР'ЯНІВСЬКА СЕЛИЩНА РАДА</t>
        </is>
      </c>
      <c r="D183" t="inlineStr">
        <is>
          <t>Волинська область</t>
        </is>
      </c>
      <c r="E183" s="13" t="n">
        <v>36999</v>
      </c>
      <c r="F183" s="13" t="n">
        <v>36999</v>
      </c>
      <c r="G183" t="inlineStr">
        <is>
          <t>Звіт про договір</t>
        </is>
      </c>
      <c r="H183" t="inlineStr">
        <is>
          <t>Машини для обробки даних (апаратна частина)</t>
        </is>
      </c>
      <c r="I183" t="inlineStr">
        <is>
          <t>договір</t>
        </is>
      </c>
    </row>
    <row r="184">
      <c r="A184" s="4" t="inlineStr">
        <is>
          <t>UA-2026-02-11-015123-a</t>
        </is>
      </c>
      <c r="B184" t="inlineStr">
        <is>
          <t>2026-02-20</t>
        </is>
      </c>
      <c r="C184" t="inlineStr">
        <is>
          <t>ВІЙСЬКОВА ЧАСТИНА 1141 НАЦІОНАЛЬНОЇ ГВАРДІЇ УКРАЇНИ</t>
        </is>
      </c>
      <c r="D184" t="inlineStr">
        <is>
          <t>Волинська область</t>
        </is>
      </c>
      <c r="E184" s="13" t="n">
        <v>36396</v>
      </c>
      <c r="F184" s="13" t="n">
        <v>38396</v>
      </c>
      <c r="G184" t="inlineStr">
        <is>
          <t>Запит пропозицій</t>
        </is>
      </c>
      <c r="H184" t="inlineStr">
        <is>
          <t>Комп’ютерне обладнання</t>
        </is>
      </c>
      <c r="I184" t="inlineStr">
        <is>
          <t>договір</t>
        </is>
      </c>
    </row>
    <row r="185">
      <c r="A185" s="4" t="inlineStr">
        <is>
          <t>UA-2026-03-18-000028-a</t>
        </is>
      </c>
      <c r="B185" t="inlineStr">
        <is>
          <t>2026-04-02</t>
        </is>
      </c>
      <c r="C185" t="inlineStr">
        <is>
          <t>ВІЙСЬКОВА ЧАСТИНА 1141 НАЦІОНАЛЬНОЇ ГВАРДІЇ УКРАЇНИ</t>
        </is>
      </c>
      <c r="D185" t="inlineStr">
        <is>
          <t>Волинська область</t>
        </is>
      </c>
      <c r="E185" s="13" t="n">
        <v>33597</v>
      </c>
      <c r="F185" s="13" t="n">
        <v>33660</v>
      </c>
      <c r="G185" t="inlineStr">
        <is>
          <t>Допорогова</t>
        </is>
      </c>
      <c r="H185" t="inlineStr">
        <is>
          <t>Машини для обробки даних (апаратна частина)</t>
        </is>
      </c>
      <c r="I185" t="inlineStr">
        <is>
          <t>договір</t>
        </is>
      </c>
    </row>
    <row r="186">
      <c r="A186" s="4" t="inlineStr">
        <is>
          <t>UA-2025-10-02-005717-a</t>
        </is>
      </c>
      <c r="B186" t="inlineStr">
        <is>
          <t>2025-10-10</t>
        </is>
      </c>
      <c r="C186" t="inlineStr">
        <is>
          <t>Квартирно - експлуатаційний відділ м. Володимир</t>
        </is>
      </c>
      <c r="D186" t="inlineStr">
        <is>
          <t>Волинська область</t>
        </is>
      </c>
      <c r="E186" s="13" t="n">
        <v>13200</v>
      </c>
      <c r="F186" s="13" t="n">
        <v>13692</v>
      </c>
      <c r="G186" t="inlineStr">
        <is>
          <t>Запит пропозицій</t>
        </is>
      </c>
      <c r="H186" t="inlineStr">
        <is>
          <t>Машини для обробки даних (апаратна частина)</t>
        </is>
      </c>
      <c r="I186" t="inlineStr">
        <is>
          <t>договір</t>
        </is>
      </c>
    </row>
    <row r="187">
      <c r="A187" s="4" t="inlineStr">
        <is>
          <t>UA-2026-02-16-013850-a</t>
        </is>
      </c>
      <c r="B187" t="inlineStr">
        <is>
          <t>2026-03-09</t>
        </is>
      </c>
      <c r="C187" t="inlineStr">
        <is>
          <t>ВІЙСЬКОВА ЧАСТИНА 1141 НАЦІОНАЛЬНОЇ ГВАРДІЇ УКРАЇНИ</t>
        </is>
      </c>
      <c r="D187" t="inlineStr">
        <is>
          <t>Волинська область</t>
        </is>
      </c>
      <c r="E187" s="13" t="n">
        <v>6498</v>
      </c>
      <c r="F187" s="13" t="n">
        <v>6942.33</v>
      </c>
      <c r="G187" t="inlineStr">
        <is>
          <t>Допорогова</t>
        </is>
      </c>
      <c r="H187" t="inlineStr">
        <is>
          <t>Комп’ютерне обладнання</t>
        </is>
      </c>
      <c r="I187" t="inlineStr">
        <is>
          <t>договір</t>
        </is>
      </c>
    </row>
    <row r="188">
      <c r="A188" s="4" t="inlineStr">
        <is>
          <t>UA-2026-02-19-013081-a</t>
        </is>
      </c>
      <c r="B188" t="inlineStr">
        <is>
          <t>2026-03-09</t>
        </is>
      </c>
      <c r="C188" t="inlineStr">
        <is>
          <t>ВІЙСЬКОВА ЧАСТИНА 1141 НАЦІОНАЛЬНОЇ ГВАРДІЇ УКРАЇНИ</t>
        </is>
      </c>
      <c r="D188" t="inlineStr">
        <is>
          <t>Волинська область</t>
        </is>
      </c>
      <c r="E188" s="13" t="n">
        <v>6300</v>
      </c>
      <c r="F188" s="13" t="n">
        <v>6599</v>
      </c>
      <c r="G188" t="inlineStr">
        <is>
          <t>Допорогова</t>
        </is>
      </c>
      <c r="H188" t="inlineStr">
        <is>
          <t>Комп’ютерне обладнання</t>
        </is>
      </c>
      <c r="I188" t="inlineStr">
        <is>
          <t>договір</t>
        </is>
      </c>
    </row>
    <row r="189">
      <c r="A189" s="4" t="inlineStr">
        <is>
          <t>UA-2026-02-12-011618-a</t>
        </is>
      </c>
      <c r="B189" t="inlineStr">
        <is>
          <t>2026-02-20</t>
        </is>
      </c>
      <c r="C189" t="inlineStr">
        <is>
          <t>ВІЙСЬКОВА ЧАСТИНА 1141 НАЦІОНАЛЬНОЇ ГВАРДІЇ УКРАЇНИ</t>
        </is>
      </c>
      <c r="D189" t="inlineStr">
        <is>
          <t>Волинська область</t>
        </is>
      </c>
      <c r="E189" s="13" t="n">
        <v>900</v>
      </c>
      <c r="F189" s="13" t="n">
        <v>1359.33</v>
      </c>
      <c r="G189" t="inlineStr">
        <is>
          <t>Запит пропозицій</t>
        </is>
      </c>
      <c r="H189" t="inlineStr">
        <is>
          <t>Комп’ютерне обладнання</t>
        </is>
      </c>
      <c r="I189" t="inlineStr">
        <is>
          <t>договір</t>
        </is>
      </c>
    </row>
    <row r="191">
      <c r="A191" s="2" t="inlineStr">
        <is>
          <t>Наші зустрічі</t>
        </is>
      </c>
    </row>
    <row r="192">
      <c r="A192" s="11" t="inlineStr">
        <is>
          <t>Закупівля</t>
        </is>
      </c>
      <c r="B192" s="11" t="inlineStr">
        <is>
          <t>Дата</t>
        </is>
      </c>
      <c r="C192" s="11" t="inlineStr">
        <is>
          <t>Замовник</t>
        </is>
      </c>
      <c r="D192" s="11" t="inlineStr">
        <is>
          <t>Предмет</t>
        </is>
      </c>
      <c r="E192" s="11" t="inlineStr">
        <is>
          <t>Сума переможця, грн</t>
        </is>
      </c>
      <c r="F192" s="11" t="inlineStr">
        <is>
          <t>Наша пропозиція, грн</t>
        </is>
      </c>
      <c r="G192" s="11" t="inlineStr">
        <is>
          <t>Розрив</t>
        </is>
      </c>
      <c r="H192" s="11" t="inlineStr">
        <is>
          <t>Що сталося</t>
        </is>
      </c>
    </row>
    <row r="193">
      <c r="A193" s="4" t="inlineStr">
        <is>
          <t>UA-2026-02-16-010196-a</t>
        </is>
      </c>
      <c r="B193" t="inlineStr">
        <is>
          <t>2026-02-16</t>
        </is>
      </c>
      <c r="C193" t="inlineStr">
        <is>
          <t>Військова частина 9971</t>
        </is>
      </c>
      <c r="D193" t="inlineStr">
        <is>
          <t>Моноблок</t>
        </is>
      </c>
      <c r="E193" s="13" t="n">
        <v>757026</v>
      </c>
      <c r="F193" s="13" t="n">
        <v>757030.5</v>
      </c>
      <c r="G193" s="12" t="n">
        <v>0</v>
      </c>
      <c r="H193" t="inlineStr">
        <is>
          <t>програли за ціною</t>
        </is>
      </c>
    </row>
    <row r="194">
      <c r="A194" s="4" t="inlineStr">
        <is>
          <t>UA-2026-01-23-013674-a</t>
        </is>
      </c>
      <c r="B194" t="inlineStr">
        <is>
          <t>2026-01-23</t>
        </is>
      </c>
      <c r="C194" t="inlineStr">
        <is>
          <t>КНП «Камінь-Каширська центральна районна лікарня» Камінь-Каширської міської ради Волинської області</t>
        </is>
      </c>
      <c r="D194" t="inlineStr">
        <is>
          <t>ДК 021:2015:30210000-4 Машини для обробки даних (апаратна частина) (Моноблоки)</t>
        </is>
      </c>
      <c r="E194" s="13" t="n">
        <v>136800</v>
      </c>
      <c r="F194" s="13" t="n"/>
      <c r="G194" s="12" t="n"/>
      <c r="H194" t="inlineStr">
        <is>
          <t>ми не подавалися</t>
        </is>
      </c>
    </row>
    <row r="195">
      <c r="A195" s="4" t="inlineStr">
        <is>
          <t>UA-2026-02-12-014782-a</t>
        </is>
      </c>
      <c r="B195" t="inlineStr">
        <is>
          <t>2026-02-12</t>
        </is>
      </c>
      <c r="C195" t="inlineStr">
        <is>
          <t>ВІЙСЬКОВА ЧАСТИНА 1141 НАЦІОНАЛЬНОЇ ГВАРДІЇ УКРАЇНИ</t>
        </is>
      </c>
      <c r="D195" t="inlineStr">
        <is>
          <t>Комп'ютер ARTLINE Gaming X43 (X43v45)</t>
        </is>
      </c>
      <c r="E195" s="13" t="n">
        <v>129828</v>
      </c>
      <c r="F195" s="13" t="n"/>
      <c r="G195" s="12" t="n"/>
      <c r="H195" t="inlineStr">
        <is>
          <t>ми не подавалися</t>
        </is>
      </c>
    </row>
    <row r="196">
      <c r="A196" s="4" t="inlineStr">
        <is>
          <t>UA-2025-11-13-011847-a</t>
        </is>
      </c>
      <c r="B196" t="inlineStr">
        <is>
          <t>2025-11-13</t>
        </is>
      </c>
      <c r="C196" t="inlineStr">
        <is>
          <t>Військова частина 9971</t>
        </is>
      </c>
      <c r="D196" t="inlineStr">
        <is>
          <t>Моноблок</t>
        </is>
      </c>
      <c r="E196" s="13" t="n">
        <v>91800</v>
      </c>
      <c r="F196" s="13" t="n"/>
      <c r="G196" s="12" t="n"/>
      <c r="H196" t="inlineStr">
        <is>
          <t>ми не подавалися</t>
        </is>
      </c>
    </row>
    <row r="197">
      <c r="A197" s="4" t="inlineStr">
        <is>
          <t>UA-2026-04-25-000383-a</t>
        </is>
      </c>
      <c r="B197" t="inlineStr">
        <is>
          <t>2026-04-25</t>
        </is>
      </c>
      <c r="C197" t="inlineStr">
        <is>
          <t>ВІЙСЬКОВА ЧАСТИНА 1141 НАЦІОНАЛЬНОЇ ГВАРДІЇ УКРАЇНИ</t>
        </is>
      </c>
      <c r="D197" t="inlineStr">
        <is>
          <t>Комп’ютер ARTLINE Home H57v17 або еквівалент</t>
        </is>
      </c>
      <c r="E197" s="13" t="n">
        <v>89988</v>
      </c>
      <c r="F197" s="13" t="n"/>
      <c r="G197" s="12" t="n"/>
      <c r="H197" t="inlineStr">
        <is>
          <t>ми не подавалися</t>
        </is>
      </c>
    </row>
    <row r="198">
      <c r="A198" s="4" t="inlineStr">
        <is>
          <t>UA-2026-08-03-004932-a</t>
        </is>
      </c>
      <c r="B198" t="inlineStr">
        <is>
          <t>2026-08-03</t>
        </is>
      </c>
      <c r="C198" t="inlineStr">
        <is>
          <t>Квартирно - експлуатаційний відділ м. Володимир</t>
        </is>
      </c>
      <c r="D198" t="inlineStr">
        <is>
          <t>Моноблок ARTLINE Business M61 (M61v34)</t>
        </is>
      </c>
      <c r="E198" s="13" t="n">
        <v>89846.25</v>
      </c>
      <c r="F198" s="13" t="n"/>
      <c r="G198" s="12" t="n"/>
      <c r="H198" t="inlineStr">
        <is>
          <t>ми не подавалися</t>
        </is>
      </c>
    </row>
    <row r="199">
      <c r="A199" s="4" t="inlineStr">
        <is>
          <t>UA-2025-09-15-004289-a</t>
        </is>
      </c>
      <c r="B199" t="inlineStr">
        <is>
          <t>2025-09-15</t>
        </is>
      </c>
      <c r="C199" t="inlineStr">
        <is>
          <t>ВИКОНАВЧИЙ КОМІТЕТ НОВОВОЛИНСЬКОЇ МІСЬКОЇ РАДИ</t>
        </is>
      </c>
      <c r="D199" t="inlineStr">
        <is>
          <t>Моноблок Artline Business M61 v 25</t>
        </is>
      </c>
      <c r="E199" s="13" t="n">
        <v>71250</v>
      </c>
      <c r="F199" s="13" t="n"/>
      <c r="G199" s="12" t="n"/>
      <c r="H199" t="inlineStr">
        <is>
          <t>ми не подавалися</t>
        </is>
      </c>
    </row>
    <row r="200">
      <c r="A200" s="4" t="inlineStr">
        <is>
          <t>UA-2026-04-25-000392-a</t>
        </is>
      </c>
      <c r="B200" t="inlineStr">
        <is>
          <t>2026-04-25</t>
        </is>
      </c>
      <c r="C200" t="inlineStr">
        <is>
          <t>ВІЙСЬКОВА ЧАСТИНА 1141 НАЦІОНАЛЬНОЇ ГВАРДІЇ УКРАЇНИ</t>
        </is>
      </c>
      <c r="D200" t="inlineStr">
        <is>
          <t>Комп’ютер ARTLINE Home H57v17 або еквівалент.</t>
        </is>
      </c>
      <c r="E200" s="13" t="n">
        <v>44994</v>
      </c>
      <c r="F200" s="13" t="n"/>
      <c r="G200" s="12" t="n"/>
      <c r="H200" t="inlineStr">
        <is>
          <t>ми не подавалися</t>
        </is>
      </c>
    </row>
    <row r="201">
      <c r="A201" s="4" t="inlineStr">
        <is>
          <t>UA-2026-06-29-007703-a</t>
        </is>
      </c>
      <c r="B201" t="inlineStr">
        <is>
          <t>2026-06-29</t>
        </is>
      </c>
      <c r="C201" t="inlineStr">
        <is>
          <t>МАР'ЯНІВСЬКА СЕЛИЩНА РАДА</t>
        </is>
      </c>
      <c r="D201" t="inlineStr">
        <is>
          <t>Ноутбук HP 17-cp2046ua 17.3 FHD IPS, 300n /Ryzen 5-7520U</t>
        </is>
      </c>
      <c r="E201" s="13" t="n">
        <v>36999</v>
      </c>
      <c r="F201" s="13" t="n"/>
      <c r="G201" s="12" t="n"/>
      <c r="H201" t="inlineStr">
        <is>
          <t>ми не подавалися</t>
        </is>
      </c>
    </row>
    <row r="202">
      <c r="A202" s="4" t="inlineStr">
        <is>
          <t>UA-2026-02-11-015123-a</t>
        </is>
      </c>
      <c r="B202" t="inlineStr">
        <is>
          <t>2026-02-11</t>
        </is>
      </c>
      <c r="C202" t="inlineStr">
        <is>
          <t>ВІЙСЬКОВА ЧАСТИНА 1141 НАЦІОНАЛЬНОЇ ГВАРДІЇ УКРАЇНИ</t>
        </is>
      </c>
      <c r="D202" t="inlineStr">
        <is>
          <t>Монітори</t>
        </is>
      </c>
      <c r="E202" s="13" t="n">
        <v>36396</v>
      </c>
      <c r="F202" s="13" t="n"/>
      <c r="G202" s="12" t="n"/>
      <c r="H202" t="inlineStr">
        <is>
          <t>ми не подавалися</t>
        </is>
      </c>
    </row>
    <row r="203">
      <c r="A203" s="4" t="inlineStr">
        <is>
          <t>UA-2026-03-18-000028-a</t>
        </is>
      </c>
      <c r="B203" t="inlineStr">
        <is>
          <t>2026-03-18</t>
        </is>
      </c>
      <c r="C203" t="inlineStr">
        <is>
          <t>ВІЙСЬКОВА ЧАСТИНА 1141 НАЦІОНАЛЬНОЇ ГВАРДІЇ УКРАЇНИ</t>
        </is>
      </c>
      <c r="D203" t="inlineStr">
        <is>
          <t>комп'ютер ARTLINE Gaming X43</t>
        </is>
      </c>
      <c r="E203" s="13" t="n">
        <v>33597</v>
      </c>
      <c r="F203" s="13" t="n"/>
      <c r="G203" s="12" t="n"/>
      <c r="H203" t="inlineStr">
        <is>
          <t>ми не подавалися</t>
        </is>
      </c>
    </row>
    <row r="204">
      <c r="A204" s="4" t="inlineStr">
        <is>
          <t>UA-2025-10-02-005717-a</t>
        </is>
      </c>
      <c r="B204" t="inlineStr">
        <is>
          <t>2025-10-02</t>
        </is>
      </c>
      <c r="C204" t="inlineStr">
        <is>
          <t>Квартирно - експлуатаційний відділ м. Володимир</t>
        </is>
      </c>
      <c r="D204" t="inlineStr">
        <is>
          <t>Моноблоки</t>
        </is>
      </c>
      <c r="E204" s="13" t="n">
        <v>13200</v>
      </c>
      <c r="F204" s="13" t="n"/>
      <c r="G204" s="12" t="n"/>
      <c r="H204" t="inlineStr">
        <is>
          <t>ми не подавалися</t>
        </is>
      </c>
    </row>
    <row r="205">
      <c r="A205" s="4" t="inlineStr">
        <is>
          <t>UA-2026-02-16-013850-a</t>
        </is>
      </c>
      <c r="B205" t="inlineStr">
        <is>
          <t>2026-02-16</t>
        </is>
      </c>
      <c r="C205" t="inlineStr">
        <is>
          <t>ВІЙСЬКОВА ЧАСТИНА 1141 НАЦІОНАЛЬНОЇ ГВАРДІЇ УКРАЇНИ</t>
        </is>
      </c>
      <c r="D205" t="inlineStr">
        <is>
          <t>Монітор 31.5 " 2Е D3224B</t>
        </is>
      </c>
      <c r="E205" s="13" t="n">
        <v>6498</v>
      </c>
      <c r="F205" s="13" t="n"/>
      <c r="G205" s="12" t="n"/>
      <c r="H205" t="inlineStr">
        <is>
          <t>ми не подавалися</t>
        </is>
      </c>
    </row>
    <row r="206">
      <c r="A206" s="4" t="inlineStr">
        <is>
          <t>UA-2026-02-19-013081-a</t>
        </is>
      </c>
      <c r="B206" t="inlineStr">
        <is>
          <t>2026-02-19</t>
        </is>
      </c>
      <c r="C206" t="inlineStr">
        <is>
          <t>ВІЙСЬКОВА ЧАСТИНА 1141 НАЦІОНАЛЬНОЇ ГВАРДІЇ УКРАЇНИ</t>
        </is>
      </c>
      <c r="D206" t="inlineStr">
        <is>
          <t>Монітор Samsung G3</t>
        </is>
      </c>
      <c r="E206" s="13" t="n">
        <v>6300</v>
      </c>
      <c r="F206" s="13" t="n"/>
      <c r="G206" s="12" t="n"/>
      <c r="H206" t="inlineStr">
        <is>
          <t>ми не подавалися</t>
        </is>
      </c>
    </row>
    <row r="207">
      <c r="A207" s="4" t="inlineStr">
        <is>
          <t>UA-2026-02-12-011618-a</t>
        </is>
      </c>
      <c r="B207" t="inlineStr">
        <is>
          <t>2026-02-12</t>
        </is>
      </c>
      <c r="C207" t="inlineStr">
        <is>
          <t>ВІЙСЬКОВА ЧАСТИНА 1141 НАЦІОНАЛЬНОЇ ГВАРДІЇ УКРАЇНИ</t>
        </is>
      </c>
      <c r="D207" t="inlineStr">
        <is>
          <t>Клавіатури в комплекті з мишею Logitech MK250</t>
        </is>
      </c>
      <c r="E207" s="13" t="n">
        <v>900</v>
      </c>
      <c r="F207" s="13" t="n"/>
      <c r="G207" s="12" t="n"/>
      <c r="H207" t="inlineStr">
        <is>
          <t>ми не подавалися</t>
        </is>
      </c>
    </row>
    <row r="209">
      <c r="A209" s="8" t="inlineStr">
        <is>
          <t>Сильні сторони</t>
        </is>
      </c>
    </row>
    <row r="210">
      <c r="A210" t="inlineStr">
        <is>
          <t>+  монобрендовість із власною ТМ Artline (66,7% позицій)</t>
        </is>
      </c>
    </row>
    <row r="211">
      <c r="A211" t="inlineStr">
        <is>
          <t>+  наявність сертифікатів (22 файлів)</t>
        </is>
      </c>
    </row>
    <row r="212">
      <c r="A212" t="inlineStr">
        <is>
          <t>+  авторизація виробника (15 листів)</t>
        </is>
      </c>
    </row>
    <row r="213">
      <c r="A213" t="inlineStr">
        <is>
          <t>+  висока результативність на торгах (66,7%)</t>
        </is>
      </c>
    </row>
    <row r="214">
      <c r="A214" t="inlineStr">
        <is>
          <t>+  стабільна база замовників (60,0% повторних)</t>
        </is>
      </c>
    </row>
    <row r="215">
      <c r="A215" t="inlineStr">
        <is>
          <t>+  зростання (126% у другій половині періоду)</t>
        </is>
      </c>
    </row>
    <row r="216">
      <c r="A216" t="inlineStr">
        <is>
          <t>+  уміє вигравати у відкритих торгах</t>
        </is>
      </c>
    </row>
    <row r="217">
      <c r="A217" t="inlineStr">
        <is>
          <t>+  працює з великими контрактами</t>
        </is>
      </c>
    </row>
    <row r="219">
      <c r="A219" s="8" t="inlineStr">
        <is>
          <t>Слабкі сторони</t>
        </is>
      </c>
    </row>
    <row r="220">
      <c r="A220" t="inlineStr">
        <is>
          <t>−  слабка цінова позиція: дисконт 4,7% проти 8,3% по ринку</t>
        </is>
      </c>
    </row>
  </sheetData>
  <hyperlinks>
    <hyperlink xmlns:r="http://schemas.openxmlformats.org/officeDocument/2006/relationships" ref="A171" r:id="rId1"/>
    <hyperlink xmlns:r="http://schemas.openxmlformats.org/officeDocument/2006/relationships" ref="A175" r:id="rId2"/>
    <hyperlink xmlns:r="http://schemas.openxmlformats.org/officeDocument/2006/relationships" ref="A176" r:id="rId3"/>
    <hyperlink xmlns:r="http://schemas.openxmlformats.org/officeDocument/2006/relationships" ref="A177" r:id="rId4"/>
    <hyperlink xmlns:r="http://schemas.openxmlformats.org/officeDocument/2006/relationships" ref="A178" r:id="rId5"/>
    <hyperlink xmlns:r="http://schemas.openxmlformats.org/officeDocument/2006/relationships" ref="A179" r:id="rId6"/>
    <hyperlink xmlns:r="http://schemas.openxmlformats.org/officeDocument/2006/relationships" ref="A180" r:id="rId7"/>
    <hyperlink xmlns:r="http://schemas.openxmlformats.org/officeDocument/2006/relationships" ref="A181" r:id="rId8"/>
    <hyperlink xmlns:r="http://schemas.openxmlformats.org/officeDocument/2006/relationships" ref="A182" r:id="rId9"/>
    <hyperlink xmlns:r="http://schemas.openxmlformats.org/officeDocument/2006/relationships" ref="A183" r:id="rId10"/>
    <hyperlink xmlns:r="http://schemas.openxmlformats.org/officeDocument/2006/relationships" ref="A184" r:id="rId11"/>
    <hyperlink xmlns:r="http://schemas.openxmlformats.org/officeDocument/2006/relationships" ref="A185" r:id="rId12"/>
    <hyperlink xmlns:r="http://schemas.openxmlformats.org/officeDocument/2006/relationships" ref="A186" r:id="rId13"/>
    <hyperlink xmlns:r="http://schemas.openxmlformats.org/officeDocument/2006/relationships" ref="A187" r:id="rId14"/>
    <hyperlink xmlns:r="http://schemas.openxmlformats.org/officeDocument/2006/relationships" ref="A188" r:id="rId15"/>
    <hyperlink xmlns:r="http://schemas.openxmlformats.org/officeDocument/2006/relationships" ref="A189" r:id="rId16"/>
    <hyperlink xmlns:r="http://schemas.openxmlformats.org/officeDocument/2006/relationships" ref="A193" r:id="rId17"/>
    <hyperlink xmlns:r="http://schemas.openxmlformats.org/officeDocument/2006/relationships" ref="A194" r:id="rId18"/>
    <hyperlink xmlns:r="http://schemas.openxmlformats.org/officeDocument/2006/relationships" ref="A195" r:id="rId19"/>
    <hyperlink xmlns:r="http://schemas.openxmlformats.org/officeDocument/2006/relationships" ref="A196" r:id="rId20"/>
    <hyperlink xmlns:r="http://schemas.openxmlformats.org/officeDocument/2006/relationships" ref="A197" r:id="rId21"/>
    <hyperlink xmlns:r="http://schemas.openxmlformats.org/officeDocument/2006/relationships" ref="A198" r:id="rId22"/>
    <hyperlink xmlns:r="http://schemas.openxmlformats.org/officeDocument/2006/relationships" ref="A199" r:id="rId23"/>
    <hyperlink xmlns:r="http://schemas.openxmlformats.org/officeDocument/2006/relationships" ref="A200" r:id="rId24"/>
    <hyperlink xmlns:r="http://schemas.openxmlformats.org/officeDocument/2006/relationships" ref="A201" r:id="rId25"/>
    <hyperlink xmlns:r="http://schemas.openxmlformats.org/officeDocument/2006/relationships" ref="A202" r:id="rId26"/>
    <hyperlink xmlns:r="http://schemas.openxmlformats.org/officeDocument/2006/relationships" ref="A203" r:id="rId27"/>
    <hyperlink xmlns:r="http://schemas.openxmlformats.org/officeDocument/2006/relationships" ref="A204" r:id="rId28"/>
    <hyperlink xmlns:r="http://schemas.openxmlformats.org/officeDocument/2006/relationships" ref="A205" r:id="rId29"/>
    <hyperlink xmlns:r="http://schemas.openxmlformats.org/officeDocument/2006/relationships" ref="A206" r:id="rId30"/>
    <hyperlink xmlns:r="http://schemas.openxmlformats.org/officeDocument/2006/relationships" ref="A207" r:id="rId31"/>
  </hyperlinks>
  <pageMargins left="0.75" right="0.75" top="1" bottom="1" header="0.5" footer="0.5"/>
  <drawing xmlns:r="http://schemas.openxmlformats.org/officeDocument/2006/relationships" r:id="rId32"/>
  <tableParts count="6">
    <tablePart xmlns:r="http://schemas.openxmlformats.org/officeDocument/2006/relationships" r:id="rId33"/>
    <tablePart xmlns:r="http://schemas.openxmlformats.org/officeDocument/2006/relationships" r:id="rId34"/>
    <tablePart xmlns:r="http://schemas.openxmlformats.org/officeDocument/2006/relationships" r:id="rId35"/>
    <tablePart xmlns:r="http://schemas.openxmlformats.org/officeDocument/2006/relationships" r:id="rId36"/>
    <tablePart xmlns:r="http://schemas.openxmlformats.org/officeDocument/2006/relationships" r:id="rId37"/>
    <tablePart xmlns:r="http://schemas.openxmlformats.org/officeDocument/2006/relationships" r:id="rId38"/>
  </tableParts>
</worksheet>
</file>

<file path=xl/worksheets/sheet31.xml><?xml version="1.0" encoding="utf-8"?>
<worksheet xmlns="http://schemas.openxmlformats.org/spreadsheetml/2006/main">
  <sheetPr>
    <outlinePr summaryBelow="1" summaryRight="1"/>
    <pageSetUpPr/>
  </sheetPr>
  <dimension ref="A1:I121"/>
  <sheetViews>
    <sheetView showGridLines="0" workbookViewId="0">
      <selection activeCell="A1" sqref="A1"/>
    </sheetView>
  </sheetViews>
  <sheetFormatPr baseColWidth="8" defaultRowHeight="15"/>
  <cols>
    <col width="42" customWidth="1" min="1" max="1"/>
    <col width="25" customWidth="1" min="2" max="2"/>
    <col width="50" customWidth="1" min="3" max="3"/>
    <col width="60" customWidth="1" min="4" max="4"/>
    <col width="21" customWidth="1" min="5" max="5"/>
    <col width="22" customWidth="1" min="6" max="6"/>
    <col width="23" customWidth="1" min="7" max="7"/>
    <col width="45" customWidth="1" min="8" max="8"/>
    <col width="23" customWidth="1" min="9" max="9"/>
  </cols>
  <sheetData>
    <row r="1">
      <c r="A1" s="1" t="inlineStr">
        <is>
          <t>ТОВ "СМАРТ ТЕХНОЛОГІЇ В ОСВІТІ"</t>
        </is>
      </c>
    </row>
    <row r="2">
      <c r="A2" s="6" t="inlineStr">
        <is>
          <t>ЄДРПОУ 37570093  ·  конкурент  ·  місце №18</t>
        </is>
      </c>
    </row>
    <row r="4">
      <c r="A4" s="7" t="inlineStr">
        <is>
          <t>ТОВ "СМАРТ ТЕХНОЛОГІЇ В ОСВІТІ" (37570093)</t>
        </is>
      </c>
    </row>
    <row r="6">
      <c r="A6" s="8" t="inlineStr">
        <is>
          <t>Показники</t>
        </is>
      </c>
    </row>
    <row r="7">
      <c r="A7" s="9" t="inlineStr">
        <is>
          <t>Місце на ринку</t>
        </is>
      </c>
      <c r="B7" s="10" t="inlineStr">
        <is>
          <t>№18</t>
        </is>
      </c>
    </row>
    <row r="8">
      <c r="A8" s="9" t="inlineStr">
        <is>
          <t>Сума угод</t>
        </is>
      </c>
      <c r="B8" s="10" t="inlineStr">
        <is>
          <t>1,4 млн грн</t>
        </is>
      </c>
    </row>
    <row r="9">
      <c r="A9" s="9" t="inlineStr">
        <is>
          <t>Частка ринку</t>
        </is>
      </c>
      <c r="B9" s="10" t="inlineStr">
        <is>
          <t>1,2%</t>
        </is>
      </c>
    </row>
    <row r="10">
      <c r="A10" s="9" t="inlineStr">
        <is>
          <t>Угод</t>
        </is>
      </c>
      <c r="B10" s="10" t="inlineStr">
        <is>
          <t>2</t>
        </is>
      </c>
    </row>
    <row r="11">
      <c r="A11" s="9" t="inlineStr">
        <is>
          <t>Закупівель виграно</t>
        </is>
      </c>
      <c r="B11" s="10" t="inlineStr">
        <is>
          <t>2</t>
        </is>
      </c>
    </row>
    <row r="12">
      <c r="A12" s="9" t="inlineStr">
        <is>
          <t>Подань (де видно)</t>
        </is>
      </c>
      <c r="B12" s="10" t="inlineStr">
        <is>
          <t>2</t>
        </is>
      </c>
    </row>
    <row r="13">
      <c r="A13" s="9" t="inlineStr">
        <is>
          <t>Виграно з поданих</t>
        </is>
      </c>
      <c r="B13" s="10" t="inlineStr">
        <is>
          <t>2 з 2</t>
        </is>
      </c>
    </row>
    <row r="14">
      <c r="A14" s="9" t="inlineStr">
        <is>
          <t>Результативність</t>
        </is>
      </c>
      <c r="B14" s="10" t="inlineStr">
        <is>
          <t>100,0%</t>
        </is>
      </c>
    </row>
    <row r="15">
      <c r="A15" s="9" t="inlineStr">
        <is>
          <t>Середня угода</t>
        </is>
      </c>
      <c r="B15" s="10" t="inlineStr">
        <is>
          <t>709,2 тис. грн</t>
        </is>
      </c>
    </row>
    <row r="16">
      <c r="A16" s="9" t="inlineStr">
        <is>
          <t>Медіанна угода</t>
        </is>
      </c>
      <c r="B16" s="10" t="inlineStr">
        <is>
          <t>709,2 тис. грн</t>
        </is>
      </c>
    </row>
    <row r="17">
      <c r="A17" s="9" t="inlineStr">
        <is>
          <t>Замовників</t>
        </is>
      </c>
      <c r="B17" s="10" t="inlineStr">
        <is>
          <t>2</t>
        </is>
      </c>
    </row>
    <row r="18">
      <c r="A18" s="9" t="inlineStr">
        <is>
          <t>Областей</t>
        </is>
      </c>
      <c r="B18" s="10" t="inlineStr">
        <is>
          <t>1</t>
        </is>
      </c>
    </row>
    <row r="19">
      <c r="A19" s="9" t="inlineStr">
        <is>
          <t>Основна ТМ</t>
        </is>
      </c>
      <c r="B19" s="10" t="inlineStr">
        <is>
          <t>не визначено</t>
        </is>
      </c>
    </row>
    <row r="20">
      <c r="A20" s="9" t="inlineStr">
        <is>
          <t>Основний товар</t>
        </is>
      </c>
      <c r="B20" s="10" t="inlineStr">
        <is>
          <t>Персональний комп'ютер</t>
        </is>
      </c>
    </row>
    <row r="21">
      <c r="A21" s="9" t="inlineStr">
        <is>
          <t>Дисконт (медіана)</t>
        </is>
      </c>
      <c r="B21" s="10" t="inlineStr">
        <is>
          <t>2,2%</t>
        </is>
      </c>
    </row>
    <row r="22">
      <c r="A22" s="9" t="inlineStr">
        <is>
          <t>Повторні замовники</t>
        </is>
      </c>
      <c r="B22" s="10" t="inlineStr">
        <is>
          <t>0,0%</t>
        </is>
      </c>
    </row>
    <row r="23">
      <c r="A23" s="9" t="inlineStr">
        <is>
          <t>Активність</t>
        </is>
      </c>
      <c r="B23" s="10" t="inlineStr">
        <is>
          <t>2026-07-30 — 2026-09-01</t>
        </is>
      </c>
    </row>
    <row r="24">
      <c r="A24" s="9" t="inlineStr">
        <is>
          <t>Зірвано перемог</t>
        </is>
      </c>
      <c r="B24" s="10" t="inlineStr">
        <is>
          <t>—</t>
        </is>
      </c>
    </row>
    <row r="25">
      <c r="A25" s="9" t="inlineStr">
        <is>
          <t>Причина зривів</t>
        </is>
      </c>
      <c r="B25" s="10" t="inlineStr">
        <is>
          <t>—</t>
        </is>
      </c>
    </row>
    <row r="27">
      <c r="A27" s="8" t="inlineStr">
        <is>
          <t>Висновки</t>
        </is>
      </c>
    </row>
    <row r="28">
      <c r="A28" t="inlineStr">
        <is>
          <t>•  18-е місце на ринку: 1,4 млн грн (1,2% обороту)</t>
        </is>
      </c>
    </row>
    <row r="29">
      <c r="A29" t="inlineStr">
        <is>
          <t>•  Основний товар: персональний комп'ютер</t>
        </is>
      </c>
    </row>
    <row r="30">
      <c r="A30" t="inlineStr">
        <is>
          <t>•  Тримає ціну: дисконт 2,2% проти 8,3% по ринку</t>
        </is>
      </c>
    </row>
    <row r="31">
      <c r="A31" t="inlineStr">
        <is>
          <t>•  У поданих файлах — сертифікатів: 8, авторизаційних листів: 3</t>
        </is>
      </c>
    </row>
    <row r="33">
      <c r="A33" s="8" t="inlineStr">
        <is>
          <t>Графіки</t>
        </is>
      </c>
    </row>
    <row r="35">
      <c r="A35" s="2" t="inlineStr">
        <is>
          <t>Динаміка по місяцях</t>
        </is>
      </c>
    </row>
    <row r="36">
      <c r="A36" s="3" t="inlineStr">
        <is>
          <t>Період</t>
        </is>
      </c>
      <c r="B36" s="3" t="inlineStr">
        <is>
          <t>Сума угод, грн</t>
        </is>
      </c>
    </row>
    <row r="37">
      <c r="A37" t="inlineStr">
        <is>
          <t>2026-07</t>
        </is>
      </c>
      <c r="B37" s="5" t="n">
        <v>610000</v>
      </c>
    </row>
    <row r="38">
      <c r="A38" t="inlineStr">
        <is>
          <t>2026-09</t>
        </is>
      </c>
      <c r="B38" s="5" t="n">
        <v>808350</v>
      </c>
    </row>
    <row r="55">
      <c r="A55" s="2" t="inlineStr">
        <is>
          <t>Що саме продає</t>
        </is>
      </c>
    </row>
    <row r="56">
      <c r="A56" s="3" t="inlineStr">
        <is>
          <t>Категорія</t>
        </is>
      </c>
      <c r="B56" s="3" t="inlineStr">
        <is>
          <t>Позицій, шт</t>
        </is>
      </c>
    </row>
    <row r="57">
      <c r="A57" t="inlineStr">
        <is>
          <t>Персональний комп'ютер</t>
        </is>
      </c>
      <c r="B57" s="5" t="n">
        <v>3</v>
      </c>
    </row>
    <row r="71">
      <c r="A71" s="2" t="inlineStr">
        <is>
          <t>Ключові замовники</t>
        </is>
      </c>
    </row>
    <row r="72">
      <c r="A72" s="3" t="inlineStr">
        <is>
          <t>Категорія</t>
        </is>
      </c>
      <c r="B72" s="3" t="inlineStr">
        <is>
          <t>Сума, грн</t>
        </is>
      </c>
    </row>
    <row r="73">
      <c r="A73" t="inlineStr">
        <is>
          <t>ГУМАНІТАРНИЙ ВІДДІЛ ЗАТУРЦІВСЬКОЇ СІЛЬСЬ</t>
        </is>
      </c>
      <c r="B73" s="5" t="n">
        <v>808350</v>
      </c>
    </row>
    <row r="74">
      <c r="A74" t="inlineStr">
        <is>
          <t xml:space="preserve">Гуманітарний відділ Цуманської селищної </t>
        </is>
      </c>
      <c r="B74" s="5" t="n">
        <v>610000</v>
      </c>
    </row>
    <row r="87">
      <c r="A87" s="8" t="inlineStr">
        <is>
          <t>Таблиці</t>
        </is>
      </c>
    </row>
    <row r="89">
      <c r="A89" s="2" t="inlineStr">
        <is>
          <t>Товари</t>
        </is>
      </c>
    </row>
    <row r="90">
      <c r="A90" s="11" t="inlineStr">
        <is>
          <t>Товар</t>
        </is>
      </c>
      <c r="B90" s="11" t="inlineStr">
        <is>
          <t>Позицій</t>
        </is>
      </c>
    </row>
    <row r="91">
      <c r="A91" t="inlineStr">
        <is>
          <t>Персональний комп'ютер</t>
        </is>
      </c>
      <c r="B91" s="5" t="n">
        <v>3</v>
      </c>
    </row>
    <row r="93">
      <c r="A93" s="2" t="inlineStr">
        <is>
          <t>Документи</t>
        </is>
      </c>
    </row>
    <row r="94">
      <c r="A94" s="11" t="inlineStr">
        <is>
          <t>Тип документа</t>
        </is>
      </c>
      <c r="B94" s="11" t="inlineStr">
        <is>
          <t>Файлів</t>
        </is>
      </c>
    </row>
    <row r="95">
      <c r="A95" t="inlineStr">
        <is>
          <t>не класифіковано</t>
        </is>
      </c>
      <c r="B95" s="5" t="n">
        <v>68</v>
      </c>
    </row>
    <row r="96">
      <c r="A96" t="inlineStr">
        <is>
          <t>Установчі та реєстраційні</t>
        </is>
      </c>
      <c r="B96" s="5" t="n">
        <v>19</v>
      </c>
    </row>
    <row r="97">
      <c r="A97" t="inlineStr">
        <is>
          <t>Сертифікат / декларація відповідності</t>
        </is>
      </c>
      <c r="B97" s="5" t="n">
        <v>8</v>
      </c>
    </row>
    <row r="98">
      <c r="A98" t="inlineStr">
        <is>
          <t>Підпис КЕП</t>
        </is>
      </c>
      <c r="B98" s="5" t="n">
        <v>5</v>
      </c>
    </row>
    <row r="99">
      <c r="A99" t="inlineStr">
        <is>
          <t>Лист виробника / авторизація</t>
        </is>
      </c>
      <c r="B99" s="5" t="n">
        <v>3</v>
      </c>
    </row>
    <row r="100">
      <c r="A100" t="inlineStr">
        <is>
          <t>Договір</t>
        </is>
      </c>
      <c r="B100" s="5" t="n">
        <v>1</v>
      </c>
    </row>
    <row r="101">
      <c r="A101" t="inlineStr">
        <is>
          <t>Технічна специфікація</t>
        </is>
      </c>
      <c r="B101" s="5" t="n">
        <v>1</v>
      </c>
    </row>
    <row r="102">
      <c r="A102" t="inlineStr">
        <is>
          <t>Гарантія та сервіс</t>
        </is>
      </c>
      <c r="B102" s="5" t="n">
        <v>1</v>
      </c>
    </row>
    <row r="103">
      <c r="A103" t="inlineStr">
        <is>
          <t>Тендерна документація</t>
        </is>
      </c>
      <c r="B103" s="5" t="n">
        <v>1</v>
      </c>
    </row>
    <row r="105">
      <c r="A105" s="2" t="inlineStr">
        <is>
          <t>Угоди</t>
        </is>
      </c>
    </row>
    <row r="106">
      <c r="A106" s="11" t="inlineStr">
        <is>
          <t>Закупівля</t>
        </is>
      </c>
      <c r="B106" s="11" t="inlineStr">
        <is>
          <t>Дата</t>
        </is>
      </c>
      <c r="C106" s="11" t="inlineStr">
        <is>
          <t>Замовник</t>
        </is>
      </c>
      <c r="D106" s="11" t="inlineStr">
        <is>
          <t>Регіон</t>
        </is>
      </c>
      <c r="E106" s="11" t="inlineStr">
        <is>
          <t>Сума, грн</t>
        </is>
      </c>
      <c r="F106" s="11" t="inlineStr">
        <is>
          <t>Очікувана, грн</t>
        </is>
      </c>
      <c r="G106" s="11" t="inlineStr">
        <is>
          <t>Процедура</t>
        </is>
      </c>
      <c r="H106" s="11" t="inlineStr">
        <is>
          <t>Галузь</t>
        </is>
      </c>
      <c r="I106" s="11" t="inlineStr">
        <is>
          <t>Джерело</t>
        </is>
      </c>
    </row>
    <row r="107">
      <c r="A107" s="4" t="inlineStr">
        <is>
          <t>UA-2026-08-21-012764-a</t>
        </is>
      </c>
      <c r="B107" t="inlineStr">
        <is>
          <t>2026-09-01</t>
        </is>
      </c>
      <c r="C107" t="inlineStr">
        <is>
          <t>ГУМАНІТАРНИЙ ВІДДІЛ ЗАТУРЦІВСЬКОЇ СІЛЬСЬКОЇ РАДИ</t>
        </is>
      </c>
      <c r="D107" t="inlineStr">
        <is>
          <t>Волинська область</t>
        </is>
      </c>
      <c r="E107" s="5" t="n">
        <v>808350</v>
      </c>
      <c r="F107" s="5" t="n">
        <v>825000</v>
      </c>
      <c r="G107" t="inlineStr">
        <is>
          <t>Відкриті торги (нові)</t>
        </is>
      </c>
      <c r="H107" t="inlineStr">
        <is>
          <t>Машини для обробки даних (апаратна частина)</t>
        </is>
      </c>
      <c r="I107" t="inlineStr">
        <is>
          <t>рішення про переможця</t>
        </is>
      </c>
    </row>
    <row r="108">
      <c r="A108" s="4" t="inlineStr">
        <is>
          <t>UA-2026-07-13-003096-a</t>
        </is>
      </c>
      <c r="B108" t="inlineStr">
        <is>
          <t>2026-07-30</t>
        </is>
      </c>
      <c r="C108" t="inlineStr">
        <is>
          <t>Гуманітарний відділ Цуманської селищної ради</t>
        </is>
      </c>
      <c r="D108" t="inlineStr">
        <is>
          <t>Волинська область</t>
        </is>
      </c>
      <c r="E108" s="5" t="n">
        <v>610000</v>
      </c>
      <c r="F108" s="5" t="n">
        <v>625000</v>
      </c>
      <c r="G108" t="inlineStr">
        <is>
          <t>Відкриті торги (нові)</t>
        </is>
      </c>
      <c r="H108" t="inlineStr">
        <is>
          <t>Машини для обробки даних (апаратна частина)</t>
        </is>
      </c>
      <c r="I108" t="inlineStr">
        <is>
          <t>договір</t>
        </is>
      </c>
    </row>
    <row r="110">
      <c r="A110" s="2" t="inlineStr">
        <is>
          <t>Наші зустрічі</t>
        </is>
      </c>
    </row>
    <row r="111">
      <c r="A111" s="11" t="inlineStr">
        <is>
          <t>Закупівля</t>
        </is>
      </c>
      <c r="B111" s="11" t="inlineStr">
        <is>
          <t>Дата</t>
        </is>
      </c>
      <c r="C111" s="11" t="inlineStr">
        <is>
          <t>Замовник</t>
        </is>
      </c>
      <c r="D111" s="11" t="inlineStr">
        <is>
          <t>Предмет</t>
        </is>
      </c>
      <c r="E111" s="11" t="inlineStr">
        <is>
          <t>Сума переможця, грн</t>
        </is>
      </c>
      <c r="F111" s="11" t="inlineStr">
        <is>
          <t>Наша пропозиція, грн</t>
        </is>
      </c>
      <c r="G111" s="11" t="inlineStr">
        <is>
          <t>Розрив</t>
        </is>
      </c>
      <c r="H111" s="11" t="inlineStr">
        <is>
          <t>Що сталося</t>
        </is>
      </c>
    </row>
    <row r="112">
      <c r="A112" s="4" t="inlineStr">
        <is>
          <t>UA-2026-08-21-012764-a</t>
        </is>
      </c>
      <c r="B112" t="inlineStr">
        <is>
          <t>2026-08-21</t>
        </is>
      </c>
      <c r="C112" t="inlineStr">
        <is>
          <t>ГУМАНІТАРНИЙ ВІДДІЛ ЗАТУРЦІВСЬКОЇ СІЛЬСЬКОЇ РАДИ</t>
        </is>
      </c>
      <c r="D112" t="inlineStr">
        <is>
          <t>Персональний комп’ютер форм-фактора десктоп (Код ДК 021:2015 30210000-4 Машини д</t>
        </is>
      </c>
      <c r="E112" s="5" t="n">
        <v>808350</v>
      </c>
      <c r="H112" t="inlineStr">
        <is>
          <t>ми не подавалися</t>
        </is>
      </c>
    </row>
    <row r="113">
      <c r="A113" s="4" t="inlineStr">
        <is>
          <t>UA-2026-07-13-003096-a</t>
        </is>
      </c>
      <c r="B113" t="inlineStr">
        <is>
          <t>2026-07-13</t>
        </is>
      </c>
      <c r="C113" t="inlineStr">
        <is>
          <t>Гуманітарний відділ Цуманської селищної ради</t>
        </is>
      </c>
      <c r="D113" t="inlineStr">
        <is>
          <t>30210000-4 — Машини для обробки даних</t>
        </is>
      </c>
      <c r="E113" s="5" t="n">
        <v>610000</v>
      </c>
      <c r="H113" t="inlineStr">
        <is>
          <t>ми не подавалися</t>
        </is>
      </c>
    </row>
    <row r="115">
      <c r="A115" s="8" t="inlineStr">
        <is>
          <t>Сильні сторони</t>
        </is>
      </c>
    </row>
    <row r="116">
      <c r="A116" t="inlineStr">
        <is>
          <t>+  наявність сертифікатів (8 файлів)</t>
        </is>
      </c>
    </row>
    <row r="117">
      <c r="A117" t="inlineStr">
        <is>
          <t>+  авторизація виробника (3 листів)</t>
        </is>
      </c>
    </row>
    <row r="118">
      <c r="A118" t="inlineStr">
        <is>
          <t>+  працює з великими контрактами</t>
        </is>
      </c>
    </row>
    <row r="120">
      <c r="A120" s="8" t="inlineStr">
        <is>
          <t>Слабкі сторони</t>
        </is>
      </c>
    </row>
    <row r="121">
      <c r="A121" t="inlineStr">
        <is>
          <t>−  слабка цінова позиція: дисконт 2,2% проти 8,3% по ринку</t>
        </is>
      </c>
    </row>
  </sheetData>
  <hyperlinks>
    <hyperlink xmlns:r="http://schemas.openxmlformats.org/officeDocument/2006/relationships" ref="A107" r:id="rId1"/>
    <hyperlink xmlns:r="http://schemas.openxmlformats.org/officeDocument/2006/relationships" ref="A108" r:id="rId2"/>
    <hyperlink xmlns:r="http://schemas.openxmlformats.org/officeDocument/2006/relationships" ref="A112" r:id="rId3"/>
    <hyperlink xmlns:r="http://schemas.openxmlformats.org/officeDocument/2006/relationships" ref="A113" r:id="rId4"/>
  </hyperlinks>
  <pageMargins left="0.75" right="0.75" top="1" bottom="1" header="0.5" footer="0.5"/>
  <drawing xmlns:r="http://schemas.openxmlformats.org/officeDocument/2006/relationships" r:id="rId5"/>
  <tableParts count="4">
    <tablePart xmlns:r="http://schemas.openxmlformats.org/officeDocument/2006/relationships" r:id="rId6"/>
    <tablePart xmlns:r="http://schemas.openxmlformats.org/officeDocument/2006/relationships" r:id="rId7"/>
    <tablePart xmlns:r="http://schemas.openxmlformats.org/officeDocument/2006/relationships" r:id="rId8"/>
    <tablePart xmlns:r="http://schemas.openxmlformats.org/officeDocument/2006/relationships" r:id="rId9"/>
  </tableParts>
</worksheet>
</file>

<file path=xl/worksheets/sheet32.xml><?xml version="1.0" encoding="utf-8"?>
<worksheet xmlns="http://schemas.openxmlformats.org/spreadsheetml/2006/main">
  <sheetPr>
    <outlinePr summaryBelow="1" summaryRight="1"/>
    <pageSetUpPr/>
  </sheetPr>
  <dimension ref="A1:I121"/>
  <sheetViews>
    <sheetView showGridLines="0" workbookViewId="0">
      <selection activeCell="A1" sqref="A1"/>
    </sheetView>
  </sheetViews>
  <sheetFormatPr baseColWidth="8" defaultRowHeight="15"/>
  <cols>
    <col width="42" customWidth="1" min="1" max="1"/>
    <col width="25" customWidth="1" min="2" max="2"/>
    <col width="60" customWidth="1" min="3" max="3"/>
    <col width="60" customWidth="1" min="4" max="4"/>
    <col width="21" customWidth="1" min="5" max="5"/>
    <col width="22" customWidth="1" min="6" max="6"/>
    <col width="23" customWidth="1" min="7" max="7"/>
    <col width="45" customWidth="1" min="8" max="8"/>
    <col width="10" customWidth="1" min="9" max="9"/>
  </cols>
  <sheetData>
    <row r="1">
      <c r="A1" s="1" t="inlineStr">
        <is>
          <t>ФОП "ВАЙДА ГАВРИЛО ІВАНОВИЧ"</t>
        </is>
      </c>
    </row>
    <row r="2">
      <c r="A2" s="6" t="inlineStr">
        <is>
          <t>ЄДРПОУ 1620205276  ·  конкурент  ·  місце №19</t>
        </is>
      </c>
    </row>
    <row r="4">
      <c r="A4" s="7" t="inlineStr">
        <is>
          <t>ФОП "ВАЙДА ГАВРИЛО ІВАНОВИЧ" (1620205276)</t>
        </is>
      </c>
    </row>
    <row r="6">
      <c r="A6" s="8" t="inlineStr">
        <is>
          <t>Показники</t>
        </is>
      </c>
    </row>
    <row r="7">
      <c r="A7" s="9" t="inlineStr">
        <is>
          <t>Місце на ринку</t>
        </is>
      </c>
      <c r="B7" s="10" t="inlineStr">
        <is>
          <t>№19</t>
        </is>
      </c>
    </row>
    <row r="8">
      <c r="A8" s="9" t="inlineStr">
        <is>
          <t>Сума угод</t>
        </is>
      </c>
      <c r="B8" s="10" t="inlineStr">
        <is>
          <t>1,4 млн грн</t>
        </is>
      </c>
    </row>
    <row r="9">
      <c r="A9" s="9" t="inlineStr">
        <is>
          <t>Частка ринку</t>
        </is>
      </c>
      <c r="B9" s="10" t="inlineStr">
        <is>
          <t>1,2%</t>
        </is>
      </c>
    </row>
    <row r="10">
      <c r="A10" s="9" t="inlineStr">
        <is>
          <t>Угод</t>
        </is>
      </c>
      <c r="B10" s="10" t="inlineStr">
        <is>
          <t>2</t>
        </is>
      </c>
    </row>
    <row r="11">
      <c r="A11" s="9" t="inlineStr">
        <is>
          <t>Закупівель виграно</t>
        </is>
      </c>
      <c r="B11" s="10" t="inlineStr">
        <is>
          <t>2</t>
        </is>
      </c>
    </row>
    <row r="12">
      <c r="A12" s="9" t="inlineStr">
        <is>
          <t>Подань (де видно)</t>
        </is>
      </c>
      <c r="B12" s="10" t="inlineStr">
        <is>
          <t>2</t>
        </is>
      </c>
    </row>
    <row r="13">
      <c r="A13" s="9" t="inlineStr">
        <is>
          <t>Виграно з поданих</t>
        </is>
      </c>
      <c r="B13" s="10" t="inlineStr">
        <is>
          <t>2 з 2</t>
        </is>
      </c>
    </row>
    <row r="14">
      <c r="A14" s="9" t="inlineStr">
        <is>
          <t>Результативність</t>
        </is>
      </c>
      <c r="B14" s="10" t="inlineStr">
        <is>
          <t>100,0%</t>
        </is>
      </c>
    </row>
    <row r="15">
      <c r="A15" s="9" t="inlineStr">
        <is>
          <t>Середня угода</t>
        </is>
      </c>
      <c r="B15" s="10" t="inlineStr">
        <is>
          <t>699,5 тис. грн</t>
        </is>
      </c>
    </row>
    <row r="16">
      <c r="A16" s="9" t="inlineStr">
        <is>
          <t>Медіанна угода</t>
        </is>
      </c>
      <c r="B16" s="10" t="inlineStr">
        <is>
          <t>699,5 тис. грн</t>
        </is>
      </c>
    </row>
    <row r="17">
      <c r="A17" s="9" t="inlineStr">
        <is>
          <t>Замовників</t>
        </is>
      </c>
      <c r="B17" s="10" t="inlineStr">
        <is>
          <t>1</t>
        </is>
      </c>
    </row>
    <row r="18">
      <c r="A18" s="9" t="inlineStr">
        <is>
          <t>Областей</t>
        </is>
      </c>
      <c r="B18" s="10" t="inlineStr">
        <is>
          <t>1</t>
        </is>
      </c>
    </row>
    <row r="19">
      <c r="A19" s="9" t="inlineStr">
        <is>
          <t>Основна ТМ</t>
        </is>
      </c>
      <c r="B19" s="10" t="inlineStr">
        <is>
          <t>не визначено</t>
        </is>
      </c>
    </row>
    <row r="20">
      <c r="A20" s="9" t="inlineStr">
        <is>
          <t>Основний товар</t>
        </is>
      </c>
      <c r="B20" s="10" t="inlineStr">
        <is>
          <t>Принтер</t>
        </is>
      </c>
    </row>
    <row r="21">
      <c r="A21" s="9" t="inlineStr">
        <is>
          <t>Дисконт (медіана)</t>
        </is>
      </c>
      <c r="B21" s="10" t="inlineStr">
        <is>
          <t>5,2%</t>
        </is>
      </c>
    </row>
    <row r="22">
      <c r="A22" s="9" t="inlineStr">
        <is>
          <t>Повторні замовники</t>
        </is>
      </c>
      <c r="B22" s="10" t="inlineStr">
        <is>
          <t>50,0%</t>
        </is>
      </c>
    </row>
    <row r="23">
      <c r="A23" s="9" t="inlineStr">
        <is>
          <t>Активність</t>
        </is>
      </c>
      <c r="B23" s="10" t="inlineStr">
        <is>
          <t>2026-06-25 — 2026-07-16</t>
        </is>
      </c>
    </row>
    <row r="24">
      <c r="A24" s="9" t="inlineStr">
        <is>
          <t>Зірвано перемог</t>
        </is>
      </c>
      <c r="B24" s="10" t="inlineStr">
        <is>
          <t>—</t>
        </is>
      </c>
    </row>
    <row r="25">
      <c r="A25" s="9" t="inlineStr">
        <is>
          <t>Причина зривів</t>
        </is>
      </c>
      <c r="B25" s="10" t="inlineStr">
        <is>
          <t>—</t>
        </is>
      </c>
    </row>
    <row r="27">
      <c r="A27" s="8" t="inlineStr">
        <is>
          <t>Висновки</t>
        </is>
      </c>
    </row>
    <row r="28">
      <c r="A28" t="inlineStr">
        <is>
          <t>•  19-е місце на ринку: 1,4 млн грн (1,2% обороту)</t>
        </is>
      </c>
    </row>
    <row r="29">
      <c r="A29" t="inlineStr">
        <is>
          <t>•  Основний товар: принтер</t>
        </is>
      </c>
    </row>
    <row r="30">
      <c r="A30" t="inlineStr">
        <is>
          <t>•  Тримає ціну: дисконт 5,2% проти 8,3% по ринку</t>
        </is>
      </c>
    </row>
    <row r="31">
      <c r="A31" t="inlineStr">
        <is>
          <t>•  У поданих файлах — авторизаційних листів: 8</t>
        </is>
      </c>
    </row>
    <row r="33">
      <c r="A33" s="8" t="inlineStr">
        <is>
          <t>Графіки</t>
        </is>
      </c>
    </row>
    <row r="35">
      <c r="A35" s="2" t="inlineStr">
        <is>
          <t>Динаміка по місяцях</t>
        </is>
      </c>
    </row>
    <row r="36">
      <c r="A36" s="3" t="inlineStr">
        <is>
          <t>Період</t>
        </is>
      </c>
      <c r="B36" s="3" t="inlineStr">
        <is>
          <t>Сума угод, грн</t>
        </is>
      </c>
    </row>
    <row r="37">
      <c r="A37" t="inlineStr">
        <is>
          <t>2026-06</t>
        </is>
      </c>
      <c r="B37" s="5" t="n">
        <v>919000</v>
      </c>
    </row>
    <row r="38">
      <c r="A38" t="inlineStr">
        <is>
          <t>2026-07</t>
        </is>
      </c>
      <c r="B38" s="5" t="n">
        <v>480000</v>
      </c>
    </row>
    <row r="55">
      <c r="A55" s="2" t="inlineStr">
        <is>
          <t>Що саме продає</t>
        </is>
      </c>
    </row>
    <row r="56">
      <c r="A56" s="3" t="inlineStr">
        <is>
          <t>Категорія</t>
        </is>
      </c>
      <c r="B56" s="3" t="inlineStr">
        <is>
          <t>Позицій, шт</t>
        </is>
      </c>
    </row>
    <row r="57">
      <c r="A57" t="inlineStr">
        <is>
          <t>Принтер</t>
        </is>
      </c>
      <c r="B57" s="5" t="n">
        <v>1</v>
      </c>
    </row>
    <row r="58">
      <c r="A58" t="inlineStr">
        <is>
          <t>Ноутбук</t>
        </is>
      </c>
      <c r="B58" s="5" t="n">
        <v>1</v>
      </c>
    </row>
    <row r="71">
      <c r="A71" s="2" t="inlineStr">
        <is>
          <t>Ключові замовники</t>
        </is>
      </c>
    </row>
    <row r="72">
      <c r="A72" s="3" t="inlineStr">
        <is>
          <t>Категорія</t>
        </is>
      </c>
      <c r="B72" s="3" t="inlineStr">
        <is>
          <t>Сума, грн</t>
        </is>
      </c>
    </row>
    <row r="73">
      <c r="A73" t="inlineStr">
        <is>
          <t>ГОЛОВНЕ УПРАВЛІННЯ ПЕНСІЙНОГО ФОНДУ УКРА</t>
        </is>
      </c>
      <c r="B73" s="5" t="n">
        <v>1399000</v>
      </c>
    </row>
    <row r="87">
      <c r="A87" s="8" t="inlineStr">
        <is>
          <t>Таблиці</t>
        </is>
      </c>
    </row>
    <row r="89">
      <c r="A89" s="2" t="inlineStr">
        <is>
          <t>Товари</t>
        </is>
      </c>
    </row>
    <row r="90">
      <c r="A90" s="11" t="inlineStr">
        <is>
          <t>Товар</t>
        </is>
      </c>
      <c r="B90" s="11" t="inlineStr">
        <is>
          <t>Позицій</t>
        </is>
      </c>
    </row>
    <row r="91">
      <c r="A91" t="inlineStr">
        <is>
          <t>Принтер</t>
        </is>
      </c>
      <c r="B91" s="5" t="n">
        <v>1</v>
      </c>
    </row>
    <row r="92">
      <c r="A92" t="inlineStr">
        <is>
          <t>Ноутбук</t>
        </is>
      </c>
      <c r="B92" s="5" t="n">
        <v>1</v>
      </c>
    </row>
    <row r="94">
      <c r="A94" s="2" t="inlineStr">
        <is>
          <t>Документи</t>
        </is>
      </c>
    </row>
    <row r="95">
      <c r="A95" s="11" t="inlineStr">
        <is>
          <t>Тип документа</t>
        </is>
      </c>
      <c r="B95" s="11" t="inlineStr">
        <is>
          <t>Файлів</t>
        </is>
      </c>
    </row>
    <row r="96">
      <c r="A96" t="inlineStr">
        <is>
          <t>Підпис КЕП</t>
        </is>
      </c>
      <c r="B96" s="5" t="n">
        <v>63</v>
      </c>
    </row>
    <row r="97">
      <c r="A97" t="inlineStr">
        <is>
          <t>не класифіковано</t>
        </is>
      </c>
      <c r="B97" s="5" t="n">
        <v>30</v>
      </c>
    </row>
    <row r="98">
      <c r="A98" t="inlineStr">
        <is>
          <t>Установчі та реєстраційні</t>
        </is>
      </c>
      <c r="B98" s="5" t="n">
        <v>11</v>
      </c>
    </row>
    <row r="99">
      <c r="A99" t="inlineStr">
        <is>
          <t>Лист виробника / авторизація</t>
        </is>
      </c>
      <c r="B99" s="5" t="n">
        <v>8</v>
      </c>
    </row>
    <row r="100">
      <c r="A100" t="inlineStr">
        <is>
          <t>Технічна специфікація</t>
        </is>
      </c>
      <c r="B100" s="5" t="n">
        <v>4</v>
      </c>
    </row>
    <row r="101">
      <c r="A101" t="inlineStr">
        <is>
          <t>Пропозиція учасника</t>
        </is>
      </c>
      <c r="B101" s="5" t="n">
        <v>4</v>
      </c>
    </row>
    <row r="102">
      <c r="A102" t="inlineStr">
        <is>
          <t>Договір</t>
        </is>
      </c>
      <c r="B102" s="5" t="n">
        <v>3</v>
      </c>
    </row>
    <row r="103">
      <c r="A103" t="inlineStr">
        <is>
          <t>Досвід / аналогічні договори</t>
        </is>
      </c>
      <c r="B103" s="5" t="n">
        <v>1</v>
      </c>
    </row>
    <row r="105">
      <c r="A105" s="2" t="inlineStr">
        <is>
          <t>Угоди</t>
        </is>
      </c>
    </row>
    <row r="106">
      <c r="A106" s="11" t="inlineStr">
        <is>
          <t>Закупівля</t>
        </is>
      </c>
      <c r="B106" s="11" t="inlineStr">
        <is>
          <t>Дата</t>
        </is>
      </c>
      <c r="C106" s="11" t="inlineStr">
        <is>
          <t>Замовник</t>
        </is>
      </c>
      <c r="D106" s="11" t="inlineStr">
        <is>
          <t>Регіон</t>
        </is>
      </c>
      <c r="E106" s="11" t="inlineStr">
        <is>
          <t>Сума, грн</t>
        </is>
      </c>
      <c r="F106" s="11" t="inlineStr">
        <is>
          <t>Очікувана, грн</t>
        </is>
      </c>
      <c r="G106" s="11" t="inlineStr">
        <is>
          <t>Процедура</t>
        </is>
      </c>
      <c r="H106" s="11" t="inlineStr">
        <is>
          <t>Галузь</t>
        </is>
      </c>
      <c r="I106" s="11" t="inlineStr">
        <is>
          <t>Джерело</t>
        </is>
      </c>
    </row>
    <row r="107">
      <c r="A107" s="4" t="inlineStr">
        <is>
          <t>UA-2026-06-03-009856-a</t>
        </is>
      </c>
      <c r="B107" t="inlineStr">
        <is>
          <t>2026-06-25</t>
        </is>
      </c>
      <c r="C107" t="inlineStr">
        <is>
          <t>ГОЛОВНЕ УПРАВЛІННЯ ПЕНСІЙНОГО ФОНДУ УКРАЇНИ У ВОЛИНСЬКІЙ ОБЛАСТІ</t>
        </is>
      </c>
      <c r="D107" t="inlineStr">
        <is>
          <t>Волинська область</t>
        </is>
      </c>
      <c r="E107" s="5" t="n">
        <v>919000</v>
      </c>
      <c r="F107" s="5" t="n">
        <v>1025000</v>
      </c>
      <c r="G107" t="inlineStr">
        <is>
          <t>Відкриті торги (нові)</t>
        </is>
      </c>
      <c r="H107" t="inlineStr">
        <is>
          <t>Машини для обробки даних (апаратна частина)</t>
        </is>
      </c>
      <c r="I107" t="inlineStr">
        <is>
          <t>договір</t>
        </is>
      </c>
    </row>
    <row r="108">
      <c r="A108" s="4" t="inlineStr">
        <is>
          <t>UA-2026-06-30-012911-a</t>
        </is>
      </c>
      <c r="B108" t="inlineStr">
        <is>
          <t>2026-07-16</t>
        </is>
      </c>
      <c r="C108" t="inlineStr">
        <is>
          <t>ГОЛОВНЕ УПРАВЛІННЯ ПЕНСІЙНОГО ФОНДУ УКРАЇНИ У ВОЛИНСЬКІЙ ОБЛАСТІ</t>
        </is>
      </c>
      <c r="D108" t="inlineStr">
        <is>
          <t>Волинська область</t>
        </is>
      </c>
      <c r="E108" s="5" t="n">
        <v>480000</v>
      </c>
      <c r="F108" s="5" t="n">
        <v>480000</v>
      </c>
      <c r="G108" t="inlineStr">
        <is>
          <t>Відкриті торги (нові)</t>
        </is>
      </c>
      <c r="H108" t="inlineStr">
        <is>
          <t>Комп’ютерне обладнання</t>
        </is>
      </c>
      <c r="I108" t="inlineStr">
        <is>
          <t>договір</t>
        </is>
      </c>
    </row>
    <row r="110">
      <c r="A110" s="2" t="inlineStr">
        <is>
          <t>Наші зустрічі</t>
        </is>
      </c>
    </row>
    <row r="111">
      <c r="A111" s="11" t="inlineStr">
        <is>
          <t>Закупівля</t>
        </is>
      </c>
      <c r="B111" s="11" t="inlineStr">
        <is>
          <t>Дата</t>
        </is>
      </c>
      <c r="C111" s="11" t="inlineStr">
        <is>
          <t>Замовник</t>
        </is>
      </c>
      <c r="D111" s="11" t="inlineStr">
        <is>
          <t>Предмет</t>
        </is>
      </c>
      <c r="E111" s="11" t="inlineStr">
        <is>
          <t>Сума переможця, грн</t>
        </is>
      </c>
      <c r="F111" s="11" t="inlineStr">
        <is>
          <t>Наша пропозиція, грн</t>
        </is>
      </c>
      <c r="G111" s="11" t="inlineStr">
        <is>
          <t>Розрив</t>
        </is>
      </c>
      <c r="H111" s="11" t="inlineStr">
        <is>
          <t>Що сталося</t>
        </is>
      </c>
    </row>
    <row r="112">
      <c r="A112" s="4" t="inlineStr">
        <is>
          <t>UA-2026-06-03-009856-a</t>
        </is>
      </c>
      <c r="B112" t="inlineStr">
        <is>
          <t>2026-06-03</t>
        </is>
      </c>
      <c r="C112" t="inlineStr">
        <is>
          <t>ГОЛОВНЕ УПРАВЛІННЯ ПЕНСІЙНОГО ФОНДУ УКРАЇНИ У ВОЛИНСЬКІЙ ОБЛАСТІ</t>
        </is>
      </c>
      <c r="D112" t="inlineStr">
        <is>
          <t>Ноутбуки (ДК 021:2015: 30210000-4 – Машини для обробки даних (апаратна частина))</t>
        </is>
      </c>
      <c r="E112" s="5" t="n">
        <v>919000</v>
      </c>
      <c r="H112" t="inlineStr">
        <is>
          <t>ми не подавалися</t>
        </is>
      </c>
    </row>
    <row r="113">
      <c r="A113" s="4" t="inlineStr">
        <is>
          <t>UA-2026-06-30-012911-a</t>
        </is>
      </c>
      <c r="B113" t="inlineStr">
        <is>
          <t>2026-06-30</t>
        </is>
      </c>
      <c r="C113" t="inlineStr">
        <is>
          <t>ГОЛОВНЕ УПРАВЛІННЯ ПЕНСІЙНОГО ФОНДУ УКРАЇНИ У ВОЛИНСЬКІЙ ОБЛАСТІ</t>
        </is>
      </c>
      <c r="D113" t="inlineStr">
        <is>
          <t>Лазерні принтери (ДК 021:2015 — 30230000-0 Комп’ютерне обладнання)</t>
        </is>
      </c>
      <c r="E113" s="5" t="n">
        <v>480000</v>
      </c>
      <c r="H113" t="inlineStr">
        <is>
          <t>ми не подавалися</t>
        </is>
      </c>
    </row>
    <row r="115">
      <c r="A115" s="8" t="inlineStr">
        <is>
          <t>Сильні сторони</t>
        </is>
      </c>
    </row>
    <row r="116">
      <c r="A116" t="inlineStr">
        <is>
          <t>+  авторизація виробника (8 листів)</t>
        </is>
      </c>
    </row>
    <row r="117">
      <c r="A117" t="inlineStr">
        <is>
          <t>+  працює з великими контрактами</t>
        </is>
      </c>
    </row>
    <row r="119">
      <c r="A119" s="8" t="inlineStr">
        <is>
          <t>Слабкі сторони</t>
        </is>
      </c>
    </row>
    <row r="120">
      <c r="A120" t="inlineStr">
        <is>
          <t>−  сертифікатів у поданих файлах не знайдено</t>
        </is>
      </c>
    </row>
    <row r="121">
      <c r="A121" t="inlineStr">
        <is>
          <t>−  слабка цінова позиція: дисконт 5,2% проти 8,3% по ринку</t>
        </is>
      </c>
    </row>
  </sheetData>
  <hyperlinks>
    <hyperlink xmlns:r="http://schemas.openxmlformats.org/officeDocument/2006/relationships" ref="A107" r:id="rId1"/>
    <hyperlink xmlns:r="http://schemas.openxmlformats.org/officeDocument/2006/relationships" ref="A108" r:id="rId2"/>
    <hyperlink xmlns:r="http://schemas.openxmlformats.org/officeDocument/2006/relationships" ref="A112" r:id="rId3"/>
    <hyperlink xmlns:r="http://schemas.openxmlformats.org/officeDocument/2006/relationships" ref="A113" r:id="rId4"/>
  </hyperlinks>
  <pageMargins left="0.75" right="0.75" top="1" bottom="1" header="0.5" footer="0.5"/>
  <drawing xmlns:r="http://schemas.openxmlformats.org/officeDocument/2006/relationships" r:id="rId5"/>
  <tableParts count="4">
    <tablePart xmlns:r="http://schemas.openxmlformats.org/officeDocument/2006/relationships" r:id="rId6"/>
    <tablePart xmlns:r="http://schemas.openxmlformats.org/officeDocument/2006/relationships" r:id="rId7"/>
    <tablePart xmlns:r="http://schemas.openxmlformats.org/officeDocument/2006/relationships" r:id="rId8"/>
    <tablePart xmlns:r="http://schemas.openxmlformats.org/officeDocument/2006/relationships" r:id="rId9"/>
  </tableParts>
</worksheet>
</file>

<file path=xl/worksheets/sheet33.xml><?xml version="1.0" encoding="utf-8"?>
<worksheet xmlns="http://schemas.openxmlformats.org/spreadsheetml/2006/main">
  <sheetPr>
    <outlinePr summaryBelow="1" summaryRight="1"/>
    <pageSetUpPr/>
  </sheetPr>
  <dimension ref="A1:I272"/>
  <sheetViews>
    <sheetView showGridLines="0" workbookViewId="0">
      <selection activeCell="A1" sqref="A1"/>
    </sheetView>
  </sheetViews>
  <sheetFormatPr baseColWidth="8" defaultRowHeight="15"/>
  <cols>
    <col width="42" customWidth="1" min="1" max="1"/>
    <col width="25" customWidth="1" min="2" max="2"/>
    <col width="60" customWidth="1" min="3" max="3"/>
    <col width="60" customWidth="1" min="4" max="4"/>
    <col width="21" customWidth="1" min="5" max="5"/>
    <col width="22" customWidth="1" min="6" max="6"/>
    <col width="18" customWidth="1" min="7" max="7"/>
    <col width="45" customWidth="1" min="8" max="8"/>
    <col width="10" customWidth="1" min="9" max="9"/>
  </cols>
  <sheetData>
    <row r="1">
      <c r="A1" s="1" t="inlineStr">
        <is>
          <t>ФОП Цяк Валерій Михайлович</t>
        </is>
      </c>
    </row>
    <row r="2">
      <c r="A2" s="6" t="inlineStr">
        <is>
          <t>ЄДРПОУ 2145216995  ·  конкурент  ·  місце №20</t>
        </is>
      </c>
    </row>
    <row r="4">
      <c r="A4" s="7" t="inlineStr">
        <is>
          <t>ФОП Цяк Валерій Михайлович (2145216995)</t>
        </is>
      </c>
    </row>
    <row r="6">
      <c r="A6" s="8" t="inlineStr">
        <is>
          <t>Показники</t>
        </is>
      </c>
    </row>
    <row r="7">
      <c r="A7" s="9" t="inlineStr">
        <is>
          <t>Місце на ринку</t>
        </is>
      </c>
      <c r="B7" s="10" t="inlineStr">
        <is>
          <t>№20</t>
        </is>
      </c>
    </row>
    <row r="8">
      <c r="A8" s="9" t="inlineStr">
        <is>
          <t>Сума угод</t>
        </is>
      </c>
      <c r="B8" s="10" t="inlineStr">
        <is>
          <t>1,4 млн грн</t>
        </is>
      </c>
    </row>
    <row r="9">
      <c r="A9" s="9" t="inlineStr">
        <is>
          <t>Частка ринку</t>
        </is>
      </c>
      <c r="B9" s="10" t="inlineStr">
        <is>
          <t>1,2%</t>
        </is>
      </c>
    </row>
    <row r="10">
      <c r="A10" s="9" t="inlineStr">
        <is>
          <t>Угод</t>
        </is>
      </c>
      <c r="B10" s="10" t="inlineStr">
        <is>
          <t>54</t>
        </is>
      </c>
    </row>
    <row r="11">
      <c r="A11" s="9" t="inlineStr">
        <is>
          <t>Закупівель виграно</t>
        </is>
      </c>
      <c r="B11" s="10" t="inlineStr">
        <is>
          <t>54</t>
        </is>
      </c>
    </row>
    <row r="12">
      <c r="A12" s="9" t="inlineStr">
        <is>
          <t>Подань (де видно)</t>
        </is>
      </c>
      <c r="B12" s="10" t="inlineStr">
        <is>
          <t>0</t>
        </is>
      </c>
    </row>
    <row r="13">
      <c r="A13" s="9" t="inlineStr">
        <is>
          <t>Виграно з поданих</t>
        </is>
      </c>
      <c r="B13" s="10" t="inlineStr">
        <is>
          <t>—</t>
        </is>
      </c>
    </row>
    <row r="14">
      <c r="A14" s="9" t="inlineStr">
        <is>
          <t>Результативність</t>
        </is>
      </c>
      <c r="B14" s="10" t="inlineStr">
        <is>
          <t>—</t>
        </is>
      </c>
    </row>
    <row r="15">
      <c r="A15" s="9" t="inlineStr">
        <is>
          <t>Середня угода</t>
        </is>
      </c>
      <c r="B15" s="10" t="inlineStr">
        <is>
          <t>25,9 тис. грн</t>
        </is>
      </c>
    </row>
    <row r="16">
      <c r="A16" s="9" t="inlineStr">
        <is>
          <t>Медіанна угода</t>
        </is>
      </c>
      <c r="B16" s="10" t="inlineStr">
        <is>
          <t>20,3 тис. грн</t>
        </is>
      </c>
    </row>
    <row r="17">
      <c r="A17" s="9" t="inlineStr">
        <is>
          <t>Замовників</t>
        </is>
      </c>
      <c r="B17" s="10" t="inlineStr">
        <is>
          <t>18</t>
        </is>
      </c>
    </row>
    <row r="18">
      <c r="A18" s="9" t="inlineStr">
        <is>
          <t>Областей</t>
        </is>
      </c>
      <c r="B18" s="10" t="inlineStr">
        <is>
          <t>1</t>
        </is>
      </c>
    </row>
    <row r="19">
      <c r="A19" s="9" t="inlineStr">
        <is>
          <t>Основна ТМ</t>
        </is>
      </c>
      <c r="B19" s="10" t="inlineStr">
        <is>
          <t>ASUS</t>
        </is>
      </c>
    </row>
    <row r="20">
      <c r="A20" s="9" t="inlineStr">
        <is>
          <t>Основний товар</t>
        </is>
      </c>
      <c r="B20" s="10" t="inlineStr">
        <is>
          <t>Ноутбук</t>
        </is>
      </c>
    </row>
    <row r="21">
      <c r="A21" s="9" t="inlineStr">
        <is>
          <t>Дисконт (медіана)</t>
        </is>
      </c>
      <c r="B21" s="10" t="inlineStr">
        <is>
          <t>0,0%</t>
        </is>
      </c>
    </row>
    <row r="22">
      <c r="A22" s="9" t="inlineStr">
        <is>
          <t>Повторні замовники</t>
        </is>
      </c>
      <c r="B22" s="10" t="inlineStr">
        <is>
          <t>66,7%</t>
        </is>
      </c>
    </row>
    <row r="23">
      <c r="A23" s="9" t="inlineStr">
        <is>
          <t>Активність</t>
        </is>
      </c>
      <c r="B23" s="10" t="inlineStr">
        <is>
          <t>2025-09-11 — 2026-08-27</t>
        </is>
      </c>
    </row>
    <row r="24">
      <c r="A24" s="9" t="inlineStr">
        <is>
          <t>Зірвано перемог</t>
        </is>
      </c>
      <c r="B24" s="10" t="inlineStr">
        <is>
          <t>—</t>
        </is>
      </c>
    </row>
    <row r="25">
      <c r="A25" s="9" t="inlineStr">
        <is>
          <t>Причина зривів</t>
        </is>
      </c>
      <c r="B25" s="10" t="inlineStr">
        <is>
          <t>—</t>
        </is>
      </c>
    </row>
    <row r="27">
      <c r="A27" s="8" t="inlineStr">
        <is>
          <t>Висновки</t>
        </is>
      </c>
    </row>
    <row r="28">
      <c r="A28" t="inlineStr">
        <is>
          <t>•  20-е місце на ринку: 1,4 млн грн (1,2% обороту)</t>
        </is>
      </c>
    </row>
    <row r="29">
      <c r="A29" t="inlineStr">
        <is>
          <t>•  Основний товар: ноутбук</t>
        </is>
      </c>
    </row>
    <row r="30">
      <c r="A30" t="inlineStr">
        <is>
          <t>•  ТМ ASUS у 27,8% позицій</t>
        </is>
      </c>
    </row>
    <row r="31">
      <c r="A31" t="inlineStr">
        <is>
          <t>•  Портфель із 10 ТМ</t>
        </is>
      </c>
    </row>
    <row r="32">
      <c r="A32" t="inlineStr">
        <is>
          <t>•  Працює переважно поза торгами: 100,0% угод — прямі договори та переговорні процедури</t>
        </is>
      </c>
    </row>
    <row r="33">
      <c r="A33" t="inlineStr">
        <is>
          <t>•  Тримає ціну: дисконт 0,0% проти 8,3% по ринку</t>
        </is>
      </c>
    </row>
    <row r="34">
      <c r="A34" t="inlineStr">
        <is>
          <t>•  Географічно сфокусований: Волинська область (100,0% угод)</t>
        </is>
      </c>
    </row>
    <row r="35">
      <c r="A35" t="inlineStr">
        <is>
          <t>•  Тримається постійних замовників: 66,7% угод — повторні</t>
        </is>
      </c>
    </row>
    <row r="36">
      <c r="A36" t="inlineStr">
        <is>
          <t>•  Динаміка: зростає (89% у другій половині періоду)</t>
        </is>
      </c>
    </row>
    <row r="38">
      <c r="A38" s="8" t="inlineStr">
        <is>
          <t>Графіки</t>
        </is>
      </c>
    </row>
    <row r="40">
      <c r="A40" s="2" t="inlineStr">
        <is>
          <t>Динаміка по місяцях</t>
        </is>
      </c>
    </row>
    <row r="41">
      <c r="A41" s="3" t="inlineStr">
        <is>
          <t>Період</t>
        </is>
      </c>
      <c r="B41" s="3" t="inlineStr">
        <is>
          <t>Сума угод, грн</t>
        </is>
      </c>
    </row>
    <row r="42">
      <c r="A42" t="inlineStr">
        <is>
          <t>2025-09</t>
        </is>
      </c>
      <c r="B42" s="5" t="n">
        <v>7100</v>
      </c>
    </row>
    <row r="43">
      <c r="A43" t="inlineStr">
        <is>
          <t>2025-10</t>
        </is>
      </c>
      <c r="B43" s="5" t="n">
        <v>57972</v>
      </c>
    </row>
    <row r="44">
      <c r="A44" t="inlineStr">
        <is>
          <t>2025-11</t>
        </is>
      </c>
      <c r="B44" s="5" t="n">
        <v>84504</v>
      </c>
    </row>
    <row r="45">
      <c r="A45" t="inlineStr">
        <is>
          <t>2025-12</t>
        </is>
      </c>
      <c r="B45" s="5" t="n">
        <v>256950</v>
      </c>
    </row>
    <row r="46">
      <c r="A46" t="inlineStr">
        <is>
          <t>2026-01</t>
        </is>
      </c>
      <c r="B46" s="5" t="n">
        <v>76750</v>
      </c>
    </row>
    <row r="47">
      <c r="A47" t="inlineStr">
        <is>
          <t>2026-02</t>
        </is>
      </c>
      <c r="B47" s="5" t="n">
        <v>225249</v>
      </c>
    </row>
    <row r="48">
      <c r="A48" t="inlineStr">
        <is>
          <t>2026-03</t>
        </is>
      </c>
      <c r="B48" s="5" t="n">
        <v>99900</v>
      </c>
    </row>
    <row r="49">
      <c r="A49" t="inlineStr">
        <is>
          <t>2026-04</t>
        </is>
      </c>
      <c r="B49" s="5" t="n">
        <v>264950</v>
      </c>
    </row>
    <row r="50">
      <c r="A50" t="inlineStr">
        <is>
          <t>2026-05</t>
        </is>
      </c>
      <c r="B50" s="5" t="n">
        <v>61360</v>
      </c>
    </row>
    <row r="51">
      <c r="A51" t="inlineStr">
        <is>
          <t>2026-06</t>
        </is>
      </c>
      <c r="B51" s="5" t="n">
        <v>99180</v>
      </c>
    </row>
    <row r="52">
      <c r="A52" t="inlineStr">
        <is>
          <t>2026-07</t>
        </is>
      </c>
      <c r="B52" s="5" t="n">
        <v>40760</v>
      </c>
    </row>
    <row r="53">
      <c r="A53" t="inlineStr">
        <is>
          <t>2026-08</t>
        </is>
      </c>
      <c r="B53" s="5" t="n">
        <v>121699</v>
      </c>
    </row>
    <row r="60">
      <c r="A60" s="2" t="inlineStr">
        <is>
          <t>Торгові марки у позиціях</t>
        </is>
      </c>
    </row>
    <row r="61">
      <c r="A61" s="3" t="inlineStr">
        <is>
          <t>Категорія</t>
        </is>
      </c>
      <c r="B61" s="3" t="inlineStr">
        <is>
          <t>Позицій, шт</t>
        </is>
      </c>
    </row>
    <row r="62">
      <c r="A62" t="inlineStr">
        <is>
          <t>ASUS</t>
        </is>
      </c>
      <c r="B62" s="5" t="n">
        <v>10</v>
      </c>
    </row>
    <row r="63">
      <c r="A63" t="inlineStr">
        <is>
          <t>Canon</t>
        </is>
      </c>
      <c r="B63" s="5" t="n">
        <v>9</v>
      </c>
    </row>
    <row r="64">
      <c r="A64" t="inlineStr">
        <is>
          <t>Acer</t>
        </is>
      </c>
      <c r="B64" s="5" t="n">
        <v>5</v>
      </c>
    </row>
    <row r="65">
      <c r="A65" t="inlineStr">
        <is>
          <t>Xerox</t>
        </is>
      </c>
      <c r="B65" s="5" t="n">
        <v>3</v>
      </c>
    </row>
    <row r="66">
      <c r="A66" t="inlineStr">
        <is>
          <t>Intel</t>
        </is>
      </c>
      <c r="B66" s="5" t="n">
        <v>2</v>
      </c>
    </row>
    <row r="67">
      <c r="A67" t="inlineStr">
        <is>
          <t>Lenovo</t>
        </is>
      </c>
      <c r="B67" s="5" t="n">
        <v>2</v>
      </c>
    </row>
    <row r="68">
      <c r="A68" t="inlineStr">
        <is>
          <t>TP-Link</t>
        </is>
      </c>
      <c r="B68" s="5" t="n">
        <v>2</v>
      </c>
    </row>
    <row r="69">
      <c r="A69" t="inlineStr">
        <is>
          <t>GOODRAM</t>
        </is>
      </c>
      <c r="B69" s="5" t="n">
        <v>1</v>
      </c>
    </row>
    <row r="80">
      <c r="A80" s="2" t="inlineStr">
        <is>
          <t>Що саме продає</t>
        </is>
      </c>
    </row>
    <row r="81">
      <c r="A81" s="3" t="inlineStr">
        <is>
          <t>Категорія</t>
        </is>
      </c>
      <c r="B81" s="3" t="inlineStr">
        <is>
          <t>Позицій, шт</t>
        </is>
      </c>
    </row>
    <row r="82">
      <c r="A82" t="inlineStr">
        <is>
          <t>Ноутбук</t>
        </is>
      </c>
      <c r="B82" s="5" t="n">
        <v>14</v>
      </c>
    </row>
    <row r="83">
      <c r="A83" t="inlineStr">
        <is>
          <t>Багатофункціональний пристрій (БФП)</t>
        </is>
      </c>
      <c r="B83" s="5" t="n">
        <v>8</v>
      </c>
    </row>
    <row r="84">
      <c r="A84" t="inlineStr">
        <is>
          <t>Оперативна пам'ять</t>
        </is>
      </c>
      <c r="B84" s="5" t="n">
        <v>8</v>
      </c>
    </row>
    <row r="85">
      <c r="A85" t="inlineStr">
        <is>
          <t>Монітор</t>
        </is>
      </c>
      <c r="B85" s="5" t="n">
        <v>7</v>
      </c>
    </row>
    <row r="86">
      <c r="A86" t="inlineStr">
        <is>
          <t>Персональний комп'ютер</t>
        </is>
      </c>
      <c r="B86" s="5" t="n">
        <v>5</v>
      </c>
    </row>
    <row r="87">
      <c r="A87" t="inlineStr">
        <is>
          <t>Принтер</t>
        </is>
      </c>
      <c r="B87" s="5" t="n">
        <v>4</v>
      </c>
    </row>
    <row r="88">
      <c r="A88" t="inlineStr">
        <is>
          <t>Системний блок</t>
        </is>
      </c>
      <c r="B88" s="5" t="n">
        <v>4</v>
      </c>
    </row>
    <row r="89">
      <c r="A89" t="inlineStr">
        <is>
          <t>Миша</t>
        </is>
      </c>
      <c r="B89" s="5" t="n">
        <v>3</v>
      </c>
    </row>
    <row r="90">
      <c r="A90" t="inlineStr">
        <is>
          <t>Моноблок</t>
        </is>
      </c>
      <c r="B90" s="5" t="n">
        <v>3</v>
      </c>
    </row>
    <row r="91">
      <c r="A91" t="inlineStr">
        <is>
          <t>Накопичувач SSD</t>
        </is>
      </c>
      <c r="B91" s="5" t="n">
        <v>3</v>
      </c>
    </row>
    <row r="98">
      <c r="A98" s="2" t="inlineStr">
        <is>
          <t>Ключові замовники</t>
        </is>
      </c>
    </row>
    <row r="99">
      <c r="A99" s="3" t="inlineStr">
        <is>
          <t>Категорія</t>
        </is>
      </c>
      <c r="B99" s="3" t="inlineStr">
        <is>
          <t>Сума, грн</t>
        </is>
      </c>
    </row>
    <row r="100">
      <c r="A100" t="inlineStr">
        <is>
          <t>НОВОВОЛИНСЬКА ШКОЛА МИСТЕЦТВ</t>
        </is>
      </c>
      <c r="B100" s="5" t="n">
        <v>220400</v>
      </c>
    </row>
    <row r="101">
      <c r="A101" t="inlineStr">
        <is>
          <t>КП Нововолинськводоканал НМР</t>
        </is>
      </c>
      <c r="B101" s="5" t="n">
        <v>143322</v>
      </c>
    </row>
    <row r="102">
      <c r="A102" t="inlineStr">
        <is>
          <t>КНП "НОВОВОЛИНСЬКИЙ ЦЕНТР ПЕРВИННОЇ МЕДИ</t>
        </is>
      </c>
      <c r="B102" s="5" t="n">
        <v>139699</v>
      </c>
    </row>
    <row r="103">
      <c r="A103" t="inlineStr">
        <is>
          <t>КНП "ІВАНИЧІВСЬКИЙ ЦЕНТР ПЕРВИННОЇ МЕДИК</t>
        </is>
      </c>
      <c r="B103" s="5" t="n">
        <v>136529</v>
      </c>
    </row>
    <row r="104">
      <c r="A104" t="inlineStr">
        <is>
          <t>Фінансове управління Нововолинської місь</t>
        </is>
      </c>
      <c r="B104" s="5" t="n">
        <v>99000</v>
      </c>
    </row>
    <row r="105">
      <c r="A105" t="inlineStr">
        <is>
          <t>Територіальний центр соціального обслуго</t>
        </is>
      </c>
      <c r="B105" s="5" t="n">
        <v>96100</v>
      </c>
    </row>
    <row r="106">
      <c r="A106" t="inlineStr">
        <is>
          <t>Управління будівництва та інфраструктури</t>
        </is>
      </c>
      <c r="B106" s="5" t="n">
        <v>90000</v>
      </c>
    </row>
    <row r="107">
      <c r="A107" t="inlineStr">
        <is>
          <t>Управління соціальної політики Нововолин</t>
        </is>
      </c>
      <c r="B107" s="5" t="n">
        <v>85050</v>
      </c>
    </row>
    <row r="108">
      <c r="A108" t="inlineStr">
        <is>
          <t>Поромівська сільська рада</t>
        </is>
      </c>
      <c r="B108" s="5" t="n">
        <v>82950</v>
      </c>
    </row>
    <row r="109">
      <c r="A109" t="inlineStr">
        <is>
          <t>Комунальний заклад професійної освіти «Н</t>
        </is>
      </c>
      <c r="B109" s="5" t="n">
        <v>63004</v>
      </c>
    </row>
    <row r="116">
      <c r="A116" s="8" t="inlineStr">
        <is>
          <t>Таблиці</t>
        </is>
      </c>
    </row>
    <row r="118">
      <c r="A118" s="2" t="inlineStr">
        <is>
          <t>ТМ</t>
        </is>
      </c>
    </row>
    <row r="119">
      <c r="A119" s="11" t="inlineStr">
        <is>
          <t>Торгова марка</t>
        </is>
      </c>
      <c r="B119" s="11" t="inlineStr">
        <is>
          <t>Позицій</t>
        </is>
      </c>
      <c r="C119" s="11" t="inlineStr">
        <is>
          <t>Частка</t>
        </is>
      </c>
      <c r="D119" s="11" t="inlineStr">
        <is>
          <t>Власна ТМ за довідником</t>
        </is>
      </c>
    </row>
    <row r="120">
      <c r="A120" t="inlineStr">
        <is>
          <t>ASUS</t>
        </is>
      </c>
      <c r="B120" s="5" t="n">
        <v>10</v>
      </c>
      <c r="C120" s="12" t="n">
        <v>0.2778</v>
      </c>
      <c r="D120" t="inlineStr"/>
    </row>
    <row r="121">
      <c r="A121" t="inlineStr">
        <is>
          <t>Canon</t>
        </is>
      </c>
      <c r="B121" s="5" t="n">
        <v>9</v>
      </c>
      <c r="C121" s="12" t="n">
        <v>0.25</v>
      </c>
      <c r="D121" t="inlineStr"/>
    </row>
    <row r="122">
      <c r="A122" t="inlineStr">
        <is>
          <t>Acer</t>
        </is>
      </c>
      <c r="B122" s="5" t="n">
        <v>5</v>
      </c>
      <c r="C122" s="12" t="n">
        <v>0.1389</v>
      </c>
      <c r="D122" t="inlineStr"/>
    </row>
    <row r="123">
      <c r="A123" t="inlineStr">
        <is>
          <t>Xerox</t>
        </is>
      </c>
      <c r="B123" s="5" t="n">
        <v>3</v>
      </c>
      <c r="C123" s="12" t="n">
        <v>0.0833</v>
      </c>
      <c r="D123" t="inlineStr"/>
    </row>
    <row r="124">
      <c r="A124" t="inlineStr">
        <is>
          <t>Intel</t>
        </is>
      </c>
      <c r="B124" s="5" t="n">
        <v>2</v>
      </c>
      <c r="C124" s="12" t="n">
        <v>0.0556</v>
      </c>
      <c r="D124" t="inlineStr"/>
    </row>
    <row r="125">
      <c r="A125" t="inlineStr">
        <is>
          <t>Lenovo</t>
        </is>
      </c>
      <c r="B125" s="5" t="n">
        <v>2</v>
      </c>
      <c r="C125" s="12" t="n">
        <v>0.0556</v>
      </c>
      <c r="D125" t="inlineStr"/>
    </row>
    <row r="126">
      <c r="A126" t="inlineStr">
        <is>
          <t>TP-Link</t>
        </is>
      </c>
      <c r="B126" s="5" t="n">
        <v>2</v>
      </c>
      <c r="C126" s="12" t="n">
        <v>0.0556</v>
      </c>
      <c r="D126" t="inlineStr"/>
    </row>
    <row r="127">
      <c r="A127" t="inlineStr">
        <is>
          <t>GOODRAM</t>
        </is>
      </c>
      <c r="B127" s="5" t="n">
        <v>1</v>
      </c>
      <c r="C127" s="12" t="n">
        <v>0.0278</v>
      </c>
      <c r="D127" t="inlineStr"/>
    </row>
    <row r="128">
      <c r="A128" t="inlineStr">
        <is>
          <t>Microsoft</t>
        </is>
      </c>
      <c r="B128" s="5" t="n">
        <v>1</v>
      </c>
      <c r="C128" s="12" t="n">
        <v>0.0278</v>
      </c>
      <c r="D128" t="inlineStr"/>
    </row>
    <row r="129">
      <c r="A129" t="inlineStr">
        <is>
          <t>Logitech</t>
        </is>
      </c>
      <c r="B129" s="5" t="n">
        <v>1</v>
      </c>
      <c r="C129" s="12" t="n">
        <v>0.0278</v>
      </c>
      <c r="D129" t="inlineStr"/>
    </row>
    <row r="131">
      <c r="A131" s="2" t="inlineStr">
        <is>
          <t>Товари</t>
        </is>
      </c>
    </row>
    <row r="132">
      <c r="A132" s="11" t="inlineStr">
        <is>
          <t>Товар</t>
        </is>
      </c>
      <c r="B132" s="11" t="inlineStr">
        <is>
          <t>Позицій</t>
        </is>
      </c>
    </row>
    <row r="133">
      <c r="A133" t="inlineStr">
        <is>
          <t>Ноутбук</t>
        </is>
      </c>
      <c r="B133" s="5" t="n">
        <v>14</v>
      </c>
    </row>
    <row r="134">
      <c r="A134" t="inlineStr">
        <is>
          <t>Багатофункціональний пристрій (БФП)</t>
        </is>
      </c>
      <c r="B134" s="5" t="n">
        <v>8</v>
      </c>
    </row>
    <row r="135">
      <c r="A135" t="inlineStr">
        <is>
          <t>Оперативна пам'ять</t>
        </is>
      </c>
      <c r="B135" s="5" t="n">
        <v>8</v>
      </c>
    </row>
    <row r="136">
      <c r="A136" t="inlineStr">
        <is>
          <t>Монітор</t>
        </is>
      </c>
      <c r="B136" s="5" t="n">
        <v>7</v>
      </c>
    </row>
    <row r="137">
      <c r="A137" t="inlineStr">
        <is>
          <t>Персональний комп'ютер</t>
        </is>
      </c>
      <c r="B137" s="5" t="n">
        <v>5</v>
      </c>
    </row>
    <row r="138">
      <c r="A138" t="inlineStr">
        <is>
          <t>Принтер</t>
        </is>
      </c>
      <c r="B138" s="5" t="n">
        <v>4</v>
      </c>
    </row>
    <row r="139">
      <c r="A139" t="inlineStr">
        <is>
          <t>Системний блок</t>
        </is>
      </c>
      <c r="B139" s="5" t="n">
        <v>4</v>
      </c>
    </row>
    <row r="140">
      <c r="A140" t="inlineStr">
        <is>
          <t>Миша</t>
        </is>
      </c>
      <c r="B140" s="5" t="n">
        <v>3</v>
      </c>
    </row>
    <row r="141">
      <c r="A141" t="inlineStr">
        <is>
          <t>Моноблок</t>
        </is>
      </c>
      <c r="B141" s="5" t="n">
        <v>3</v>
      </c>
    </row>
    <row r="142">
      <c r="A142" t="inlineStr">
        <is>
          <t>Накопичувач SSD</t>
        </is>
      </c>
      <c r="B142" s="5" t="n">
        <v>3</v>
      </c>
    </row>
    <row r="143">
      <c r="A143" t="inlineStr">
        <is>
          <t>Зберіганн</t>
        </is>
      </c>
      <c r="B143" s="5" t="n">
        <v>2</v>
      </c>
    </row>
    <row r="144">
      <c r="A144" t="inlineStr">
        <is>
          <t>Мережеве обладнання</t>
        </is>
      </c>
      <c r="B144" s="5" t="n">
        <v>2</v>
      </c>
    </row>
    <row r="145">
      <c r="A145" t="inlineStr">
        <is>
          <t>Клавіатура</t>
        </is>
      </c>
      <c r="B145" s="5" t="n">
        <v>1</v>
      </c>
    </row>
    <row r="146">
      <c r="A146" t="inlineStr">
        <is>
          <t>Плат</t>
        </is>
      </c>
      <c r="B146" s="5" t="n">
        <v>1</v>
      </c>
    </row>
    <row r="147">
      <c r="A147" t="inlineStr">
        <is>
          <t>Накладно</t>
        </is>
      </c>
      <c r="B147" s="5" t="n">
        <v>1</v>
      </c>
    </row>
    <row r="148">
      <c r="A148" t="inlineStr">
        <is>
          <t>Кабель, перехідник</t>
        </is>
      </c>
      <c r="B148" s="5" t="n">
        <v>1</v>
      </c>
    </row>
    <row r="149">
      <c r="A149" t="inlineStr">
        <is>
          <t>Вебкамера</t>
        </is>
      </c>
      <c r="B149" s="5" t="n">
        <v>1</v>
      </c>
    </row>
    <row r="151">
      <c r="A151" s="2" t="inlineStr">
        <is>
          <t>Угоди</t>
        </is>
      </c>
    </row>
    <row r="152">
      <c r="A152" s="11" t="inlineStr">
        <is>
          <t>Закупівля</t>
        </is>
      </c>
      <c r="B152" s="11" t="inlineStr">
        <is>
          <t>Дата</t>
        </is>
      </c>
      <c r="C152" s="11" t="inlineStr">
        <is>
          <t>Замовник</t>
        </is>
      </c>
      <c r="D152" s="11" t="inlineStr">
        <is>
          <t>Регіон</t>
        </is>
      </c>
      <c r="E152" s="11" t="inlineStr">
        <is>
          <t>Сума, грн</t>
        </is>
      </c>
      <c r="F152" s="11" t="inlineStr">
        <is>
          <t>Очікувана, грн</t>
        </is>
      </c>
      <c r="G152" s="11" t="inlineStr">
        <is>
          <t>Процедура</t>
        </is>
      </c>
      <c r="H152" s="11" t="inlineStr">
        <is>
          <t>Галузь</t>
        </is>
      </c>
      <c r="I152" s="11" t="inlineStr">
        <is>
          <t>Джерело</t>
        </is>
      </c>
    </row>
    <row r="153">
      <c r="A153" s="4" t="inlineStr">
        <is>
          <t>UA-2026-03-30-001969-a</t>
        </is>
      </c>
      <c r="B153" t="inlineStr">
        <is>
          <t>2026-03-30</t>
        </is>
      </c>
      <c r="C153" t="inlineStr">
        <is>
          <t>КП Нововолинськводоканал НМР</t>
        </is>
      </c>
      <c r="D153" t="inlineStr">
        <is>
          <t>Волинська область</t>
        </is>
      </c>
      <c r="E153" s="5" t="n">
        <v>99900</v>
      </c>
      <c r="F153" s="5" t="n">
        <v>99900</v>
      </c>
      <c r="G153" t="inlineStr">
        <is>
          <t>Звіт про договір</t>
        </is>
      </c>
      <c r="H153" t="inlineStr">
        <is>
          <t>Комп’ютерне обладнання</t>
        </is>
      </c>
      <c r="I153" t="inlineStr">
        <is>
          <t>договір</t>
        </is>
      </c>
    </row>
    <row r="154">
      <c r="A154" s="4" t="inlineStr">
        <is>
          <t>UA-2026-06-25-011478-a</t>
        </is>
      </c>
      <c r="B154" t="inlineStr">
        <is>
          <t>2026-06-25</t>
        </is>
      </c>
      <c r="C154" t="inlineStr">
        <is>
          <t>Фінансове управління Нововолинської міської ради</t>
        </is>
      </c>
      <c r="D154" t="inlineStr">
        <is>
          <t>Волинська область</t>
        </is>
      </c>
      <c r="E154" s="5" t="n">
        <v>99000</v>
      </c>
      <c r="F154" s="5" t="n">
        <v>99000</v>
      </c>
      <c r="G154" t="inlineStr">
        <is>
          <t>Звіт про договір</t>
        </is>
      </c>
      <c r="H154" t="inlineStr">
        <is>
          <t>Машини для обробки даних (апаратна частина)</t>
        </is>
      </c>
      <c r="I154" t="inlineStr">
        <is>
          <t>договір</t>
        </is>
      </c>
    </row>
    <row r="155">
      <c r="A155" s="4" t="inlineStr">
        <is>
          <t>UA-2025-12-22-002473-a</t>
        </is>
      </c>
      <c r="B155" t="inlineStr">
        <is>
          <t>2025-12-22</t>
        </is>
      </c>
      <c r="C155" t="inlineStr">
        <is>
          <t>Управління будівництва та інфраструктури виконавчого комітету Нововолинської міської ради Волинської області</t>
        </is>
      </c>
      <c r="D155" t="inlineStr">
        <is>
          <t>Волинська область</t>
        </is>
      </c>
      <c r="E155" s="5" t="n">
        <v>90000</v>
      </c>
      <c r="F155" s="5" t="n">
        <v>90000</v>
      </c>
      <c r="G155" t="inlineStr">
        <is>
          <t>Звіт про договір</t>
        </is>
      </c>
      <c r="H155" t="inlineStr">
        <is>
          <t>Машини для обробки даних (апаратна частина)</t>
        </is>
      </c>
      <c r="I155" t="inlineStr">
        <is>
          <t>договір</t>
        </is>
      </c>
    </row>
    <row r="156">
      <c r="A156" s="4" t="inlineStr">
        <is>
          <t>UA-2026-08-04-010910-a</t>
        </is>
      </c>
      <c r="B156" t="inlineStr">
        <is>
          <t>2026-08-04</t>
        </is>
      </c>
      <c r="C156" t="inlineStr">
        <is>
          <t>Управління соціальної політики Нововолинської міської ради</t>
        </is>
      </c>
      <c r="D156" t="inlineStr">
        <is>
          <t>Волинська область</t>
        </is>
      </c>
      <c r="E156" s="5" t="n">
        <v>82500</v>
      </c>
      <c r="F156" s="5" t="n">
        <v>82500</v>
      </c>
      <c r="G156" t="inlineStr">
        <is>
          <t>Звіт про договір</t>
        </is>
      </c>
      <c r="H156" t="inlineStr">
        <is>
          <t>Машини для обробки даних (апаратна частина)</t>
        </is>
      </c>
      <c r="I156" t="inlineStr">
        <is>
          <t>договір</t>
        </is>
      </c>
    </row>
    <row r="157">
      <c r="A157" s="4" t="inlineStr">
        <is>
          <t>UA-2025-12-03-006193-a</t>
        </is>
      </c>
      <c r="B157" t="inlineStr">
        <is>
          <t>2025-12-03</t>
        </is>
      </c>
      <c r="C157" t="inlineStr">
        <is>
          <t>НОВОВОЛИНСЬКА ШКОЛА МИСТЕЦТВ</t>
        </is>
      </c>
      <c r="D157" t="inlineStr">
        <is>
          <t>Волинська область</t>
        </is>
      </c>
      <c r="E157" s="5" t="n">
        <v>78600</v>
      </c>
      <c r="F157" s="5" t="n">
        <v>78600</v>
      </c>
      <c r="G157" t="inlineStr">
        <is>
          <t>Звіт про договір</t>
        </is>
      </c>
      <c r="H157" t="inlineStr">
        <is>
          <t>Комп’ютерне обладнання</t>
        </is>
      </c>
      <c r="I157" t="inlineStr">
        <is>
          <t>договір</t>
        </is>
      </c>
    </row>
    <row r="158">
      <c r="A158" s="4" t="inlineStr">
        <is>
          <t>UA-2026-02-17-013093-a</t>
        </is>
      </c>
      <c r="B158" t="inlineStr">
        <is>
          <t>2026-02-17</t>
        </is>
      </c>
      <c r="C158" t="inlineStr">
        <is>
          <t>КНП "НОВОВОЛИНСЬКИЙ ЦЕНТР ПЕРВИННОЇ МЕДИКО-САНІТАРНОЇ ДОПОМОГИ НОВОВОЛИНСЬКОЇ МІСЬКОЇ РАДИ ВОЛИНСЬКОЇ ОБЛАСТІ"</t>
        </is>
      </c>
      <c r="D158" t="inlineStr">
        <is>
          <t>Волинська область</t>
        </is>
      </c>
      <c r="E158" s="5" t="n">
        <v>77600</v>
      </c>
      <c r="F158" s="5" t="n">
        <v>77600</v>
      </c>
      <c r="G158" t="inlineStr">
        <is>
          <t>Звіт про договір</t>
        </is>
      </c>
      <c r="H158" t="inlineStr">
        <is>
          <t>Комп’ютерне обладнання</t>
        </is>
      </c>
      <c r="I158" t="inlineStr">
        <is>
          <t>договір</t>
        </is>
      </c>
    </row>
    <row r="159">
      <c r="A159" s="4" t="inlineStr">
        <is>
          <t>UA-2026-04-06-006206-a</t>
        </is>
      </c>
      <c r="B159" t="inlineStr">
        <is>
          <t>2026-04-06</t>
        </is>
      </c>
      <c r="C159" t="inlineStr">
        <is>
          <t>НОВОВОЛИНСЬКА ШКОЛА МИСТЕЦТВ</t>
        </is>
      </c>
      <c r="D159" t="inlineStr">
        <is>
          <t>Волинська область</t>
        </is>
      </c>
      <c r="E159" s="5" t="n">
        <v>61200</v>
      </c>
      <c r="F159" s="5" t="n">
        <v>61200</v>
      </c>
      <c r="G159" t="inlineStr">
        <is>
          <t>Звіт про договір</t>
        </is>
      </c>
      <c r="H159" t="inlineStr">
        <is>
          <t>Комп’ютерне обладнання</t>
        </is>
      </c>
      <c r="I159" t="inlineStr">
        <is>
          <t>договір</t>
        </is>
      </c>
    </row>
    <row r="160">
      <c r="A160" s="4" t="inlineStr">
        <is>
          <t>UA-2026-05-14-005108-a</t>
        </is>
      </c>
      <c r="B160" t="inlineStr">
        <is>
          <t>2026-05-14</t>
        </is>
      </c>
      <c r="C160" t="inlineStr">
        <is>
          <t>Територіальний центр соціального обслуговування (надання соціальних послуг) виконкому Нововолинської міської ради</t>
        </is>
      </c>
      <c r="D160" t="inlineStr">
        <is>
          <t>Волинська область</t>
        </is>
      </c>
      <c r="E160" s="5" t="n">
        <v>60000</v>
      </c>
      <c r="F160" s="5" t="n">
        <v>60000</v>
      </c>
      <c r="G160" t="inlineStr">
        <is>
          <t>Звіт про договір</t>
        </is>
      </c>
      <c r="H160" t="inlineStr">
        <is>
          <t>Машини для обробки даних (апаратна частина)</t>
        </is>
      </c>
      <c r="I160" t="inlineStr">
        <is>
          <t>договір</t>
        </is>
      </c>
    </row>
    <row r="161">
      <c r="A161" s="4" t="inlineStr">
        <is>
          <t>UA-2026-04-02-005235-a</t>
        </is>
      </c>
      <c r="B161" t="inlineStr">
        <is>
          <t>2026-04-02</t>
        </is>
      </c>
      <c r="C161" t="inlineStr">
        <is>
          <t>Поромівська сільська рада</t>
        </is>
      </c>
      <c r="D161" t="inlineStr">
        <is>
          <t>Волинська область</t>
        </is>
      </c>
      <c r="E161" s="5" t="n">
        <v>44950</v>
      </c>
      <c r="F161" s="5" t="n">
        <v>44950</v>
      </c>
      <c r="G161" t="inlineStr">
        <is>
          <t>Звіт про договір</t>
        </is>
      </c>
      <c r="H161" t="inlineStr">
        <is>
          <t>Машини для обробки даних (апаратна частина)</t>
        </is>
      </c>
      <c r="I161" t="inlineStr">
        <is>
          <t>договір</t>
        </is>
      </c>
    </row>
    <row r="162">
      <c r="A162" s="4" t="inlineStr">
        <is>
          <t>UA-2025-10-31-001127-a</t>
        </is>
      </c>
      <c r="B162" t="inlineStr">
        <is>
          <t>2025-10-31</t>
        </is>
      </c>
      <c r="C162" t="inlineStr">
        <is>
          <t>КП Нововолинськводоканал НМР</t>
        </is>
      </c>
      <c r="D162" t="inlineStr">
        <is>
          <t>Волинська область</t>
        </is>
      </c>
      <c r="E162" s="5" t="n">
        <v>43422</v>
      </c>
      <c r="F162" s="5" t="n">
        <v>43422</v>
      </c>
      <c r="G162" t="inlineStr">
        <is>
          <t>Звіт про договір</t>
        </is>
      </c>
      <c r="H162" t="inlineStr">
        <is>
          <t>Комп’ютерне обладнання та приладдя</t>
        </is>
      </c>
      <c r="I162" t="inlineStr">
        <is>
          <t>договір</t>
        </is>
      </c>
    </row>
    <row r="163">
      <c r="A163" s="4" t="inlineStr">
        <is>
          <t>UA-2026-04-06-007529-a</t>
        </is>
      </c>
      <c r="B163" t="inlineStr">
        <is>
          <t>2026-04-06</t>
        </is>
      </c>
      <c r="C163" t="inlineStr">
        <is>
          <t>НОВОВОЛИНСЬКА ШКОЛА МИСТЕЦТВ</t>
        </is>
      </c>
      <c r="D163" t="inlineStr">
        <is>
          <t>Волинська область</t>
        </is>
      </c>
      <c r="E163" s="5" t="n">
        <v>40300</v>
      </c>
      <c r="F163" s="5" t="n">
        <v>40300</v>
      </c>
      <c r="G163" t="inlineStr">
        <is>
          <t>Звіт про договір</t>
        </is>
      </c>
      <c r="H163" t="inlineStr">
        <is>
          <t>Машини для обробки даних (апаратна частина)</t>
        </is>
      </c>
      <c r="I163" t="inlineStr">
        <is>
          <t>договір</t>
        </is>
      </c>
    </row>
    <row r="164">
      <c r="A164" s="4" t="inlineStr">
        <is>
          <t>UA-2026-04-06-006378-a</t>
        </is>
      </c>
      <c r="B164" t="inlineStr">
        <is>
          <t>2026-04-06</t>
        </is>
      </c>
      <c r="C164" t="inlineStr">
        <is>
          <t>НОВОВОЛИНСЬКА ШКОЛА МИСТЕЦТВ</t>
        </is>
      </c>
      <c r="D164" t="inlineStr">
        <is>
          <t>Волинська область</t>
        </is>
      </c>
      <c r="E164" s="5" t="n">
        <v>40300</v>
      </c>
      <c r="F164" s="5" t="n">
        <v>40300</v>
      </c>
      <c r="G164" t="inlineStr">
        <is>
          <t>Звіт про договір</t>
        </is>
      </c>
      <c r="H164" t="inlineStr">
        <is>
          <t>Машини для обробки даних (апаратна частина)</t>
        </is>
      </c>
      <c r="I164" t="inlineStr">
        <is>
          <t>договір</t>
        </is>
      </c>
    </row>
    <row r="165">
      <c r="A165" s="4" t="inlineStr">
        <is>
          <t>UA-2026-04-29-000997-a</t>
        </is>
      </c>
      <c r="B165" t="inlineStr">
        <is>
          <t>2026-04-29</t>
        </is>
      </c>
      <c r="C165" t="inlineStr">
        <is>
          <t>Іваничівська селищна рада</t>
        </is>
      </c>
      <c r="D165" t="inlineStr">
        <is>
          <t>Волинська область</t>
        </is>
      </c>
      <c r="E165" s="5" t="n">
        <v>39200</v>
      </c>
      <c r="F165" s="5" t="n">
        <v>39200</v>
      </c>
      <c r="G165" t="inlineStr">
        <is>
          <t>Звіт про договір</t>
        </is>
      </c>
      <c r="H165" t="inlineStr">
        <is>
          <t>Комп’ютерне обладнання</t>
        </is>
      </c>
      <c r="I165" t="inlineStr">
        <is>
          <t>договір</t>
        </is>
      </c>
    </row>
    <row r="166">
      <c r="A166" s="4" t="inlineStr">
        <is>
          <t>UA-2026-04-28-000741-a</t>
        </is>
      </c>
      <c r="B166" t="inlineStr">
        <is>
          <t>2026-04-28</t>
        </is>
      </c>
      <c r="C166" t="inlineStr">
        <is>
          <t>Відділ освіти, культури, молоді та спорту Іваничівської селищної ради</t>
        </is>
      </c>
      <c r="D166" t="inlineStr">
        <is>
          <t>Волинська область</t>
        </is>
      </c>
      <c r="E166" s="5" t="n">
        <v>39000</v>
      </c>
      <c r="F166" s="5" t="n">
        <v>39000</v>
      </c>
      <c r="G166" t="inlineStr">
        <is>
          <t>Звіт про договір</t>
        </is>
      </c>
      <c r="H166" t="inlineStr">
        <is>
          <t>Комп’ютерне обладнання</t>
        </is>
      </c>
      <c r="I166" t="inlineStr">
        <is>
          <t>договір</t>
        </is>
      </c>
    </row>
    <row r="167">
      <c r="A167" s="4" t="inlineStr">
        <is>
          <t>UA-2026-07-27-001584-a</t>
        </is>
      </c>
      <c r="B167" t="inlineStr">
        <is>
          <t>2026-07-27</t>
        </is>
      </c>
      <c r="C167" t="inlineStr">
        <is>
          <t>Поромівська сільська рада</t>
        </is>
      </c>
      <c r="D167" t="inlineStr">
        <is>
          <t>Волинська область</t>
        </is>
      </c>
      <c r="E167" s="5" t="n">
        <v>38000</v>
      </c>
      <c r="F167" s="5" t="n">
        <v>38000</v>
      </c>
      <c r="G167" t="inlineStr">
        <is>
          <t>Звіт про договір</t>
        </is>
      </c>
      <c r="H167" t="inlineStr">
        <is>
          <t>Комп’ютерне обладнання</t>
        </is>
      </c>
      <c r="I167" t="inlineStr">
        <is>
          <t>договір</t>
        </is>
      </c>
    </row>
    <row r="168">
      <c r="A168" s="4" t="inlineStr">
        <is>
          <t>UA-2026-02-04-000266-a</t>
        </is>
      </c>
      <c r="B168" t="inlineStr">
        <is>
          <t>2026-02-04</t>
        </is>
      </c>
      <c r="C168" t="inlineStr">
        <is>
          <t>Територіальний центр соціального обслуговування (надання соціальних послуг) виконкому Нововолинської міської ради</t>
        </is>
      </c>
      <c r="D168" t="inlineStr">
        <is>
          <t>Волинська область</t>
        </is>
      </c>
      <c r="E168" s="5" t="n">
        <v>36100</v>
      </c>
      <c r="F168" s="5" t="n">
        <v>36100</v>
      </c>
      <c r="G168" t="inlineStr">
        <is>
          <t>Звіт про договір</t>
        </is>
      </c>
      <c r="H168" t="inlineStr">
        <is>
          <t>Комп’ютерне обладнання</t>
        </is>
      </c>
      <c r="I168" t="inlineStr">
        <is>
          <t>договір</t>
        </is>
      </c>
    </row>
    <row r="169">
      <c r="A169" s="4" t="inlineStr">
        <is>
          <t>UA-2026-02-04-003027-a</t>
        </is>
      </c>
      <c r="B169" t="inlineStr">
        <is>
          <t>2026-02-04</t>
        </is>
      </c>
      <c r="C169" t="inlineStr">
        <is>
          <t>Нововолинський міський палац культури</t>
        </is>
      </c>
      <c r="D169" t="inlineStr">
        <is>
          <t>Волинська область</t>
        </is>
      </c>
      <c r="E169" s="5" t="n">
        <v>35000</v>
      </c>
      <c r="F169" s="5" t="n">
        <v>35000</v>
      </c>
      <c r="G169" t="inlineStr">
        <is>
          <t>Звіт про договір</t>
        </is>
      </c>
      <c r="H169" t="inlineStr">
        <is>
          <t>Машини для обробки даних (апаратна частина)</t>
        </is>
      </c>
      <c r="I169" t="inlineStr">
        <is>
          <t>договір</t>
        </is>
      </c>
    </row>
    <row r="170">
      <c r="A170" s="4" t="inlineStr">
        <is>
          <t>UA-2026-08-14-000920-a</t>
        </is>
      </c>
      <c r="B170" t="inlineStr">
        <is>
          <t>2026-08-14</t>
        </is>
      </c>
      <c r="C170" t="inlineStr">
        <is>
          <t>КНП "ІВАНИЧІВСЬКИЙ ЦЕНТР ПЕРВИННОЇ МЕДИКО-САНІТАРНОЇ ДОПОМОГИ"</t>
        </is>
      </c>
      <c r="D170" t="inlineStr">
        <is>
          <t>Волинська область</t>
        </is>
      </c>
      <c r="E170" s="5" t="n">
        <v>32699</v>
      </c>
      <c r="F170" s="5" t="n">
        <v>32699</v>
      </c>
      <c r="G170" t="inlineStr">
        <is>
          <t>Звіт про договір</t>
        </is>
      </c>
      <c r="H170" t="inlineStr">
        <is>
          <t>Машини для обробки даних (апаратна частина)</t>
        </is>
      </c>
      <c r="I170" t="inlineStr">
        <is>
          <t>договір</t>
        </is>
      </c>
    </row>
    <row r="171">
      <c r="A171" s="4" t="inlineStr">
        <is>
          <t>UA-2026-01-13-002834-a</t>
        </is>
      </c>
      <c r="B171" t="inlineStr">
        <is>
          <t>2026-01-13</t>
        </is>
      </c>
      <c r="C171" t="inlineStr">
        <is>
          <t>КНП "ІВАНИЧІВСЬКИЙ ЦЕНТР ПЕРВИННОЇ МЕДИКО-САНІТАРНОЇ ДОПОМОГИ"</t>
        </is>
      </c>
      <c r="D171" t="inlineStr">
        <is>
          <t>Волинська область</t>
        </is>
      </c>
      <c r="E171" s="5" t="n">
        <v>31900</v>
      </c>
      <c r="F171" s="5" t="n">
        <v>31900</v>
      </c>
      <c r="G171" t="inlineStr">
        <is>
          <t>Звіт про договір</t>
        </is>
      </c>
      <c r="H171" t="inlineStr">
        <is>
          <t>Машини для обробки даних (апаратна частина)</t>
        </is>
      </c>
      <c r="I171" t="inlineStr">
        <is>
          <t>договір</t>
        </is>
      </c>
    </row>
    <row r="172">
      <c r="A172" s="4" t="inlineStr">
        <is>
          <t>UA-2025-11-04-001201-a</t>
        </is>
      </c>
      <c r="B172" t="inlineStr">
        <is>
          <t>2025-11-04</t>
        </is>
      </c>
      <c r="C172" t="inlineStr">
        <is>
          <t>КНП "ІВАНИЧІВСЬКИЙ ЦЕНТР ПЕРВИННОЇ МЕДИКО-САНІТАРНОЇ ДОПОМОГИ"</t>
        </is>
      </c>
      <c r="D172" t="inlineStr">
        <is>
          <t>Волинська область</t>
        </is>
      </c>
      <c r="E172" s="5" t="n">
        <v>29800</v>
      </c>
      <c r="F172" s="5" t="n">
        <v>29800</v>
      </c>
      <c r="G172" t="inlineStr">
        <is>
          <t>Звіт про договір</t>
        </is>
      </c>
      <c r="H172" t="inlineStr">
        <is>
          <t>Машини для обробки даних (апаратна частина)</t>
        </is>
      </c>
      <c r="I172" t="inlineStr">
        <is>
          <t>договір</t>
        </is>
      </c>
    </row>
    <row r="173">
      <c r="A173" s="4" t="inlineStr">
        <is>
          <t>UA-2026-01-15-003366-a</t>
        </is>
      </c>
      <c r="B173" t="inlineStr">
        <is>
          <t>2026-01-15</t>
        </is>
      </c>
      <c r="C173" t="inlineStr">
        <is>
          <t>КНП "ІВАНИЧІВСЬКИЙ ЦЕНТР ПЕРВИННОЇ МЕДИКО-САНІТАРНОЇ ДОПОМОГИ"</t>
        </is>
      </c>
      <c r="D173" t="inlineStr">
        <is>
          <t>Волинська область</t>
        </is>
      </c>
      <c r="E173" s="5" t="n">
        <v>28500</v>
      </c>
      <c r="F173" s="5" t="n">
        <v>28500</v>
      </c>
      <c r="G173" t="inlineStr">
        <is>
          <t>Звіт про договір</t>
        </is>
      </c>
      <c r="H173" t="inlineStr">
        <is>
          <t>Машини для обробки даних (апаратна частина)</t>
        </is>
      </c>
      <c r="I173" t="inlineStr">
        <is>
          <t>договір</t>
        </is>
      </c>
    </row>
    <row r="174">
      <c r="A174" s="4" t="inlineStr">
        <is>
          <t>UA-2026-02-16-008541-a</t>
        </is>
      </c>
      <c r="B174" t="inlineStr">
        <is>
          <t>2026-02-16</t>
        </is>
      </c>
      <c r="C174" t="inlineStr">
        <is>
          <t>КНП "Литовезька амбулаторія загальної практики - сімейної медицини" Литовезької сільської ради Іваничівського району Волинської області</t>
        </is>
      </c>
      <c r="D174" t="inlineStr">
        <is>
          <t>Волинська область</t>
        </is>
      </c>
      <c r="E174" s="5" t="n">
        <v>27600</v>
      </c>
      <c r="F174" s="5" t="n">
        <v>27600</v>
      </c>
      <c r="G174" t="inlineStr">
        <is>
          <t>Звіт про договір</t>
        </is>
      </c>
      <c r="H174" t="inlineStr">
        <is>
          <t>Комп’ютерне обладнання</t>
        </is>
      </c>
      <c r="I174" t="inlineStr">
        <is>
          <t>договір</t>
        </is>
      </c>
    </row>
    <row r="175">
      <c r="A175" s="4" t="inlineStr">
        <is>
          <t>UA-2026-02-18-007805-a</t>
        </is>
      </c>
      <c r="B175" t="inlineStr">
        <is>
          <t>2026-02-18</t>
        </is>
      </c>
      <c r="C175" t="inlineStr">
        <is>
          <t>КНП "НОВОВОЛИНСЬКИЙ ЦЕНТР ПЕРВИННОЇ МЕДИКО-САНІТАРНОЇ ДОПОМОГИ НОВОВОЛИНСЬКОЇ МІСЬКОЇ РАДИ ВОЛИНСЬКОЇ ОБЛАСТІ"</t>
        </is>
      </c>
      <c r="D175" t="inlineStr">
        <is>
          <t>Волинська область</t>
        </is>
      </c>
      <c r="E175" s="5" t="n">
        <v>21200</v>
      </c>
      <c r="F175" s="5" t="n">
        <v>21200</v>
      </c>
      <c r="G175" t="inlineStr">
        <is>
          <t>Звіт про договір</t>
        </is>
      </c>
      <c r="H175" t="inlineStr">
        <is>
          <t>Комп’ютерне обладнання</t>
        </is>
      </c>
      <c r="I175" t="inlineStr">
        <is>
          <t>договір</t>
        </is>
      </c>
    </row>
    <row r="176">
      <c r="A176" s="4" t="inlineStr">
        <is>
          <t>UA-2025-12-09-000950-a</t>
        </is>
      </c>
      <c r="B176" t="inlineStr">
        <is>
          <t>2025-12-09</t>
        </is>
      </c>
      <c r="C176" t="inlineStr">
        <is>
          <t>Нововолинський науковий ліцей Волинської обласної ради</t>
        </is>
      </c>
      <c r="D176" t="inlineStr">
        <is>
          <t>Волинська область</t>
        </is>
      </c>
      <c r="E176" s="5" t="n">
        <v>21000</v>
      </c>
      <c r="F176" s="5" t="n">
        <v>21000</v>
      </c>
      <c r="G176" t="inlineStr">
        <is>
          <t>Звіт про договір</t>
        </is>
      </c>
      <c r="H176" t="inlineStr">
        <is>
          <t>Комп’ютерне обладнання</t>
        </is>
      </c>
      <c r="I176" t="inlineStr">
        <is>
          <t>договір</t>
        </is>
      </c>
    </row>
    <row r="177">
      <c r="A177" s="4" t="inlineStr">
        <is>
          <t>UA-2025-12-19-022968-a</t>
        </is>
      </c>
      <c r="B177" t="inlineStr">
        <is>
          <t>2025-12-19</t>
        </is>
      </c>
      <c r="C177" t="inlineStr">
        <is>
          <t>Нововолинський науковий ліцей Волинської обласної ради</t>
        </is>
      </c>
      <c r="D177" t="inlineStr">
        <is>
          <t>Волинська область</t>
        </is>
      </c>
      <c r="E177" s="5" t="n">
        <v>20500</v>
      </c>
      <c r="F177" s="5" t="n">
        <v>20500</v>
      </c>
      <c r="G177" t="inlineStr">
        <is>
          <t>Звіт про договір</t>
        </is>
      </c>
      <c r="H177" t="inlineStr">
        <is>
          <t>Комп’ютерне обладнання</t>
        </is>
      </c>
      <c r="I177" t="inlineStr">
        <is>
          <t>договір</t>
        </is>
      </c>
    </row>
    <row r="178">
      <c r="A178" s="4" t="inlineStr">
        <is>
          <t>UA-2025-11-24-012403-a</t>
        </is>
      </c>
      <c r="B178" t="inlineStr">
        <is>
          <t>2025-11-24</t>
        </is>
      </c>
      <c r="C178" t="inlineStr">
        <is>
          <t>КНП "НОВОВОЛИНСЬКИЙ ЦЕНТР ПЕРВИННОЇ МЕДИКО-САНІТАРНОЇ ДОПОМОГИ НОВОВОЛИНСЬКОЇ МІСЬКОЇ РАДИ ВОЛИНСЬКОЇ ОБЛАСТІ"</t>
        </is>
      </c>
      <c r="D178" t="inlineStr">
        <is>
          <t>Волинська область</t>
        </is>
      </c>
      <c r="E178" s="5" t="n">
        <v>20499</v>
      </c>
      <c r="F178" s="5" t="n">
        <v>20499</v>
      </c>
      <c r="G178" t="inlineStr">
        <is>
          <t>Звіт про договір</t>
        </is>
      </c>
      <c r="H178" t="inlineStr">
        <is>
          <t>Комп’ютерне обладнання</t>
        </is>
      </c>
      <c r="I178" t="inlineStr">
        <is>
          <t>договір</t>
        </is>
      </c>
    </row>
    <row r="179">
      <c r="A179" s="4" t="inlineStr">
        <is>
          <t>UA-2025-11-25-008532-a</t>
        </is>
      </c>
      <c r="B179" t="inlineStr">
        <is>
          <t>2025-11-25</t>
        </is>
      </c>
      <c r="C179" t="inlineStr">
        <is>
          <t>КНП "НОВОВОЛИНСЬКИЙ ЦЕНТР ПЕРВИННОЇ МЕДИКО-САНІТАРНОЇ ДОПОМОГИ НОВОВОЛИНСЬКОЇ МІСЬКОЇ РАДИ ВОЛИНСЬКОЇ ОБЛАСТІ"</t>
        </is>
      </c>
      <c r="D179" t="inlineStr">
        <is>
          <t>Волинська область</t>
        </is>
      </c>
      <c r="E179" s="5" t="n">
        <v>20400</v>
      </c>
      <c r="F179" s="5" t="n">
        <v>20400</v>
      </c>
      <c r="G179" t="inlineStr">
        <is>
          <t>Звіт про договір</t>
        </is>
      </c>
      <c r="H179" t="inlineStr">
        <is>
          <t>Комп’ютерне обладнання</t>
        </is>
      </c>
      <c r="I179" t="inlineStr">
        <is>
          <t>договір</t>
        </is>
      </c>
    </row>
    <row r="180">
      <c r="A180" s="4" t="inlineStr">
        <is>
          <t>UA-2025-12-05-008674-a</t>
        </is>
      </c>
      <c r="B180" t="inlineStr">
        <is>
          <t>2025-12-05</t>
        </is>
      </c>
      <c r="C180" t="inlineStr">
        <is>
          <t>НОВОВОЛИНСЬКИЙ ЛІЦЕЙ № 7 НОВОВОЛИНСЬКОЇ МІСЬКОЇ РАДИ ВОЛИНСЬКОЇ ОБЛАСТІ</t>
        </is>
      </c>
      <c r="D180" t="inlineStr">
        <is>
          <t>Волинська область</t>
        </is>
      </c>
      <c r="E180" s="5" t="n">
        <v>20200</v>
      </c>
      <c r="F180" s="5" t="n">
        <v>20200</v>
      </c>
      <c r="G180" t="inlineStr">
        <is>
          <t>Звіт про договір</t>
        </is>
      </c>
      <c r="H180" t="inlineStr">
        <is>
          <t>Комп’ютерне обладнання</t>
        </is>
      </c>
      <c r="I180" t="inlineStr">
        <is>
          <t>договір</t>
        </is>
      </c>
    </row>
    <row r="181">
      <c r="A181" s="4" t="inlineStr">
        <is>
          <t>UA-2026-02-27-005868-a</t>
        </is>
      </c>
      <c r="B181" t="inlineStr">
        <is>
          <t>2026-02-27</t>
        </is>
      </c>
      <c r="C181" t="inlineStr">
        <is>
          <t>Комунальний заклад професійної освіти «Нововолинський центр професійної освіти» Волинської обласної ради</t>
        </is>
      </c>
      <c r="D181" t="inlineStr">
        <is>
          <t>Волинська область</t>
        </is>
      </c>
      <c r="E181" s="5" t="n">
        <v>19999</v>
      </c>
      <c r="F181" s="5" t="n">
        <v>19999</v>
      </c>
      <c r="G181" t="inlineStr">
        <is>
          <t>Звіт про договір</t>
        </is>
      </c>
      <c r="H181" t="inlineStr">
        <is>
          <t>Машини для обробки даних (апаратна частина)</t>
        </is>
      </c>
      <c r="I181" t="inlineStr">
        <is>
          <t>договір</t>
        </is>
      </c>
    </row>
    <row r="182">
      <c r="A182" s="4" t="inlineStr">
        <is>
          <t>UA-2025-12-18-005141-a</t>
        </is>
      </c>
      <c r="B182" t="inlineStr">
        <is>
          <t>2025-12-18</t>
        </is>
      </c>
      <c r="C182" t="inlineStr">
        <is>
          <t>НОВОВОЛИНСЬКИЙ ЛІЦЕЙ № 7 НОВОВОЛИНСЬКОЇ МІСЬКОЇ РАДИ ВОЛИНСЬКОЇ ОБЛАСТІ</t>
        </is>
      </c>
      <c r="D182" t="inlineStr">
        <is>
          <t>Волинська область</t>
        </is>
      </c>
      <c r="E182" s="5" t="n">
        <v>16000</v>
      </c>
      <c r="F182" s="5" t="n">
        <v>16000</v>
      </c>
      <c r="G182" t="inlineStr">
        <is>
          <t>Звіт про договір</t>
        </is>
      </c>
      <c r="H182" t="inlineStr">
        <is>
          <t>Комп’ютерне обладнання</t>
        </is>
      </c>
      <c r="I182" t="inlineStr">
        <is>
          <t>договір</t>
        </is>
      </c>
    </row>
    <row r="183">
      <c r="A183" s="4" t="inlineStr">
        <is>
          <t>UA-2026-01-15-004626-a</t>
        </is>
      </c>
      <c r="B183" t="inlineStr">
        <is>
          <t>2026-01-15</t>
        </is>
      </c>
      <c r="C183" t="inlineStr">
        <is>
          <t>КНП "ІВАНИЧІВСЬКИЙ ЦЕНТР ПЕРВИННОЇ МЕДИКО-САНІТАРНОЇ ДОПОМОГИ"</t>
        </is>
      </c>
      <c r="D183" t="inlineStr">
        <is>
          <t>Волинська область</t>
        </is>
      </c>
      <c r="E183" s="5" t="n">
        <v>13450</v>
      </c>
      <c r="F183" s="5" t="n">
        <v>13450</v>
      </c>
      <c r="G183" t="inlineStr">
        <is>
          <t>Звіт про договір</t>
        </is>
      </c>
      <c r="H183" t="inlineStr">
        <is>
          <t>Комп’ютерне обладнання</t>
        </is>
      </c>
      <c r="I183" t="inlineStr">
        <is>
          <t>договір</t>
        </is>
      </c>
    </row>
    <row r="184">
      <c r="A184" s="4" t="inlineStr">
        <is>
          <t>UA-2025-10-09-013483-a</t>
        </is>
      </c>
      <c r="B184" t="inlineStr">
        <is>
          <t>2025-10-09</t>
        </is>
      </c>
      <c r="C184" t="inlineStr">
        <is>
          <t>НОВОВОЛИНСЬКИЙ ЛІЦЕЙ №2 НОВОВОЛИНСЬКОЇ МІСЬКОЇ РАДИ ВОЛИНСЬКОЇ ОБЛАСТІ</t>
        </is>
      </c>
      <c r="D184" t="inlineStr">
        <is>
          <t>Волинська область</t>
        </is>
      </c>
      <c r="E184" s="5" t="n">
        <v>12000</v>
      </c>
      <c r="F184" s="5" t="n">
        <v>12000</v>
      </c>
      <c r="G184" t="inlineStr">
        <is>
          <t>Звіт про договір</t>
        </is>
      </c>
      <c r="H184" t="inlineStr">
        <is>
          <t>Комп’ютерне обладнання</t>
        </is>
      </c>
      <c r="I184" t="inlineStr">
        <is>
          <t>договір</t>
        </is>
      </c>
    </row>
    <row r="185">
      <c r="A185" s="4" t="inlineStr">
        <is>
          <t>UA-2025-12-26-007896-a</t>
        </is>
      </c>
      <c r="B185" t="inlineStr">
        <is>
          <t>2025-12-26</t>
        </is>
      </c>
      <c r="C185" t="inlineStr">
        <is>
          <t>Комунальний заклад професійної освіти «Нововолинський центр професійної освіти» Волинської обласної ради</t>
        </is>
      </c>
      <c r="D185" t="inlineStr">
        <is>
          <t>Волинська область</t>
        </is>
      </c>
      <c r="E185" s="5" t="n">
        <v>7300</v>
      </c>
      <c r="F185" s="5" t="n">
        <v>7300</v>
      </c>
      <c r="G185" t="inlineStr">
        <is>
          <t>Звіт про договір</t>
        </is>
      </c>
      <c r="H185" t="inlineStr">
        <is>
          <t>Комп’ютерне обладнання</t>
        </is>
      </c>
      <c r="I185" t="inlineStr">
        <is>
          <t>договір</t>
        </is>
      </c>
    </row>
    <row r="186">
      <c r="A186" s="4" t="inlineStr">
        <is>
          <t>UA-2025-09-11-010638-a</t>
        </is>
      </c>
      <c r="B186" t="inlineStr">
        <is>
          <t>2025-09-11</t>
        </is>
      </c>
      <c r="C186" t="inlineStr">
        <is>
          <t>Нововолинський науковий ліцей Волинської обласної ради</t>
        </is>
      </c>
      <c r="D186" t="inlineStr">
        <is>
          <t>Волинська область</t>
        </is>
      </c>
      <c r="E186" s="5" t="n">
        <v>7100</v>
      </c>
      <c r="F186" s="5" t="n">
        <v>7100</v>
      </c>
      <c r="G186" t="inlineStr">
        <is>
          <t>Звіт про договір</t>
        </is>
      </c>
      <c r="H186" t="inlineStr">
        <is>
          <t>Комп’ютерне обладнання</t>
        </is>
      </c>
      <c r="I186" t="inlineStr">
        <is>
          <t>договір</t>
        </is>
      </c>
    </row>
    <row r="187">
      <c r="A187" s="4" t="inlineStr">
        <is>
          <t>UA-2025-11-11-008386-a</t>
        </is>
      </c>
      <c r="B187" t="inlineStr">
        <is>
          <t>2025-11-11</t>
        </is>
      </c>
      <c r="C187" t="inlineStr">
        <is>
          <t>Комунальний заклад професійної освіти «Нововолинський центр професійної освіти» Волинської обласної ради</t>
        </is>
      </c>
      <c r="D187" t="inlineStr">
        <is>
          <t>Волинська область</t>
        </is>
      </c>
      <c r="E187" s="5" t="n">
        <v>5800</v>
      </c>
      <c r="F187" s="5" t="n">
        <v>5800</v>
      </c>
      <c r="G187" t="inlineStr">
        <is>
          <t>Звіт про договір</t>
        </is>
      </c>
      <c r="H187" t="inlineStr">
        <is>
          <t>Комп’ютерне обладнання</t>
        </is>
      </c>
      <c r="I187" t="inlineStr">
        <is>
          <t>договір</t>
        </is>
      </c>
    </row>
    <row r="188">
      <c r="A188" s="4" t="inlineStr">
        <is>
          <t>UA-2026-02-27-006254-a</t>
        </is>
      </c>
      <c r="B188" t="inlineStr">
        <is>
          <t>2026-02-27</t>
        </is>
      </c>
      <c r="C188" t="inlineStr">
        <is>
          <t>Комунальний заклад професійної освіти «Нововолинський центр професійної освіти» Волинської обласної ради</t>
        </is>
      </c>
      <c r="D188" t="inlineStr">
        <is>
          <t>Волинська область</t>
        </is>
      </c>
      <c r="E188" s="5" t="n">
        <v>4900</v>
      </c>
      <c r="F188" s="5" t="n">
        <v>4900</v>
      </c>
      <c r="G188" t="inlineStr">
        <is>
          <t>Звіт про договір</t>
        </is>
      </c>
      <c r="H188" t="inlineStr">
        <is>
          <t>Комп’ютерне обладнання</t>
        </is>
      </c>
      <c r="I188" t="inlineStr">
        <is>
          <t>договір</t>
        </is>
      </c>
    </row>
    <row r="189">
      <c r="A189" s="4" t="inlineStr">
        <is>
          <t>UA-2026-08-27-003601-a</t>
        </is>
      </c>
      <c r="B189" t="inlineStr">
        <is>
          <t>2026-08-27</t>
        </is>
      </c>
      <c r="C189" t="inlineStr">
        <is>
          <t>Комунальний заклад професійної освіти «Нововолинський центр професійної освіти» Волинської обласної ради</t>
        </is>
      </c>
      <c r="D189" t="inlineStr">
        <is>
          <t>Волинська область</t>
        </is>
      </c>
      <c r="E189" s="5" t="n">
        <v>3650</v>
      </c>
      <c r="F189" s="5" t="n">
        <v>3650</v>
      </c>
      <c r="G189" t="inlineStr">
        <is>
          <t>Звіт про договір</t>
        </is>
      </c>
      <c r="H189" t="inlineStr">
        <is>
          <t>Комп’ютерне обладнання</t>
        </is>
      </c>
      <c r="I189" t="inlineStr">
        <is>
          <t>договір</t>
        </is>
      </c>
    </row>
    <row r="190">
      <c r="A190" s="4" t="inlineStr">
        <is>
          <t>UA-2026-01-27-015449-a</t>
        </is>
      </c>
      <c r="B190" t="inlineStr">
        <is>
          <t>2026-01-27</t>
        </is>
      </c>
      <c r="C190" t="inlineStr">
        <is>
          <t>Комунальний заклад професійної освіти «Нововолинський центр професійної освіти» Волинської обласної ради</t>
        </is>
      </c>
      <c r="D190" t="inlineStr">
        <is>
          <t>Волинська область</t>
        </is>
      </c>
      <c r="E190" s="5" t="n">
        <v>2900</v>
      </c>
      <c r="F190" s="5" t="n">
        <v>2900</v>
      </c>
      <c r="G190" t="inlineStr">
        <is>
          <t>Звіт про договір</t>
        </is>
      </c>
      <c r="H190" t="inlineStr">
        <is>
          <t>Комп’ютерне обладнання</t>
        </is>
      </c>
      <c r="I190" t="inlineStr">
        <is>
          <t>договір</t>
        </is>
      </c>
    </row>
    <row r="191">
      <c r="A191" s="4" t="inlineStr">
        <is>
          <t>UA-2026-08-27-003105-a</t>
        </is>
      </c>
      <c r="B191" t="inlineStr">
        <is>
          <t>2026-08-27</t>
        </is>
      </c>
      <c r="C191" t="inlineStr">
        <is>
          <t>Комунальний заклад професійної освіти «Нововолинський центр професійної освіти» Волинської обласної ради</t>
        </is>
      </c>
      <c r="D191" t="inlineStr">
        <is>
          <t>Волинська область</t>
        </is>
      </c>
      <c r="E191" s="5" t="n">
        <v>2850</v>
      </c>
      <c r="F191" s="5" t="n">
        <v>2850</v>
      </c>
      <c r="G191" t="inlineStr">
        <is>
          <t>Звіт про договір</t>
        </is>
      </c>
      <c r="H191" t="inlineStr">
        <is>
          <t>Комп’ютерне обладнання</t>
        </is>
      </c>
      <c r="I191" t="inlineStr">
        <is>
          <t>договір</t>
        </is>
      </c>
    </row>
    <row r="192">
      <c r="A192" s="4" t="inlineStr">
        <is>
          <t>UA-2025-11-11-005205-a</t>
        </is>
      </c>
      <c r="B192" t="inlineStr">
        <is>
          <t>2025-11-11</t>
        </is>
      </c>
      <c r="C192" t="inlineStr">
        <is>
          <t>Комунальний заклад професійної освіти «Нововолинський центр професійної освіти» Волинської обласної ради</t>
        </is>
      </c>
      <c r="D192" t="inlineStr">
        <is>
          <t>Волинська область</t>
        </is>
      </c>
      <c r="E192" s="5" t="n">
        <v>2650</v>
      </c>
      <c r="F192" s="5" t="n">
        <v>2650</v>
      </c>
      <c r="G192" t="inlineStr">
        <is>
          <t>Звіт про договір</t>
        </is>
      </c>
      <c r="H192" t="inlineStr">
        <is>
          <t>Комп’ютерне обладнання</t>
        </is>
      </c>
      <c r="I192" t="inlineStr">
        <is>
          <t>договір</t>
        </is>
      </c>
    </row>
    <row r="193">
      <c r="A193" s="4" t="inlineStr">
        <is>
          <t>UA-2025-10-03-003374-a</t>
        </is>
      </c>
      <c r="B193" t="inlineStr">
        <is>
          <t>2025-10-03</t>
        </is>
      </c>
      <c r="C193" t="inlineStr">
        <is>
          <t>Управління соціальної політики Нововолинської міської ради</t>
        </is>
      </c>
      <c r="D193" t="inlineStr">
        <is>
          <t>Волинська область</t>
        </is>
      </c>
      <c r="E193" s="5" t="n">
        <v>2550</v>
      </c>
      <c r="F193" s="5" t="n">
        <v>2550</v>
      </c>
      <c r="G193" t="inlineStr">
        <is>
          <t>Звіт про договір</t>
        </is>
      </c>
      <c r="H193" t="inlineStr">
        <is>
          <t>Комп’ютерне обладнання</t>
        </is>
      </c>
      <c r="I193" t="inlineStr">
        <is>
          <t>договір</t>
        </is>
      </c>
    </row>
    <row r="194">
      <c r="A194" s="4" t="inlineStr">
        <is>
          <t>UA-2025-12-26-000577-a</t>
        </is>
      </c>
      <c r="B194" t="inlineStr">
        <is>
          <t>2025-12-26</t>
        </is>
      </c>
      <c r="C194" t="inlineStr">
        <is>
          <t>Комунальний заклад професійної освіти «Нововолинський центр професійної освіти» Волинської обласної ради</t>
        </is>
      </c>
      <c r="D194" t="inlineStr">
        <is>
          <t>Волинська область</t>
        </is>
      </c>
      <c r="E194" s="5" t="n">
        <v>2300</v>
      </c>
      <c r="F194" s="5" t="n">
        <v>2300</v>
      </c>
      <c r="G194" t="inlineStr">
        <is>
          <t>Звіт про договір</t>
        </is>
      </c>
      <c r="H194" t="inlineStr">
        <is>
          <t>Комп’ютерне обладнання</t>
        </is>
      </c>
      <c r="I194" t="inlineStr">
        <is>
          <t>договір</t>
        </is>
      </c>
    </row>
    <row r="195">
      <c r="A195" s="4" t="inlineStr">
        <is>
          <t>UA-2026-02-04-005120-a</t>
        </is>
      </c>
      <c r="B195" t="inlineStr">
        <is>
          <t>2026-02-04</t>
        </is>
      </c>
      <c r="C195" t="inlineStr">
        <is>
          <t>Комунальний заклад професійної освіти «Нововолинський центр професійної освіти» Волинської обласної ради</t>
        </is>
      </c>
      <c r="D195" t="inlineStr">
        <is>
          <t>Волинська область</t>
        </is>
      </c>
      <c r="E195" s="5" t="n">
        <v>2100</v>
      </c>
      <c r="F195" s="5" t="n">
        <v>2100</v>
      </c>
      <c r="G195" t="inlineStr">
        <is>
          <t>Звіт про договір</t>
        </is>
      </c>
      <c r="H195" t="inlineStr">
        <is>
          <t>Комп’ютерне обладнання</t>
        </is>
      </c>
      <c r="I195" t="inlineStr">
        <is>
          <t>договір</t>
        </is>
      </c>
    </row>
    <row r="196">
      <c r="A196" s="4" t="inlineStr">
        <is>
          <t>UA-2025-11-11-004978-a</t>
        </is>
      </c>
      <c r="B196" t="inlineStr">
        <is>
          <t>2025-11-11</t>
        </is>
      </c>
      <c r="C196" t="inlineStr">
        <is>
          <t>Комунальний заклад професійної освіти «Нововолинський центр професійної освіти» Волинської обласної ради</t>
        </is>
      </c>
      <c r="D196" t="inlineStr">
        <is>
          <t>Волинська область</t>
        </is>
      </c>
      <c r="E196" s="5" t="n">
        <v>1640</v>
      </c>
      <c r="F196" s="5" t="n">
        <v>1640</v>
      </c>
      <c r="G196" t="inlineStr">
        <is>
          <t>Звіт про договір</t>
        </is>
      </c>
      <c r="H196" t="inlineStr">
        <is>
          <t>Комп’ютерне обладнання</t>
        </is>
      </c>
      <c r="I196" t="inlineStr">
        <is>
          <t>договір</t>
        </is>
      </c>
    </row>
    <row r="197">
      <c r="A197" s="4" t="inlineStr">
        <is>
          <t>UA-2025-11-25-014359-a</t>
        </is>
      </c>
      <c r="B197" t="inlineStr">
        <is>
          <t>2025-11-25</t>
        </is>
      </c>
      <c r="C197" t="inlineStr">
        <is>
          <t>Комунальний заклад професійної освіти «Нововолинський центр професійної освіти» Волинської обласної ради</t>
        </is>
      </c>
      <c r="D197" t="inlineStr">
        <is>
          <t>Волинська область</t>
        </is>
      </c>
      <c r="E197" s="5" t="n">
        <v>1600</v>
      </c>
      <c r="F197" s="5" t="n">
        <v>1600</v>
      </c>
      <c r="G197" t="inlineStr">
        <is>
          <t>Звіт про договір</t>
        </is>
      </c>
      <c r="H197" t="inlineStr">
        <is>
          <t>Комп’ютерне обладнання</t>
        </is>
      </c>
      <c r="I197" t="inlineStr">
        <is>
          <t>договір</t>
        </is>
      </c>
    </row>
    <row r="198">
      <c r="A198" s="4" t="inlineStr">
        <is>
          <t>UA-2025-11-11-008669-a</t>
        </is>
      </c>
      <c r="B198" t="inlineStr">
        <is>
          <t>2025-11-11</t>
        </is>
      </c>
      <c r="C198" t="inlineStr">
        <is>
          <t>Комунальний заклад професійної освіти «Нововолинський центр професійної освіти» Волинської обласної ради</t>
        </is>
      </c>
      <c r="D198" t="inlineStr">
        <is>
          <t>Волинська область</t>
        </is>
      </c>
      <c r="E198" s="5" t="n">
        <v>1470</v>
      </c>
      <c r="F198" s="5" t="n">
        <v>1470</v>
      </c>
      <c r="G198" t="inlineStr">
        <is>
          <t>Звіт про договір</t>
        </is>
      </c>
      <c r="H198" t="inlineStr">
        <is>
          <t>Комп’ютерне обладнання</t>
        </is>
      </c>
      <c r="I198" t="inlineStr">
        <is>
          <t>договір</t>
        </is>
      </c>
    </row>
    <row r="199">
      <c r="A199" s="4" t="inlineStr">
        <is>
          <t>UA-2026-07-08-003573-a</t>
        </is>
      </c>
      <c r="B199" t="inlineStr">
        <is>
          <t>2026-07-08</t>
        </is>
      </c>
      <c r="C199" t="inlineStr">
        <is>
          <t>Комунальний заклад професійної освіти «Нововолинський центр професійної освіти» Волинської обласної ради</t>
        </is>
      </c>
      <c r="D199" t="inlineStr">
        <is>
          <t>Волинська область</t>
        </is>
      </c>
      <c r="E199" s="5" t="n">
        <v>1400</v>
      </c>
      <c r="F199" s="5" t="n">
        <v>1400</v>
      </c>
      <c r="G199" t="inlineStr">
        <is>
          <t>Звіт про договір</t>
        </is>
      </c>
      <c r="H199" t="inlineStr">
        <is>
          <t>Комп’ютерне обладнання</t>
        </is>
      </c>
      <c r="I199" t="inlineStr">
        <is>
          <t>договір</t>
        </is>
      </c>
    </row>
    <row r="200">
      <c r="A200" s="4" t="inlineStr">
        <is>
          <t>UA-2026-07-06-001474-a</t>
        </is>
      </c>
      <c r="B200" t="inlineStr">
        <is>
          <t>2026-07-06</t>
        </is>
      </c>
      <c r="C200" t="inlineStr">
        <is>
          <t>Відділ з питань ветеранської політики Нововолинської міської ради</t>
        </is>
      </c>
      <c r="D200" t="inlineStr">
        <is>
          <t>Волинська область</t>
        </is>
      </c>
      <c r="E200" s="5" t="n">
        <v>1360</v>
      </c>
      <c r="F200" s="5" t="n">
        <v>1360</v>
      </c>
      <c r="G200" t="inlineStr">
        <is>
          <t>Звіт про договір</t>
        </is>
      </c>
      <c r="H200" t="inlineStr">
        <is>
          <t>Комп’ютерне обладнання</t>
        </is>
      </c>
      <c r="I200" t="inlineStr">
        <is>
          <t>договір</t>
        </is>
      </c>
    </row>
    <row r="201">
      <c r="A201" s="4" t="inlineStr">
        <is>
          <t>UA-2026-05-01-003436-a</t>
        </is>
      </c>
      <c r="B201" t="inlineStr">
        <is>
          <t>2026-05-01</t>
        </is>
      </c>
      <c r="C201" t="inlineStr">
        <is>
          <t>Відділ з питань ветеранської політики Нововолинської міської ради</t>
        </is>
      </c>
      <c r="D201" t="inlineStr">
        <is>
          <t>Волинська область</t>
        </is>
      </c>
      <c r="E201" s="5" t="n">
        <v>1360</v>
      </c>
      <c r="F201" s="5" t="n">
        <v>1360</v>
      </c>
      <c r="G201" t="inlineStr">
        <is>
          <t>Звіт про договір</t>
        </is>
      </c>
      <c r="H201" t="inlineStr">
        <is>
          <t>Комп’ютерне обладнання</t>
        </is>
      </c>
      <c r="I201" t="inlineStr">
        <is>
          <t>договір</t>
        </is>
      </c>
    </row>
    <row r="202">
      <c r="A202" s="4" t="inlineStr">
        <is>
          <t>UA-2025-12-25-015554-a</t>
        </is>
      </c>
      <c r="B202" t="inlineStr">
        <is>
          <t>2025-12-25</t>
        </is>
      </c>
      <c r="C202" t="inlineStr">
        <is>
          <t>Комунальний заклад професійної освіти «Нововолинський центр професійної освіти» Волинської обласної ради</t>
        </is>
      </c>
      <c r="D202" t="inlineStr">
        <is>
          <t>Волинська область</t>
        </is>
      </c>
      <c r="E202" s="5" t="n">
        <v>1050</v>
      </c>
      <c r="F202" s="5" t="n">
        <v>1050</v>
      </c>
      <c r="G202" t="inlineStr">
        <is>
          <t>Звіт про договір</t>
        </is>
      </c>
      <c r="H202" t="inlineStr">
        <is>
          <t>Комп’ютерне обладнання</t>
        </is>
      </c>
      <c r="I202" t="inlineStr">
        <is>
          <t>договір</t>
        </is>
      </c>
    </row>
    <row r="203">
      <c r="A203" s="4" t="inlineStr">
        <is>
          <t>UA-2026-02-04-005214-a</t>
        </is>
      </c>
      <c r="B203" t="inlineStr">
        <is>
          <t>2026-02-04</t>
        </is>
      </c>
      <c r="C203" t="inlineStr">
        <is>
          <t>Комунальний заклад професійної освіти «Нововолинський центр професійної освіти» Волинської обласної ради</t>
        </is>
      </c>
      <c r="D203" t="inlineStr">
        <is>
          <t>Волинська область</t>
        </is>
      </c>
      <c r="E203" s="5" t="n">
        <v>750</v>
      </c>
      <c r="F203" s="5" t="n">
        <v>750</v>
      </c>
      <c r="G203" t="inlineStr">
        <is>
          <t>Звіт про договір</t>
        </is>
      </c>
      <c r="H203" t="inlineStr">
        <is>
          <t>Комп’ютерне обладнання</t>
        </is>
      </c>
      <c r="I203" t="inlineStr">
        <is>
          <t>договір</t>
        </is>
      </c>
    </row>
    <row r="204">
      <c r="A204" s="4" t="inlineStr">
        <is>
          <t>UA-2025-11-25-013914-a</t>
        </is>
      </c>
      <c r="B204" t="inlineStr">
        <is>
          <t>2025-11-25</t>
        </is>
      </c>
      <c r="C204" t="inlineStr">
        <is>
          <t>Комунальний заклад професійної освіти «Нововолинський центр професійної освіти» Волинської обласної ради</t>
        </is>
      </c>
      <c r="D204" t="inlineStr">
        <is>
          <t>Волинська область</t>
        </is>
      </c>
      <c r="E204" s="5" t="n">
        <v>495</v>
      </c>
      <c r="F204" s="5" t="n">
        <v>495</v>
      </c>
      <c r="G204" t="inlineStr">
        <is>
          <t>Звіт про договір</t>
        </is>
      </c>
      <c r="H204" t="inlineStr">
        <is>
          <t>Комп’ютерне обладнання</t>
        </is>
      </c>
      <c r="I204" t="inlineStr">
        <is>
          <t>договір</t>
        </is>
      </c>
    </row>
    <row r="205">
      <c r="A205" s="4" t="inlineStr">
        <is>
          <t>UA-2026-06-09-000586-a</t>
        </is>
      </c>
      <c r="B205" t="inlineStr">
        <is>
          <t>2026-06-09</t>
        </is>
      </c>
      <c r="C205" t="inlineStr">
        <is>
          <t>КНП "ІВАНИЧІВСЬКИЙ ЦЕНТР ПЕРВИННОЇ МЕДИКО-САНІТАРНОЇ ДОПОМОГИ"</t>
        </is>
      </c>
      <c r="D205" t="inlineStr">
        <is>
          <t>Волинська область</t>
        </is>
      </c>
      <c r="E205" s="5" t="n">
        <v>180</v>
      </c>
      <c r="F205" s="5" t="n">
        <v>180</v>
      </c>
      <c r="G205" t="inlineStr">
        <is>
          <t>Звіт про договір</t>
        </is>
      </c>
      <c r="H205" t="inlineStr">
        <is>
          <t>Комп’ютерне обладнання</t>
        </is>
      </c>
      <c r="I205" t="inlineStr">
        <is>
          <t>договір</t>
        </is>
      </c>
    </row>
    <row r="206">
      <c r="A206" s="4" t="inlineStr">
        <is>
          <t>UA-2025-11-25-013421-a</t>
        </is>
      </c>
      <c r="B206" t="inlineStr">
        <is>
          <t>2025-11-25</t>
        </is>
      </c>
      <c r="C206" t="inlineStr">
        <is>
          <t>Комунальний заклад професійної освіти «Нововолинський центр професійної освіти» Волинської обласної ради</t>
        </is>
      </c>
      <c r="D206" t="inlineStr">
        <is>
          <t>Волинська область</t>
        </is>
      </c>
      <c r="E206" s="5" t="n">
        <v>150</v>
      </c>
      <c r="F206" s="5" t="n">
        <v>150</v>
      </c>
      <c r="G206" t="inlineStr">
        <is>
          <t>Звіт про договір</t>
        </is>
      </c>
      <c r="H206" t="inlineStr">
        <is>
          <t>Комп’ютерне обладнання</t>
        </is>
      </c>
      <c r="I206" t="inlineStr">
        <is>
          <t>договір</t>
        </is>
      </c>
    </row>
    <row r="208">
      <c r="A208" s="2" t="inlineStr">
        <is>
          <t>Наші зустрічі</t>
        </is>
      </c>
    </row>
    <row r="209">
      <c r="A209" s="11" t="inlineStr">
        <is>
          <t>Закупівля</t>
        </is>
      </c>
      <c r="B209" s="11" t="inlineStr">
        <is>
          <t>Дата</t>
        </is>
      </c>
      <c r="C209" s="11" t="inlineStr">
        <is>
          <t>Замовник</t>
        </is>
      </c>
      <c r="D209" s="11" t="inlineStr">
        <is>
          <t>Предмет</t>
        </is>
      </c>
      <c r="E209" s="11" t="inlineStr">
        <is>
          <t>Сума переможця, грн</t>
        </is>
      </c>
      <c r="F209" s="11" t="inlineStr">
        <is>
          <t>Наша пропозиція, грн</t>
        </is>
      </c>
      <c r="G209" s="11" t="inlineStr">
        <is>
          <t>Розрив</t>
        </is>
      </c>
      <c r="H209" s="11" t="inlineStr">
        <is>
          <t>Що сталося</t>
        </is>
      </c>
    </row>
    <row r="210">
      <c r="A210" s="4" t="inlineStr">
        <is>
          <t>UA-2026-03-30-001969-a</t>
        </is>
      </c>
      <c r="B210" t="inlineStr">
        <is>
          <t>2026-03-30</t>
        </is>
      </c>
      <c r="C210" t="inlineStr">
        <is>
          <t>КП Нововолинськводоканал НМР</t>
        </is>
      </c>
      <c r="D210" t="inlineStr">
        <is>
          <t>Комп’ютерне обладнання (монітори, системні блоки, сканери, принтери, комплекти к</t>
        </is>
      </c>
      <c r="E210" s="5" t="n">
        <v>99900</v>
      </c>
      <c r="H210" t="inlineStr">
        <is>
          <t>ми не подавалися</t>
        </is>
      </c>
    </row>
    <row r="211">
      <c r="A211" s="4" t="inlineStr">
        <is>
          <t>UA-2026-06-25-011478-a</t>
        </is>
      </c>
      <c r="B211" t="inlineStr">
        <is>
          <t>2026-06-25</t>
        </is>
      </c>
      <c r="C211" t="inlineStr">
        <is>
          <t>Фінансове управління Нововолинської міської ради</t>
        </is>
      </c>
      <c r="D211" t="inlineStr">
        <is>
          <t>Системні блоки INTEL Сore i3/DDR4 16Gb 2666MHz/ SSD 2.5” 512Gb Goodram/Asus Prim</t>
        </is>
      </c>
      <c r="E211" s="5" t="n">
        <v>99000</v>
      </c>
      <c r="H211" t="inlineStr">
        <is>
          <t>ми не подавалися</t>
        </is>
      </c>
    </row>
    <row r="212">
      <c r="A212" s="4" t="inlineStr">
        <is>
          <t>UA-2025-12-22-002473-a</t>
        </is>
      </c>
      <c r="B212" t="inlineStr">
        <is>
          <t>2025-12-22</t>
        </is>
      </c>
      <c r="C212" t="inlineStr">
        <is>
          <t>Управління будівництва та інфраструктури виконавчого комітету Нововолинської міської ради Волинської області</t>
        </is>
      </c>
      <c r="D212" t="inlineStr">
        <is>
          <t>Комп'ютери</t>
        </is>
      </c>
      <c r="E212" s="5" t="n">
        <v>90000</v>
      </c>
      <c r="H212" t="inlineStr">
        <is>
          <t>ми не подавалися</t>
        </is>
      </c>
    </row>
    <row r="213">
      <c r="A213" s="4" t="inlineStr">
        <is>
          <t>UA-2026-08-04-010910-a</t>
        </is>
      </c>
      <c r="B213" t="inlineStr">
        <is>
          <t>2026-08-04</t>
        </is>
      </c>
      <c r="C213" t="inlineStr">
        <is>
          <t>Управління соціальної політики Нововолинської міської ради</t>
        </is>
      </c>
      <c r="D213" t="inlineStr">
        <is>
          <t>Персональні комп'ютери</t>
        </is>
      </c>
      <c r="E213" s="5" t="n">
        <v>82500</v>
      </c>
      <c r="H213" t="inlineStr">
        <is>
          <t>ми не подавалися</t>
        </is>
      </c>
    </row>
    <row r="214">
      <c r="A214" s="4" t="inlineStr">
        <is>
          <t>UA-2025-12-03-006193-a</t>
        </is>
      </c>
      <c r="B214" t="inlineStr">
        <is>
          <t>2025-12-03</t>
        </is>
      </c>
      <c r="C214" t="inlineStr">
        <is>
          <t>НОВОВОЛИНСЬКА ШКОЛА МИСТЕЦТВ</t>
        </is>
      </c>
      <c r="D214" t="inlineStr">
        <is>
          <t>Комп’ютерне обладнання (Ноутбук ASUS; ноутбук ACER; ноутбук ASUS М 1502 УА)</t>
        </is>
      </c>
      <c r="E214" s="5" t="n">
        <v>78600</v>
      </c>
      <c r="H214" t="inlineStr">
        <is>
          <t>ми не подавалися</t>
        </is>
      </c>
    </row>
    <row r="215">
      <c r="A215" s="4" t="inlineStr">
        <is>
          <t>UA-2026-02-17-013093-a</t>
        </is>
      </c>
      <c r="B215" t="inlineStr">
        <is>
          <t>2026-02-17</t>
        </is>
      </c>
      <c r="C215" t="inlineStr">
        <is>
          <t>КНП "НОВОВОЛИНСЬКИЙ ЦЕНТР ПЕРВИННОЇ МЕДИКО-САНІТАРНОЇ ДОПОМОГИ НОВОВОЛИНСЬКОЇ МІСЬКОЇ РАДИ ВОЛИНСЬКОЇ ОБЛАСТІ"</t>
        </is>
      </c>
      <c r="D215" t="inlineStr">
        <is>
          <t>Ноутбуки в асортименті</t>
        </is>
      </c>
      <c r="E215" s="5" t="n">
        <v>77600</v>
      </c>
      <c r="H215" t="inlineStr">
        <is>
          <t>ми не подавалися</t>
        </is>
      </c>
    </row>
    <row r="216">
      <c r="A216" s="4" t="inlineStr">
        <is>
          <t>UA-2026-04-06-006206-a</t>
        </is>
      </c>
      <c r="B216" t="inlineStr">
        <is>
          <t>2026-04-06</t>
        </is>
      </c>
      <c r="C216" t="inlineStr">
        <is>
          <t>НОВОВОЛИНСЬКА ШКОЛА МИСТЕЦТВ</t>
        </is>
      </c>
      <c r="D216" t="inlineStr">
        <is>
          <t>Комп’ютерне обладнання (Ноутбук LENOVO; ноутбук ACER)</t>
        </is>
      </c>
      <c r="E216" s="5" t="n">
        <v>61200</v>
      </c>
      <c r="H216" t="inlineStr">
        <is>
          <t>ми не подавалися</t>
        </is>
      </c>
    </row>
    <row r="217">
      <c r="A217" s="4" t="inlineStr">
        <is>
          <t>UA-2026-05-14-005108-a</t>
        </is>
      </c>
      <c r="B217" t="inlineStr">
        <is>
          <t>2026-05-14</t>
        </is>
      </c>
      <c r="C217" t="inlineStr">
        <is>
          <t>Територіальний центр соціального обслуговування (надання соціальних послуг) виконкому Нововолинської міської ради</t>
        </is>
      </c>
      <c r="D217" t="inlineStr">
        <is>
          <t>Персональний комп'ютер</t>
        </is>
      </c>
      <c r="E217" s="5" t="n">
        <v>60000</v>
      </c>
      <c r="H217" t="inlineStr">
        <is>
          <t>ми не подавалися</t>
        </is>
      </c>
    </row>
    <row r="218">
      <c r="A218" s="4" t="inlineStr">
        <is>
          <t>UA-2026-04-02-005235-a</t>
        </is>
      </c>
      <c r="B218" t="inlineStr">
        <is>
          <t>2026-04-02</t>
        </is>
      </c>
      <c r="C218" t="inlineStr">
        <is>
          <t>Поромівська сільська рада</t>
        </is>
      </c>
      <c r="D218" t="inlineStr">
        <is>
          <t>Придбання багатофункціональних пристроїв та ноутбуку</t>
        </is>
      </c>
      <c r="E218" s="5" t="n">
        <v>44950</v>
      </c>
      <c r="H218" t="inlineStr">
        <is>
          <t>ми не подавалися</t>
        </is>
      </c>
    </row>
    <row r="219">
      <c r="A219" s="4" t="inlineStr">
        <is>
          <t>UA-2025-10-31-001127-a</t>
        </is>
      </c>
      <c r="B219" t="inlineStr">
        <is>
          <t>2025-10-31</t>
        </is>
      </c>
      <c r="C219" t="inlineStr">
        <is>
          <t>КП Нововолинськводоканал НМР</t>
        </is>
      </c>
      <c r="D219" t="inlineStr">
        <is>
          <t>Ноутбук в комплекті</t>
        </is>
      </c>
      <c r="E219" s="5" t="n">
        <v>43422</v>
      </c>
      <c r="H219" t="inlineStr">
        <is>
          <t>ми не подавалися</t>
        </is>
      </c>
    </row>
    <row r="220">
      <c r="A220" s="4" t="inlineStr">
        <is>
          <t>UA-2026-04-06-007529-a</t>
        </is>
      </c>
      <c r="B220" t="inlineStr">
        <is>
          <t>2026-04-06</t>
        </is>
      </c>
      <c r="C220" t="inlineStr">
        <is>
          <t>НОВОВОЛИНСЬКА ШКОЛА МИСТЕЦТВ</t>
        </is>
      </c>
      <c r="D220" t="inlineStr">
        <is>
          <t>Машини для обробки даних (апаратна частина) (Монітор 50"; монітор 43"; монітор A</t>
        </is>
      </c>
      <c r="E220" s="5" t="n">
        <v>40300</v>
      </c>
      <c r="H220" t="inlineStr">
        <is>
          <t>ми не подавалися</t>
        </is>
      </c>
    </row>
    <row r="221">
      <c r="A221" s="4" t="inlineStr">
        <is>
          <t>UA-2026-04-06-006378-a</t>
        </is>
      </c>
      <c r="B221" t="inlineStr">
        <is>
          <t>2026-04-06</t>
        </is>
      </c>
      <c r="C221" t="inlineStr">
        <is>
          <t>НОВОВОЛИНСЬКА ШКОЛА МИСТЕЦТВ</t>
        </is>
      </c>
      <c r="D221" t="inlineStr">
        <is>
          <t>Машини для обробки даних (апаратна частина) (Монітор 50"; монітор 43"; монітор A</t>
        </is>
      </c>
      <c r="E221" s="5" t="n">
        <v>40300</v>
      </c>
      <c r="H221" t="inlineStr">
        <is>
          <t>ми не подавалися</t>
        </is>
      </c>
    </row>
    <row r="222">
      <c r="A222" s="4" t="inlineStr">
        <is>
          <t>UA-2026-04-29-000997-a</t>
        </is>
      </c>
      <c r="B222" t="inlineStr">
        <is>
          <t>2026-04-29</t>
        </is>
      </c>
      <c r="C222" t="inlineStr">
        <is>
          <t>Іваничівська селищна рада</t>
        </is>
      </c>
      <c r="D222" t="inlineStr">
        <is>
          <t>Системний блок</t>
        </is>
      </c>
      <c r="E222" s="5" t="n">
        <v>39200</v>
      </c>
      <c r="H222" t="inlineStr">
        <is>
          <t>ми не подавалися</t>
        </is>
      </c>
    </row>
    <row r="223">
      <c r="A223" s="4" t="inlineStr">
        <is>
          <t>UA-2026-04-28-000741-a</t>
        </is>
      </c>
      <c r="B223" t="inlineStr">
        <is>
          <t>2026-04-28</t>
        </is>
      </c>
      <c r="C223" t="inlineStr">
        <is>
          <t>Відділ освіти, культури, молоді та спорту Іваничівської селищної ради</t>
        </is>
      </c>
      <c r="D223" t="inlineStr">
        <is>
          <t>Системний блок</t>
        </is>
      </c>
      <c r="E223" s="5" t="n">
        <v>39000</v>
      </c>
      <c r="H223" t="inlineStr">
        <is>
          <t>ми не подавалися</t>
        </is>
      </c>
    </row>
    <row r="224">
      <c r="A224" s="4" t="inlineStr">
        <is>
          <t>UA-2026-07-27-001584-a</t>
        </is>
      </c>
      <c r="B224" t="inlineStr">
        <is>
          <t>2026-07-27</t>
        </is>
      </c>
      <c r="C224" t="inlineStr">
        <is>
          <t>Поромівська сільська рада</t>
        </is>
      </c>
      <c r="D224" t="inlineStr">
        <is>
          <t>Придбання комп’ютеру</t>
        </is>
      </c>
      <c r="E224" s="5" t="n">
        <v>38000</v>
      </c>
      <c r="H224" t="inlineStr">
        <is>
          <t>ми не подавалися</t>
        </is>
      </c>
    </row>
    <row r="225">
      <c r="A225" s="4" t="inlineStr">
        <is>
          <t>UA-2026-02-04-000266-a</t>
        </is>
      </c>
      <c r="B225" t="inlineStr">
        <is>
          <t>2026-02-04</t>
        </is>
      </c>
      <c r="C225" t="inlineStr">
        <is>
          <t>Територіальний центр соціального обслуговування (надання соціальних послуг) виконкому Нововолинської міської ради</t>
        </is>
      </c>
      <c r="D225" t="inlineStr">
        <is>
          <t>Багатофункціональний пристрій CANON i - SENSYS MF3010</t>
        </is>
      </c>
      <c r="E225" s="5" t="n">
        <v>36100</v>
      </c>
      <c r="H225" t="inlineStr">
        <is>
          <t>ми не подавалися</t>
        </is>
      </c>
    </row>
    <row r="226">
      <c r="A226" s="4" t="inlineStr">
        <is>
          <t>UA-2026-02-04-003027-a</t>
        </is>
      </c>
      <c r="B226" t="inlineStr">
        <is>
          <t>2026-02-04</t>
        </is>
      </c>
      <c r="C226" t="inlineStr">
        <is>
          <t>Нововолинський міський палац культури</t>
        </is>
      </c>
      <c r="D226" t="inlineStr">
        <is>
          <t>Ноутбук ASUS E1504FA -BQ1311</t>
        </is>
      </c>
      <c r="E226" s="5" t="n">
        <v>35000</v>
      </c>
      <c r="H226" t="inlineStr">
        <is>
          <t>ми не подавалися</t>
        </is>
      </c>
    </row>
    <row r="227">
      <c r="A227" s="4" t="inlineStr">
        <is>
          <t>UA-2026-08-14-000920-a</t>
        </is>
      </c>
      <c r="B227" t="inlineStr">
        <is>
          <t>2026-08-14</t>
        </is>
      </c>
      <c r="C227" t="inlineStr">
        <is>
          <t>КНП "ІВАНИЧІВСЬКИЙ ЦЕНТР ПЕРВИННОЇ МЕДИКО-САНІТАРНОЇ ДОПОМОГИ"</t>
        </is>
      </c>
      <c r="D227" t="inlineStr">
        <is>
          <t>Ноутбук Acer Extensa 15 Exo15-51-58R2 Intel Core Ultra 5 Processor 115U (1.5-4.2</t>
        </is>
      </c>
      <c r="E227" s="5" t="n">
        <v>32699</v>
      </c>
      <c r="H227" t="inlineStr">
        <is>
          <t>ми не подавалися</t>
        </is>
      </c>
    </row>
    <row r="228">
      <c r="A228" s="4" t="inlineStr">
        <is>
          <t>UA-2026-01-13-002834-a</t>
        </is>
      </c>
      <c r="B228" t="inlineStr">
        <is>
          <t>2026-01-13</t>
        </is>
      </c>
      <c r="C228" t="inlineStr">
        <is>
          <t>КНП "ІВАНИЧІВСЬКИЙ ЦЕНТР ПЕРВИННОЇ МЕДИКО-САНІТАРНОЇ ДОПОМОГИ"</t>
        </is>
      </c>
      <c r="D228" t="inlineStr">
        <is>
          <t>Моноблок ASUS A3402WVAK-ВA0040AiO/Core3 100U, 16, 512 КМ</t>
        </is>
      </c>
      <c r="E228" s="5" t="n">
        <v>31900</v>
      </c>
      <c r="H228" t="inlineStr">
        <is>
          <t>ми не подавалися</t>
        </is>
      </c>
    </row>
    <row r="229">
      <c r="A229" s="4" t="inlineStr">
        <is>
          <t>UA-2025-11-04-001201-a</t>
        </is>
      </c>
      <c r="B229" t="inlineStr">
        <is>
          <t>2025-11-04</t>
        </is>
      </c>
      <c r="C229" t="inlineStr">
        <is>
          <t>КНП "ІВАНИЧІВСЬКИЙ ЦЕНТР ПЕРВИННОЇ МЕДИКО-САНІТАРНОЇ ДОПОМОГИ"</t>
        </is>
      </c>
      <c r="D229" t="inlineStr">
        <is>
          <t>Моноблок ASUS A3402WVAK-WA0030AiO/Core3 100U, 16, 512 КМ</t>
        </is>
      </c>
      <c r="E229" s="5" t="n">
        <v>29800</v>
      </c>
      <c r="H229" t="inlineStr">
        <is>
          <t>ми не подавалися</t>
        </is>
      </c>
    </row>
    <row r="230">
      <c r="A230" s="4" t="inlineStr">
        <is>
          <t>UA-2026-01-15-003366-a</t>
        </is>
      </c>
      <c r="B230" t="inlineStr">
        <is>
          <t>2026-01-15</t>
        </is>
      </c>
      <c r="C230" t="inlineStr">
        <is>
          <t>КНП "ІВАНИЧІВСЬКИЙ ЦЕНТР ПЕРВИННОЇ МЕДИКО-САНІТАРНОЇ ДОПОМОГИ"</t>
        </is>
      </c>
      <c r="D230" t="inlineStr">
        <is>
          <t>Моноблок Lenovo A100 AiO/i3-N305, 16, 512 WКМ</t>
        </is>
      </c>
      <c r="E230" s="5" t="n">
        <v>28500</v>
      </c>
      <c r="H230" t="inlineStr">
        <is>
          <t>ми не подавалися</t>
        </is>
      </c>
    </row>
    <row r="231">
      <c r="A231" s="4" t="inlineStr">
        <is>
          <t>UA-2026-02-16-008541-a</t>
        </is>
      </c>
      <c r="B231" t="inlineStr">
        <is>
          <t>2026-02-16</t>
        </is>
      </c>
      <c r="C231" t="inlineStr">
        <is>
          <t>КНП "Литовезька амбулаторія загальної практики - сімейної медицини" Литовезької сільської ради Іваничівського району Волинської області</t>
        </is>
      </c>
      <c r="D231" t="inlineStr">
        <is>
          <t>Принтери лазерні Canon (ДК 021:2015 30232100-5 Принтери та плотери)</t>
        </is>
      </c>
      <c r="E231" s="5" t="n">
        <v>27600</v>
      </c>
      <c r="H231" t="inlineStr">
        <is>
          <t>ми не подавалися</t>
        </is>
      </c>
    </row>
    <row r="232">
      <c r="A232" s="4" t="inlineStr">
        <is>
          <t>UA-2026-02-18-007805-a</t>
        </is>
      </c>
      <c r="B232" t="inlineStr">
        <is>
          <t>2026-02-18</t>
        </is>
      </c>
      <c r="C232" t="inlineStr">
        <is>
          <t>КНП "НОВОВОЛИНСЬКИЙ ЦЕНТР ПЕРВИННОЇ МЕДИКО-САНІТАРНОЇ ДОПОМОГИ НОВОВОЛИНСЬКОЇ МІСЬКОЇ РАДИ ВОЛИНСЬКОЇ ОБЛАСТІ"</t>
        </is>
      </c>
      <c r="D232" t="inlineStr">
        <is>
          <t>Ноутбук ASUS</t>
        </is>
      </c>
      <c r="E232" s="5" t="n">
        <v>21200</v>
      </c>
      <c r="H232" t="inlineStr">
        <is>
          <t>ми не подавалися</t>
        </is>
      </c>
    </row>
    <row r="233">
      <c r="A233" s="4" t="inlineStr">
        <is>
          <t>UA-2025-12-09-000950-a</t>
        </is>
      </c>
      <c r="B233" t="inlineStr">
        <is>
          <t>2025-12-09</t>
        </is>
      </c>
      <c r="C233" t="inlineStr">
        <is>
          <t>Нововолинський науковий ліцей Волинської обласної ради</t>
        </is>
      </c>
      <c r="D233" t="inlineStr">
        <is>
          <t>30230000-0 Комп’ютерне обладнання: Принтер Canon i-Sensys MF3010 – 2 шт</t>
        </is>
      </c>
      <c r="E233" s="5" t="n">
        <v>21000</v>
      </c>
      <c r="H233" t="inlineStr">
        <is>
          <t>ми не подавалися</t>
        </is>
      </c>
    </row>
    <row r="234">
      <c r="A234" s="4" t="inlineStr">
        <is>
          <t>UA-2025-12-19-022968-a</t>
        </is>
      </c>
      <c r="B234" t="inlineStr">
        <is>
          <t>2025-12-19</t>
        </is>
      </c>
      <c r="C234" t="inlineStr">
        <is>
          <t>Нововолинський науковий ліцей Волинської обласної ради</t>
        </is>
      </c>
      <c r="D234" t="inlineStr">
        <is>
          <t>Ноутбук ACER Aspier Lite AL15-33P-32NT</t>
        </is>
      </c>
      <c r="E234" s="5" t="n">
        <v>20500</v>
      </c>
      <c r="H234" t="inlineStr">
        <is>
          <t>ми не подавалися</t>
        </is>
      </c>
    </row>
    <row r="235">
      <c r="A235" s="4" t="inlineStr">
        <is>
          <t>UA-2025-11-24-012403-a</t>
        </is>
      </c>
      <c r="B235" t="inlineStr">
        <is>
          <t>2025-11-24</t>
        </is>
      </c>
      <c r="C235" t="inlineStr">
        <is>
          <t>КНП "НОВОВОЛИНСЬКИЙ ЦЕНТР ПЕРВИННОЇ МЕДИКО-САНІТАРНОЇ ДОПОМОГИ НОВОВОЛИНСЬКОЇ МІСЬКОЇ РАДИ ВОЛИНСЬКОЇ ОБЛАСТІ"</t>
        </is>
      </c>
      <c r="D235" t="inlineStr">
        <is>
          <t>Багатофункціональний пристрій CANON в асортименті</t>
        </is>
      </c>
      <c r="E235" s="5" t="n">
        <v>20499</v>
      </c>
      <c r="H235" t="inlineStr">
        <is>
          <t>ми не подавалися</t>
        </is>
      </c>
    </row>
    <row r="236">
      <c r="A236" s="4" t="inlineStr">
        <is>
          <t>UA-2025-11-25-008532-a</t>
        </is>
      </c>
      <c r="B236" t="inlineStr">
        <is>
          <t>2025-11-25</t>
        </is>
      </c>
      <c r="C236" t="inlineStr">
        <is>
          <t>КНП "НОВОВОЛИНСЬКИЙ ЦЕНТР ПЕРВИННОЇ МЕДИКО-САНІТАРНОЇ ДОПОМОГИ НОВОВОЛИНСЬКОЇ МІСЬКОЇ РАДИ ВОЛИНСЬКОЇ ОБЛАСТІ"</t>
        </is>
      </c>
      <c r="D236" t="inlineStr">
        <is>
          <t>Ноутбук ACER</t>
        </is>
      </c>
      <c r="E236" s="5" t="n">
        <v>20400</v>
      </c>
      <c r="H236" t="inlineStr">
        <is>
          <t>ми не подавалися</t>
        </is>
      </c>
    </row>
    <row r="237">
      <c r="A237" s="4" t="inlineStr">
        <is>
          <t>UA-2025-12-05-008674-a</t>
        </is>
      </c>
      <c r="B237" t="inlineStr">
        <is>
          <t>2025-12-05</t>
        </is>
      </c>
      <c r="C237" t="inlineStr">
        <is>
          <t>НОВОВОЛИНСЬКИЙ ЛІЦЕЙ № 7 НОВОВОЛИНСЬКОЇ МІСЬКОЇ РАДИ ВОЛИНСЬКОЇ ОБЛАСТІ</t>
        </is>
      </c>
      <c r="D237" t="inlineStr">
        <is>
          <t>30230000-0 Комп’ютерне обладнання: ноутбук, ретранслятор TP-LINK</t>
        </is>
      </c>
      <c r="E237" s="5" t="n">
        <v>20200</v>
      </c>
      <c r="H237" t="inlineStr">
        <is>
          <t>ми не подавалися</t>
        </is>
      </c>
    </row>
    <row r="238">
      <c r="A238" s="4" t="inlineStr">
        <is>
          <t>UA-2026-02-27-005868-a</t>
        </is>
      </c>
      <c r="B238" t="inlineStr">
        <is>
          <t>2026-02-27</t>
        </is>
      </c>
      <c r="C238" t="inlineStr">
        <is>
          <t>Комунальний заклад професійної освіти «Нововолинський центр професійної освіти» Волинської обласної ради</t>
        </is>
      </c>
      <c r="D238" t="inlineStr">
        <is>
          <t>Системний блок Inteln Core тм i3 10105/DDR 16GB/SSD 2.5 480GB</t>
        </is>
      </c>
      <c r="E238" s="5" t="n">
        <v>19999</v>
      </c>
      <c r="H238" t="inlineStr">
        <is>
          <t>ми не подавалися</t>
        </is>
      </c>
    </row>
    <row r="239">
      <c r="A239" s="4" t="inlineStr">
        <is>
          <t>UA-2025-12-18-005141-a</t>
        </is>
      </c>
      <c r="B239" t="inlineStr">
        <is>
          <t>2025-12-18</t>
        </is>
      </c>
      <c r="C239" t="inlineStr">
        <is>
          <t>НОВОВОЛИНСЬКИЙ ЛІЦЕЙ № 7 НОВОВОЛИНСЬКОЇ МІСЬКОЇ РАДИ ВОЛИНСЬКОЇ ОБЛАСТІ</t>
        </is>
      </c>
      <c r="D239" t="inlineStr">
        <is>
          <t>Комп’ютерне обладнання згідно накладної №R700006264</t>
        </is>
      </c>
      <c r="E239" s="5" t="n">
        <v>16000</v>
      </c>
      <c r="H239" t="inlineStr">
        <is>
          <t>ми не подавалися</t>
        </is>
      </c>
    </row>
    <row r="240">
      <c r="A240" s="4" t="inlineStr">
        <is>
          <t>UA-2026-01-15-004626-a</t>
        </is>
      </c>
      <c r="B240" t="inlineStr">
        <is>
          <t>2026-01-15</t>
        </is>
      </c>
      <c r="C240" t="inlineStr">
        <is>
          <t>КНП "ІВАНИЧІВСЬКИЙ ЦЕНТР ПЕРВИННОЇ МЕДИКО-САНІТАРНОЇ ДОПОМОГИ"</t>
        </is>
      </c>
      <c r="D240" t="inlineStr">
        <is>
          <t>Багатофункціональний пристрій XEROX 3025BI WIFI A4 з додатковим картриджем в ком</t>
        </is>
      </c>
      <c r="E240" s="5" t="n">
        <v>13450</v>
      </c>
      <c r="H240" t="inlineStr">
        <is>
          <t>ми не подавалися</t>
        </is>
      </c>
    </row>
    <row r="241">
      <c r="A241" s="4" t="inlineStr">
        <is>
          <t>UA-2025-10-09-013483-a</t>
        </is>
      </c>
      <c r="B241" t="inlineStr">
        <is>
          <t>2025-10-09</t>
        </is>
      </c>
      <c r="C241" t="inlineStr">
        <is>
          <t>НОВОВОЛИНСЬКИЙ ЛІЦЕЙ №2 НОВОВОЛИНСЬКОЇ МІСЬКОЇ РАДИ ВОЛИНСЬКОЇ ОБЛАСТІ</t>
        </is>
      </c>
      <c r="D241" t="inlineStr">
        <is>
          <t>Багатофункціональний пристрій Canon</t>
        </is>
      </c>
      <c r="E241" s="5" t="n">
        <v>12000</v>
      </c>
      <c r="H241" t="inlineStr">
        <is>
          <t>ми не подавалися</t>
        </is>
      </c>
    </row>
    <row r="242">
      <c r="A242" s="4" t="inlineStr">
        <is>
          <t>UA-2025-12-26-007896-a</t>
        </is>
      </c>
      <c r="B242" t="inlineStr">
        <is>
          <t>2025-12-26</t>
        </is>
      </c>
      <c r="C242" t="inlineStr">
        <is>
          <t>Комунальний заклад професійної освіти «Нововолинський центр професійної освіти» Волинської обласної ради</t>
        </is>
      </c>
      <c r="D242" t="inlineStr">
        <is>
          <t>Багатофункціональний пристрій XEROX 3025 BI</t>
        </is>
      </c>
      <c r="E242" s="5" t="n">
        <v>7300</v>
      </c>
      <c r="H242" t="inlineStr">
        <is>
          <t>ми не подавалися</t>
        </is>
      </c>
    </row>
    <row r="243">
      <c r="A243" s="4" t="inlineStr">
        <is>
          <t>UA-2025-09-11-010638-a</t>
        </is>
      </c>
      <c r="B243" t="inlineStr">
        <is>
          <t>2025-09-11</t>
        </is>
      </c>
      <c r="C243" t="inlineStr">
        <is>
          <t>Нововолинський науковий ліцей Волинської обласної ради</t>
        </is>
      </c>
      <c r="D243" t="inlineStr">
        <is>
          <t>Принтер Canon PIXMA G3430Purple + кабель</t>
        </is>
      </c>
      <c r="E243" s="5" t="n">
        <v>7100</v>
      </c>
      <c r="H243" t="inlineStr">
        <is>
          <t>ми не подавалися</t>
        </is>
      </c>
    </row>
    <row r="244">
      <c r="A244" s="4" t="inlineStr">
        <is>
          <t>UA-2025-11-11-008386-a</t>
        </is>
      </c>
      <c r="B244" t="inlineStr">
        <is>
          <t>2025-11-11</t>
        </is>
      </c>
      <c r="C244" t="inlineStr">
        <is>
          <t>Комунальний заклад професійної освіти «Нововолинський центр професійної освіти» Волинської обласної ради</t>
        </is>
      </c>
      <c r="D244" t="inlineStr">
        <is>
          <t>Накопичувач SSD 2,5 120GB</t>
        </is>
      </c>
      <c r="E244" s="5" t="n">
        <v>5800</v>
      </c>
      <c r="H244" t="inlineStr">
        <is>
          <t>ми не подавалися</t>
        </is>
      </c>
    </row>
    <row r="245">
      <c r="A245" s="4" t="inlineStr">
        <is>
          <t>UA-2026-02-27-006254-a</t>
        </is>
      </c>
      <c r="B245" t="inlineStr">
        <is>
          <t>2026-02-27</t>
        </is>
      </c>
      <c r="C245" t="inlineStr">
        <is>
          <t>Комунальний заклад професійної освіти «Нововолинський центр професійної освіти» Волинської обласної ради</t>
        </is>
      </c>
      <c r="D245" t="inlineStr">
        <is>
          <t>Модуль пам'яті длякомп'ютера</t>
        </is>
      </c>
      <c r="E245" s="5" t="n">
        <v>4900</v>
      </c>
      <c r="H245" t="inlineStr">
        <is>
          <t>ми не подавалися</t>
        </is>
      </c>
    </row>
    <row r="246">
      <c r="A246" s="4" t="inlineStr">
        <is>
          <t>UA-2026-08-27-003601-a</t>
        </is>
      </c>
      <c r="B246" t="inlineStr">
        <is>
          <t>2026-08-27</t>
        </is>
      </c>
      <c r="C246" t="inlineStr">
        <is>
          <t>Комунальний заклад професійної освіти «Нововолинський центр професійної освіти» Волинської обласної ради</t>
        </is>
      </c>
      <c r="D246" t="inlineStr">
        <is>
          <t>Модуль пам'яті для комп'ютера DDR4 8GB 3200 MHz</t>
        </is>
      </c>
      <c r="E246" s="5" t="n">
        <v>3650</v>
      </c>
      <c r="H246" t="inlineStr">
        <is>
          <t>ми не подавалися</t>
        </is>
      </c>
    </row>
    <row r="247">
      <c r="A247" s="4" t="inlineStr">
        <is>
          <t>UA-2026-01-27-015449-a</t>
        </is>
      </c>
      <c r="B247" t="inlineStr">
        <is>
          <t>2026-01-27</t>
        </is>
      </c>
      <c r="C247" t="inlineStr">
        <is>
          <t>Комунальний заклад професійної освіти «Нововолинський центр професійної освіти» Волинської обласної ради</t>
        </is>
      </c>
      <c r="D247" t="inlineStr">
        <is>
          <t>Модуль пам'яті для комп'ютера DDR4 8GB,Модуль пам'яті для комп'ютера DDR3 4GB,</t>
        </is>
      </c>
      <c r="E247" s="5" t="n">
        <v>2900</v>
      </c>
      <c r="H247" t="inlineStr">
        <is>
          <t>ми не подавалися</t>
        </is>
      </c>
    </row>
    <row r="248">
      <c r="A248" s="4" t="inlineStr">
        <is>
          <t>UA-2026-08-27-003105-a</t>
        </is>
      </c>
      <c r="B248" t="inlineStr">
        <is>
          <t>2026-08-27</t>
        </is>
      </c>
      <c r="C248" t="inlineStr">
        <is>
          <t>Комунальний заклад професійної освіти «Нововолинський центр професійної освіти» Волинської обласної ради</t>
        </is>
      </c>
      <c r="D248" t="inlineStr">
        <is>
          <t>Модуль пам'яті для комп'ютера DDR4 8GB 2666 MHz</t>
        </is>
      </c>
      <c r="E248" s="5" t="n">
        <v>2850</v>
      </c>
      <c r="H248" t="inlineStr">
        <is>
          <t>ми не подавалися</t>
        </is>
      </c>
    </row>
    <row r="249">
      <c r="A249" s="4" t="inlineStr">
        <is>
          <t>UA-2025-11-11-005205-a</t>
        </is>
      </c>
      <c r="B249" t="inlineStr">
        <is>
          <t>2025-11-11</t>
        </is>
      </c>
      <c r="C249" t="inlineStr">
        <is>
          <t>Комунальний заклад професійної освіти «Нововолинський центр професійної освіти» Волинської обласної ради</t>
        </is>
      </c>
      <c r="D249" t="inlineStr">
        <is>
          <t>Клавіатура USB</t>
        </is>
      </c>
      <c r="E249" s="5" t="n">
        <v>2650</v>
      </c>
      <c r="H249" t="inlineStr">
        <is>
          <t>ми не подавалися</t>
        </is>
      </c>
    </row>
    <row r="250">
      <c r="A250" s="4" t="inlineStr">
        <is>
          <t>UA-2025-10-03-003374-a</t>
        </is>
      </c>
      <c r="B250" t="inlineStr">
        <is>
          <t>2025-10-03</t>
        </is>
      </c>
      <c r="C250" t="inlineStr">
        <is>
          <t>Управління соціальної політики Нововолинської міської ради</t>
        </is>
      </c>
      <c r="D250" t="inlineStr">
        <is>
          <t>Веб-камери А4 Tech PK-810P Black</t>
        </is>
      </c>
      <c r="E250" s="5" t="n">
        <v>2550</v>
      </c>
      <c r="H250" t="inlineStr">
        <is>
          <t>ми не подавалися</t>
        </is>
      </c>
    </row>
    <row r="251">
      <c r="A251" s="4" t="inlineStr">
        <is>
          <t>UA-2025-12-26-000577-a</t>
        </is>
      </c>
      <c r="B251" t="inlineStr">
        <is>
          <t>2025-12-26</t>
        </is>
      </c>
      <c r="C251" t="inlineStr">
        <is>
          <t>Комунальний заклад професійної освіти «Нововолинський центр професійної освіти» Волинської обласної ради</t>
        </is>
      </c>
      <c r="D251" t="inlineStr">
        <is>
          <t>Модуль пам'яті для комп'ютера DDR4 8GB 3200 MHz</t>
        </is>
      </c>
      <c r="E251" s="5" t="n">
        <v>2300</v>
      </c>
      <c r="H251" t="inlineStr">
        <is>
          <t>ми не подавалися</t>
        </is>
      </c>
    </row>
    <row r="252">
      <c r="A252" s="4" t="inlineStr">
        <is>
          <t>UA-2026-02-04-005120-a</t>
        </is>
      </c>
      <c r="B252" t="inlineStr">
        <is>
          <t>2026-02-04</t>
        </is>
      </c>
      <c r="C252" t="inlineStr">
        <is>
          <t>Комунальний заклад професійної освіти «Нововолинський центр професійної освіти» Волинської обласної ради</t>
        </is>
      </c>
      <c r="D252" t="inlineStr">
        <is>
          <t>Накопичувач SSD 2.5 128GB</t>
        </is>
      </c>
      <c r="E252" s="5" t="n">
        <v>2100</v>
      </c>
      <c r="H252" t="inlineStr">
        <is>
          <t>ми не подавалися</t>
        </is>
      </c>
    </row>
    <row r="253">
      <c r="A253" s="4" t="inlineStr">
        <is>
          <t>UA-2025-11-11-004978-a</t>
        </is>
      </c>
      <c r="B253" t="inlineStr">
        <is>
          <t>2025-11-11</t>
        </is>
      </c>
      <c r="C253" t="inlineStr">
        <is>
          <t>Комунальний заклад професійної освіти «Нововолинський центр професійної освіти» Волинської обласної ради</t>
        </is>
      </c>
      <c r="D253" t="inlineStr">
        <is>
          <t>Мишки USB</t>
        </is>
      </c>
      <c r="E253" s="5" t="n">
        <v>1640</v>
      </c>
      <c r="H253" t="inlineStr">
        <is>
          <t>ми не подавалися</t>
        </is>
      </c>
    </row>
    <row r="254">
      <c r="A254" s="4" t="inlineStr">
        <is>
          <t>UA-2025-11-25-014359-a</t>
        </is>
      </c>
      <c r="B254" t="inlineStr">
        <is>
          <t>2025-11-25</t>
        </is>
      </c>
      <c r="C254" t="inlineStr">
        <is>
          <t>Комунальний заклад професійної освіти «Нововолинський центр професійної освіти» Волинської обласної ради</t>
        </is>
      </c>
      <c r="D254" t="inlineStr">
        <is>
          <t>Маршрутизатор TP-Link ARCHER-C6U</t>
        </is>
      </c>
      <c r="E254" s="5" t="n">
        <v>1600</v>
      </c>
      <c r="H254" t="inlineStr">
        <is>
          <t>ми не подавалися</t>
        </is>
      </c>
    </row>
    <row r="255">
      <c r="A255" s="4" t="inlineStr">
        <is>
          <t>UA-2025-11-11-008669-a</t>
        </is>
      </c>
      <c r="B255" t="inlineStr">
        <is>
          <t>2025-11-11</t>
        </is>
      </c>
      <c r="C255" t="inlineStr">
        <is>
          <t>Комунальний заклад професійної освіти «Нововолинський центр професійної освіти» Волинської обласної ради</t>
        </is>
      </c>
      <c r="D255" t="inlineStr">
        <is>
          <t>Мережева карта Wi-Fi</t>
        </is>
      </c>
      <c r="E255" s="5" t="n">
        <v>1470</v>
      </c>
      <c r="H255" t="inlineStr">
        <is>
          <t>ми не подавалися</t>
        </is>
      </c>
    </row>
    <row r="256">
      <c r="A256" s="4" t="inlineStr">
        <is>
          <t>UA-2026-07-08-003573-a</t>
        </is>
      </c>
      <c r="B256" t="inlineStr">
        <is>
          <t>2026-07-08</t>
        </is>
      </c>
      <c r="C256" t="inlineStr">
        <is>
          <t>Комунальний заклад професійної освіти «Нововолинський центр професійної освіти» Волинської обласної ради</t>
        </is>
      </c>
      <c r="D256" t="inlineStr">
        <is>
          <t>Накопичувач SSD 2.5 128GB</t>
        </is>
      </c>
      <c r="E256" s="5" t="n">
        <v>1400</v>
      </c>
      <c r="H256" t="inlineStr">
        <is>
          <t>ми не подавалися</t>
        </is>
      </c>
    </row>
    <row r="257">
      <c r="A257" s="4" t="inlineStr">
        <is>
          <t>UA-2026-07-06-001474-a</t>
        </is>
      </c>
      <c r="B257" t="inlineStr">
        <is>
          <t>2026-07-06</t>
        </is>
      </c>
      <c r="C257" t="inlineStr">
        <is>
          <t>Відділ з питань ветеранської політики Нововолинської міської ради</t>
        </is>
      </c>
      <c r="D257" t="inlineStr">
        <is>
          <t>пристрій для зберігання та зчитування даних</t>
        </is>
      </c>
      <c r="E257" s="5" t="n">
        <v>1360</v>
      </c>
      <c r="H257" t="inlineStr">
        <is>
          <t>ми не подавалися</t>
        </is>
      </c>
    </row>
    <row r="258">
      <c r="A258" s="4" t="inlineStr">
        <is>
          <t>UA-2026-05-01-003436-a</t>
        </is>
      </c>
      <c r="B258" t="inlineStr">
        <is>
          <t>2026-05-01</t>
        </is>
      </c>
      <c r="C258" t="inlineStr">
        <is>
          <t>Відділ з питань ветеранської політики Нововолинської міської ради</t>
        </is>
      </c>
      <c r="D258" t="inlineStr">
        <is>
          <t>пристрій для зберігання та зчитування даних</t>
        </is>
      </c>
      <c r="E258" s="5" t="n">
        <v>1360</v>
      </c>
      <c r="H258" t="inlineStr">
        <is>
          <t>ми не подавалися</t>
        </is>
      </c>
    </row>
    <row r="259">
      <c r="A259" s="4" t="inlineStr">
        <is>
          <t>UA-2025-12-25-015554-a</t>
        </is>
      </c>
      <c r="B259" t="inlineStr">
        <is>
          <t>2025-12-25</t>
        </is>
      </c>
      <c r="C259" t="inlineStr">
        <is>
          <t>Комунальний заклад професійної освіти «Нововолинський центр професійної освіти» Волинської обласної ради</t>
        </is>
      </c>
      <c r="D259" t="inlineStr">
        <is>
          <t>Модуль пам'яті для комп'ютера DDR4 8GB 3200 MHz</t>
        </is>
      </c>
      <c r="E259" s="5" t="n">
        <v>1050</v>
      </c>
      <c r="H259" t="inlineStr">
        <is>
          <t>ми не подавалися</t>
        </is>
      </c>
    </row>
    <row r="260">
      <c r="A260" s="4" t="inlineStr">
        <is>
          <t>UA-2026-02-04-005214-a</t>
        </is>
      </c>
      <c r="B260" t="inlineStr">
        <is>
          <t>2026-02-04</t>
        </is>
      </c>
      <c r="C260" t="inlineStr">
        <is>
          <t>Комунальний заклад професійної освіти «Нововолинський центр професійної освіти» Волинської обласної ради</t>
        </is>
      </c>
      <c r="D260" t="inlineStr">
        <is>
          <t>Модуль пам'яті для ноутбука SoDIMM DDR3 4GB ,Кабель до принтера USB 2.0 AM/BM 5м</t>
        </is>
      </c>
      <c r="E260" s="5" t="n">
        <v>750</v>
      </c>
      <c r="H260" t="inlineStr">
        <is>
          <t>ми не подавалися</t>
        </is>
      </c>
    </row>
    <row r="261">
      <c r="A261" s="4" t="inlineStr">
        <is>
          <t>UA-2025-11-25-013914-a</t>
        </is>
      </c>
      <c r="B261" t="inlineStr">
        <is>
          <t>2025-11-25</t>
        </is>
      </c>
      <c r="C261" t="inlineStr">
        <is>
          <t>Комунальний заклад професійної освіти «Нововолинський центр професійної освіти» Волинської обласної ради</t>
        </is>
      </c>
      <c r="D261" t="inlineStr">
        <is>
          <t>Миша Logitech M170</t>
        </is>
      </c>
      <c r="E261" s="5" t="n">
        <v>495</v>
      </c>
      <c r="H261" t="inlineStr">
        <is>
          <t>ми не подавалися</t>
        </is>
      </c>
    </row>
    <row r="262">
      <c r="A262" s="4" t="inlineStr">
        <is>
          <t>UA-2026-06-09-000586-a</t>
        </is>
      </c>
      <c r="B262" t="inlineStr">
        <is>
          <t>2026-06-09</t>
        </is>
      </c>
      <c r="C262" t="inlineStr">
        <is>
          <t>КНП "ІВАНИЧІВСЬКИЙ ЦЕНТР ПЕРВИННОЇ МЕДИКО-САНІТАРНОЇ ДОПОМОГИ"</t>
        </is>
      </c>
      <c r="D262" t="inlineStr">
        <is>
          <t>Комп’ютерна миша</t>
        </is>
      </c>
      <c r="E262" s="5" t="n">
        <v>180</v>
      </c>
      <c r="H262" t="inlineStr">
        <is>
          <t>ми не подавалися</t>
        </is>
      </c>
    </row>
    <row r="263">
      <c r="A263" s="4" t="inlineStr">
        <is>
          <t>UA-2025-11-25-013421-a</t>
        </is>
      </c>
      <c r="B263" t="inlineStr">
        <is>
          <t>2025-11-25</t>
        </is>
      </c>
      <c r="C263" t="inlineStr">
        <is>
          <t>Комунальний заклад професійної освіти «Нововолинський центр професійної освіти» Волинської обласної ради</t>
        </is>
      </c>
      <c r="D263" t="inlineStr">
        <is>
          <t>Звукова плата Dynamode USB</t>
        </is>
      </c>
      <c r="E263" s="5" t="n">
        <v>150</v>
      </c>
      <c r="H263" t="inlineStr">
        <is>
          <t>ми не подавалися</t>
        </is>
      </c>
    </row>
    <row r="265">
      <c r="A265" s="8" t="inlineStr">
        <is>
          <t>Сильні сторони</t>
        </is>
      </c>
    </row>
    <row r="266">
      <c r="A266" t="inlineStr">
        <is>
          <t>+  портфель дистрибуції: 10 ТМ</t>
        </is>
      </c>
    </row>
    <row r="267">
      <c r="A267" t="inlineStr">
        <is>
          <t>+  стабільна база замовників (66,7% повторних)</t>
        </is>
      </c>
    </row>
    <row r="268">
      <c r="A268" t="inlineStr">
        <is>
          <t>+  зростання (89% у другій половині періоду)</t>
        </is>
      </c>
    </row>
    <row r="270">
      <c r="A270" s="8" t="inlineStr">
        <is>
          <t>Слабкі сторони</t>
        </is>
      </c>
    </row>
    <row r="271">
      <c r="A271" t="inlineStr">
        <is>
          <t>−  слабка цінова позиція: дисконт 0,0% проти 8,3% по ринку</t>
        </is>
      </c>
    </row>
    <row r="272">
      <c r="A272" t="inlineStr">
        <is>
          <t>−  майже не бере участі в конкурентних процедурах</t>
        </is>
      </c>
    </row>
  </sheetData>
  <hyperlinks>
    <hyperlink xmlns:r="http://schemas.openxmlformats.org/officeDocument/2006/relationships" ref="A153" r:id="rId1"/>
    <hyperlink xmlns:r="http://schemas.openxmlformats.org/officeDocument/2006/relationships" ref="A154" r:id="rId2"/>
    <hyperlink xmlns:r="http://schemas.openxmlformats.org/officeDocument/2006/relationships" ref="A155" r:id="rId3"/>
    <hyperlink xmlns:r="http://schemas.openxmlformats.org/officeDocument/2006/relationships" ref="A156" r:id="rId4"/>
    <hyperlink xmlns:r="http://schemas.openxmlformats.org/officeDocument/2006/relationships" ref="A157" r:id="rId5"/>
    <hyperlink xmlns:r="http://schemas.openxmlformats.org/officeDocument/2006/relationships" ref="A158" r:id="rId6"/>
    <hyperlink xmlns:r="http://schemas.openxmlformats.org/officeDocument/2006/relationships" ref="A159" r:id="rId7"/>
    <hyperlink xmlns:r="http://schemas.openxmlformats.org/officeDocument/2006/relationships" ref="A160" r:id="rId8"/>
    <hyperlink xmlns:r="http://schemas.openxmlformats.org/officeDocument/2006/relationships" ref="A161" r:id="rId9"/>
    <hyperlink xmlns:r="http://schemas.openxmlformats.org/officeDocument/2006/relationships" ref="A162" r:id="rId10"/>
    <hyperlink xmlns:r="http://schemas.openxmlformats.org/officeDocument/2006/relationships" ref="A163" r:id="rId11"/>
    <hyperlink xmlns:r="http://schemas.openxmlformats.org/officeDocument/2006/relationships" ref="A164" r:id="rId12"/>
    <hyperlink xmlns:r="http://schemas.openxmlformats.org/officeDocument/2006/relationships" ref="A165" r:id="rId13"/>
    <hyperlink xmlns:r="http://schemas.openxmlformats.org/officeDocument/2006/relationships" ref="A166" r:id="rId14"/>
    <hyperlink xmlns:r="http://schemas.openxmlformats.org/officeDocument/2006/relationships" ref="A167" r:id="rId15"/>
    <hyperlink xmlns:r="http://schemas.openxmlformats.org/officeDocument/2006/relationships" ref="A168" r:id="rId16"/>
    <hyperlink xmlns:r="http://schemas.openxmlformats.org/officeDocument/2006/relationships" ref="A169" r:id="rId17"/>
    <hyperlink xmlns:r="http://schemas.openxmlformats.org/officeDocument/2006/relationships" ref="A170" r:id="rId18"/>
    <hyperlink xmlns:r="http://schemas.openxmlformats.org/officeDocument/2006/relationships" ref="A171" r:id="rId19"/>
    <hyperlink xmlns:r="http://schemas.openxmlformats.org/officeDocument/2006/relationships" ref="A172" r:id="rId20"/>
    <hyperlink xmlns:r="http://schemas.openxmlformats.org/officeDocument/2006/relationships" ref="A173" r:id="rId21"/>
    <hyperlink xmlns:r="http://schemas.openxmlformats.org/officeDocument/2006/relationships" ref="A174" r:id="rId22"/>
    <hyperlink xmlns:r="http://schemas.openxmlformats.org/officeDocument/2006/relationships" ref="A175" r:id="rId23"/>
    <hyperlink xmlns:r="http://schemas.openxmlformats.org/officeDocument/2006/relationships" ref="A176" r:id="rId24"/>
    <hyperlink xmlns:r="http://schemas.openxmlformats.org/officeDocument/2006/relationships" ref="A177" r:id="rId25"/>
    <hyperlink xmlns:r="http://schemas.openxmlformats.org/officeDocument/2006/relationships" ref="A178" r:id="rId26"/>
    <hyperlink xmlns:r="http://schemas.openxmlformats.org/officeDocument/2006/relationships" ref="A179" r:id="rId27"/>
    <hyperlink xmlns:r="http://schemas.openxmlformats.org/officeDocument/2006/relationships" ref="A180" r:id="rId28"/>
    <hyperlink xmlns:r="http://schemas.openxmlformats.org/officeDocument/2006/relationships" ref="A181" r:id="rId29"/>
    <hyperlink xmlns:r="http://schemas.openxmlformats.org/officeDocument/2006/relationships" ref="A182" r:id="rId30"/>
    <hyperlink xmlns:r="http://schemas.openxmlformats.org/officeDocument/2006/relationships" ref="A183" r:id="rId31"/>
    <hyperlink xmlns:r="http://schemas.openxmlformats.org/officeDocument/2006/relationships" ref="A184" r:id="rId32"/>
    <hyperlink xmlns:r="http://schemas.openxmlformats.org/officeDocument/2006/relationships" ref="A185" r:id="rId33"/>
    <hyperlink xmlns:r="http://schemas.openxmlformats.org/officeDocument/2006/relationships" ref="A186" r:id="rId34"/>
    <hyperlink xmlns:r="http://schemas.openxmlformats.org/officeDocument/2006/relationships" ref="A187" r:id="rId35"/>
    <hyperlink xmlns:r="http://schemas.openxmlformats.org/officeDocument/2006/relationships" ref="A188" r:id="rId36"/>
    <hyperlink xmlns:r="http://schemas.openxmlformats.org/officeDocument/2006/relationships" ref="A189" r:id="rId37"/>
    <hyperlink xmlns:r="http://schemas.openxmlformats.org/officeDocument/2006/relationships" ref="A190" r:id="rId38"/>
    <hyperlink xmlns:r="http://schemas.openxmlformats.org/officeDocument/2006/relationships" ref="A191" r:id="rId39"/>
    <hyperlink xmlns:r="http://schemas.openxmlformats.org/officeDocument/2006/relationships" ref="A192" r:id="rId40"/>
    <hyperlink xmlns:r="http://schemas.openxmlformats.org/officeDocument/2006/relationships" ref="A193" r:id="rId41"/>
    <hyperlink xmlns:r="http://schemas.openxmlformats.org/officeDocument/2006/relationships" ref="A194" r:id="rId42"/>
    <hyperlink xmlns:r="http://schemas.openxmlformats.org/officeDocument/2006/relationships" ref="A195" r:id="rId43"/>
    <hyperlink xmlns:r="http://schemas.openxmlformats.org/officeDocument/2006/relationships" ref="A196" r:id="rId44"/>
    <hyperlink xmlns:r="http://schemas.openxmlformats.org/officeDocument/2006/relationships" ref="A197" r:id="rId45"/>
    <hyperlink xmlns:r="http://schemas.openxmlformats.org/officeDocument/2006/relationships" ref="A198" r:id="rId46"/>
    <hyperlink xmlns:r="http://schemas.openxmlformats.org/officeDocument/2006/relationships" ref="A199" r:id="rId47"/>
    <hyperlink xmlns:r="http://schemas.openxmlformats.org/officeDocument/2006/relationships" ref="A200" r:id="rId48"/>
    <hyperlink xmlns:r="http://schemas.openxmlformats.org/officeDocument/2006/relationships" ref="A201" r:id="rId49"/>
    <hyperlink xmlns:r="http://schemas.openxmlformats.org/officeDocument/2006/relationships" ref="A202" r:id="rId50"/>
    <hyperlink xmlns:r="http://schemas.openxmlformats.org/officeDocument/2006/relationships" ref="A203" r:id="rId51"/>
    <hyperlink xmlns:r="http://schemas.openxmlformats.org/officeDocument/2006/relationships" ref="A204" r:id="rId52"/>
    <hyperlink xmlns:r="http://schemas.openxmlformats.org/officeDocument/2006/relationships" ref="A205" r:id="rId53"/>
    <hyperlink xmlns:r="http://schemas.openxmlformats.org/officeDocument/2006/relationships" ref="A206" r:id="rId54"/>
    <hyperlink xmlns:r="http://schemas.openxmlformats.org/officeDocument/2006/relationships" ref="A210" r:id="rId55"/>
    <hyperlink xmlns:r="http://schemas.openxmlformats.org/officeDocument/2006/relationships" ref="A211" r:id="rId56"/>
    <hyperlink xmlns:r="http://schemas.openxmlformats.org/officeDocument/2006/relationships" ref="A212" r:id="rId57"/>
    <hyperlink xmlns:r="http://schemas.openxmlformats.org/officeDocument/2006/relationships" ref="A213" r:id="rId58"/>
    <hyperlink xmlns:r="http://schemas.openxmlformats.org/officeDocument/2006/relationships" ref="A214" r:id="rId59"/>
    <hyperlink xmlns:r="http://schemas.openxmlformats.org/officeDocument/2006/relationships" ref="A215" r:id="rId60"/>
    <hyperlink xmlns:r="http://schemas.openxmlformats.org/officeDocument/2006/relationships" ref="A216" r:id="rId61"/>
    <hyperlink xmlns:r="http://schemas.openxmlformats.org/officeDocument/2006/relationships" ref="A217" r:id="rId62"/>
    <hyperlink xmlns:r="http://schemas.openxmlformats.org/officeDocument/2006/relationships" ref="A218" r:id="rId63"/>
    <hyperlink xmlns:r="http://schemas.openxmlformats.org/officeDocument/2006/relationships" ref="A219" r:id="rId64"/>
    <hyperlink xmlns:r="http://schemas.openxmlformats.org/officeDocument/2006/relationships" ref="A220" r:id="rId65"/>
    <hyperlink xmlns:r="http://schemas.openxmlformats.org/officeDocument/2006/relationships" ref="A221" r:id="rId66"/>
    <hyperlink xmlns:r="http://schemas.openxmlformats.org/officeDocument/2006/relationships" ref="A222" r:id="rId67"/>
    <hyperlink xmlns:r="http://schemas.openxmlformats.org/officeDocument/2006/relationships" ref="A223" r:id="rId68"/>
    <hyperlink xmlns:r="http://schemas.openxmlformats.org/officeDocument/2006/relationships" ref="A224" r:id="rId69"/>
    <hyperlink xmlns:r="http://schemas.openxmlformats.org/officeDocument/2006/relationships" ref="A225" r:id="rId70"/>
    <hyperlink xmlns:r="http://schemas.openxmlformats.org/officeDocument/2006/relationships" ref="A226" r:id="rId71"/>
    <hyperlink xmlns:r="http://schemas.openxmlformats.org/officeDocument/2006/relationships" ref="A227" r:id="rId72"/>
    <hyperlink xmlns:r="http://schemas.openxmlformats.org/officeDocument/2006/relationships" ref="A228" r:id="rId73"/>
    <hyperlink xmlns:r="http://schemas.openxmlformats.org/officeDocument/2006/relationships" ref="A229" r:id="rId74"/>
    <hyperlink xmlns:r="http://schemas.openxmlformats.org/officeDocument/2006/relationships" ref="A230" r:id="rId75"/>
    <hyperlink xmlns:r="http://schemas.openxmlformats.org/officeDocument/2006/relationships" ref="A231" r:id="rId76"/>
    <hyperlink xmlns:r="http://schemas.openxmlformats.org/officeDocument/2006/relationships" ref="A232" r:id="rId77"/>
    <hyperlink xmlns:r="http://schemas.openxmlformats.org/officeDocument/2006/relationships" ref="A233" r:id="rId78"/>
    <hyperlink xmlns:r="http://schemas.openxmlformats.org/officeDocument/2006/relationships" ref="A234" r:id="rId79"/>
    <hyperlink xmlns:r="http://schemas.openxmlformats.org/officeDocument/2006/relationships" ref="A235" r:id="rId80"/>
    <hyperlink xmlns:r="http://schemas.openxmlformats.org/officeDocument/2006/relationships" ref="A236" r:id="rId81"/>
    <hyperlink xmlns:r="http://schemas.openxmlformats.org/officeDocument/2006/relationships" ref="A237" r:id="rId82"/>
    <hyperlink xmlns:r="http://schemas.openxmlformats.org/officeDocument/2006/relationships" ref="A238" r:id="rId83"/>
    <hyperlink xmlns:r="http://schemas.openxmlformats.org/officeDocument/2006/relationships" ref="A239" r:id="rId84"/>
    <hyperlink xmlns:r="http://schemas.openxmlformats.org/officeDocument/2006/relationships" ref="A240" r:id="rId85"/>
    <hyperlink xmlns:r="http://schemas.openxmlformats.org/officeDocument/2006/relationships" ref="A241" r:id="rId86"/>
    <hyperlink xmlns:r="http://schemas.openxmlformats.org/officeDocument/2006/relationships" ref="A242" r:id="rId87"/>
    <hyperlink xmlns:r="http://schemas.openxmlformats.org/officeDocument/2006/relationships" ref="A243" r:id="rId88"/>
    <hyperlink xmlns:r="http://schemas.openxmlformats.org/officeDocument/2006/relationships" ref="A244" r:id="rId89"/>
    <hyperlink xmlns:r="http://schemas.openxmlformats.org/officeDocument/2006/relationships" ref="A245" r:id="rId90"/>
    <hyperlink xmlns:r="http://schemas.openxmlformats.org/officeDocument/2006/relationships" ref="A246" r:id="rId91"/>
    <hyperlink xmlns:r="http://schemas.openxmlformats.org/officeDocument/2006/relationships" ref="A247" r:id="rId92"/>
    <hyperlink xmlns:r="http://schemas.openxmlformats.org/officeDocument/2006/relationships" ref="A248" r:id="rId93"/>
    <hyperlink xmlns:r="http://schemas.openxmlformats.org/officeDocument/2006/relationships" ref="A249" r:id="rId94"/>
    <hyperlink xmlns:r="http://schemas.openxmlformats.org/officeDocument/2006/relationships" ref="A250" r:id="rId95"/>
    <hyperlink xmlns:r="http://schemas.openxmlformats.org/officeDocument/2006/relationships" ref="A251" r:id="rId96"/>
    <hyperlink xmlns:r="http://schemas.openxmlformats.org/officeDocument/2006/relationships" ref="A252" r:id="rId97"/>
    <hyperlink xmlns:r="http://schemas.openxmlformats.org/officeDocument/2006/relationships" ref="A253" r:id="rId98"/>
    <hyperlink xmlns:r="http://schemas.openxmlformats.org/officeDocument/2006/relationships" ref="A254" r:id="rId99"/>
    <hyperlink xmlns:r="http://schemas.openxmlformats.org/officeDocument/2006/relationships" ref="A255" r:id="rId100"/>
    <hyperlink xmlns:r="http://schemas.openxmlformats.org/officeDocument/2006/relationships" ref="A256" r:id="rId101"/>
    <hyperlink xmlns:r="http://schemas.openxmlformats.org/officeDocument/2006/relationships" ref="A257" r:id="rId102"/>
    <hyperlink xmlns:r="http://schemas.openxmlformats.org/officeDocument/2006/relationships" ref="A258" r:id="rId103"/>
    <hyperlink xmlns:r="http://schemas.openxmlformats.org/officeDocument/2006/relationships" ref="A259" r:id="rId104"/>
    <hyperlink xmlns:r="http://schemas.openxmlformats.org/officeDocument/2006/relationships" ref="A260" r:id="rId105"/>
    <hyperlink xmlns:r="http://schemas.openxmlformats.org/officeDocument/2006/relationships" ref="A261" r:id="rId106"/>
    <hyperlink xmlns:r="http://schemas.openxmlformats.org/officeDocument/2006/relationships" ref="A262" r:id="rId107"/>
    <hyperlink xmlns:r="http://schemas.openxmlformats.org/officeDocument/2006/relationships" ref="A263" r:id="rId108"/>
  </hyperlinks>
  <pageMargins left="0.75" right="0.75" top="1" bottom="1" header="0.5" footer="0.5"/>
  <drawing xmlns:r="http://schemas.openxmlformats.org/officeDocument/2006/relationships" r:id="rId109"/>
  <tableParts count="4">
    <tablePart xmlns:r="http://schemas.openxmlformats.org/officeDocument/2006/relationships" r:id="rId110"/>
    <tablePart xmlns:r="http://schemas.openxmlformats.org/officeDocument/2006/relationships" r:id="rId111"/>
    <tablePart xmlns:r="http://schemas.openxmlformats.org/officeDocument/2006/relationships" r:id="rId112"/>
    <tablePart xmlns:r="http://schemas.openxmlformats.org/officeDocument/2006/relationships" r:id="rId113"/>
  </tableParts>
</worksheet>
</file>

<file path=xl/worksheets/sheet34.xml><?xml version="1.0" encoding="utf-8"?>
<worksheet xmlns="http://schemas.openxmlformats.org/spreadsheetml/2006/main">
  <sheetPr>
    <outlinePr summaryBelow="1" summaryRight="1"/>
    <pageSetUpPr/>
  </sheetPr>
  <dimension ref="A1:I181"/>
  <sheetViews>
    <sheetView showGridLines="0" workbookViewId="0">
      <selection activeCell="A1" sqref="A1"/>
    </sheetView>
  </sheetViews>
  <sheetFormatPr baseColWidth="8" defaultRowHeight="15"/>
  <cols>
    <col width="42" customWidth="1" min="1" max="1"/>
    <col width="25" customWidth="1" min="2" max="2"/>
    <col width="60" customWidth="1" min="3" max="3"/>
    <col width="60" customWidth="1" min="4" max="4"/>
    <col width="21" customWidth="1" min="5" max="5"/>
    <col width="22" customWidth="1" min="6" max="6"/>
    <col width="18" customWidth="1" min="7" max="7"/>
    <col width="45" customWidth="1" min="8" max="8"/>
    <col width="10" customWidth="1" min="9" max="9"/>
  </cols>
  <sheetData>
    <row r="1">
      <c r="A1" s="1" t="inlineStr">
        <is>
          <t>ТОВ "ДИДАКТИКЛАБ"</t>
        </is>
      </c>
    </row>
    <row r="2">
      <c r="A2" s="6" t="inlineStr">
        <is>
          <t>ЄДРПОУ 42831727  ·  конкурент  ·  місце №21</t>
        </is>
      </c>
    </row>
    <row r="4">
      <c r="A4" s="7" t="inlineStr">
        <is>
          <t>ТОВ "ДИДАКТИКЛАБ" (42831727)</t>
        </is>
      </c>
    </row>
    <row r="6">
      <c r="A6" s="8" t="inlineStr">
        <is>
          <t>Показники</t>
        </is>
      </c>
    </row>
    <row r="7">
      <c r="A7" s="9" t="inlineStr">
        <is>
          <t>Місце на ринку</t>
        </is>
      </c>
      <c r="B7" s="10" t="inlineStr">
        <is>
          <t>№21</t>
        </is>
      </c>
    </row>
    <row r="8">
      <c r="A8" s="9" t="inlineStr">
        <is>
          <t>Сума угод</t>
        </is>
      </c>
      <c r="B8" s="10" t="inlineStr">
        <is>
          <t>1,4 млн грн</t>
        </is>
      </c>
    </row>
    <row r="9">
      <c r="A9" s="9" t="inlineStr">
        <is>
          <t>Частка ринку</t>
        </is>
      </c>
      <c r="B9" s="10" t="inlineStr">
        <is>
          <t>1,2%</t>
        </is>
      </c>
    </row>
    <row r="10">
      <c r="A10" s="9" t="inlineStr">
        <is>
          <t>Угод</t>
        </is>
      </c>
      <c r="B10" s="10" t="inlineStr">
        <is>
          <t>9</t>
        </is>
      </c>
    </row>
    <row r="11">
      <c r="A11" s="9" t="inlineStr">
        <is>
          <t>Закупівель виграно</t>
        </is>
      </c>
      <c r="B11" s="10" t="inlineStr">
        <is>
          <t>9</t>
        </is>
      </c>
    </row>
    <row r="12">
      <c r="A12" s="9" t="inlineStr">
        <is>
          <t>Подань (де видно)</t>
        </is>
      </c>
      <c r="B12" s="10" t="inlineStr">
        <is>
          <t>4</t>
        </is>
      </c>
    </row>
    <row r="13">
      <c r="A13" s="9" t="inlineStr">
        <is>
          <t>Виграно з поданих</t>
        </is>
      </c>
      <c r="B13" s="10" t="inlineStr">
        <is>
          <t>4 з 4</t>
        </is>
      </c>
    </row>
    <row r="14">
      <c r="A14" s="9" t="inlineStr">
        <is>
          <t>Результативність</t>
        </is>
      </c>
      <c r="B14" s="10" t="inlineStr">
        <is>
          <t>100,0%</t>
        </is>
      </c>
    </row>
    <row r="15">
      <c r="A15" s="9" t="inlineStr">
        <is>
          <t>Середня угода</t>
        </is>
      </c>
      <c r="B15" s="10" t="inlineStr">
        <is>
          <t>155,0 тис. грн</t>
        </is>
      </c>
    </row>
    <row r="16">
      <c r="A16" s="9" t="inlineStr">
        <is>
          <t>Медіанна угода</t>
        </is>
      </c>
      <c r="B16" s="10" t="inlineStr">
        <is>
          <t>70,0 тис. грн</t>
        </is>
      </c>
    </row>
    <row r="17">
      <c r="A17" s="9" t="inlineStr">
        <is>
          <t>Замовників</t>
        </is>
      </c>
      <c r="B17" s="10" t="inlineStr">
        <is>
          <t>9</t>
        </is>
      </c>
    </row>
    <row r="18">
      <c r="A18" s="9" t="inlineStr">
        <is>
          <t>Областей</t>
        </is>
      </c>
      <c r="B18" s="10" t="inlineStr">
        <is>
          <t>1</t>
        </is>
      </c>
    </row>
    <row r="19">
      <c r="A19" s="9" t="inlineStr">
        <is>
          <t>Основна ТМ</t>
        </is>
      </c>
      <c r="B19" s="10" t="inlineStr">
        <is>
          <t>Impression</t>
        </is>
      </c>
    </row>
    <row r="20">
      <c r="A20" s="9" t="inlineStr">
        <is>
          <t>Основний товар</t>
        </is>
      </c>
      <c r="B20" s="10" t="inlineStr">
        <is>
          <t>Ноутбук</t>
        </is>
      </c>
    </row>
    <row r="21">
      <c r="A21" s="9" t="inlineStr">
        <is>
          <t>Дисконт (медіана)</t>
        </is>
      </c>
      <c r="B21" s="10" t="inlineStr">
        <is>
          <t>0,0%</t>
        </is>
      </c>
    </row>
    <row r="22">
      <c r="A22" s="9" t="inlineStr">
        <is>
          <t>Повторні замовники</t>
        </is>
      </c>
      <c r="B22" s="10" t="inlineStr">
        <is>
          <t>0,0%</t>
        </is>
      </c>
    </row>
    <row r="23">
      <c r="A23" s="9" t="inlineStr">
        <is>
          <t>Активність</t>
        </is>
      </c>
      <c r="B23" s="10" t="inlineStr">
        <is>
          <t>2025-10-17 — 2026-07-15</t>
        </is>
      </c>
    </row>
    <row r="24">
      <c r="A24" s="9" t="inlineStr">
        <is>
          <t>Зірвано перемог</t>
        </is>
      </c>
      <c r="B24" s="10" t="inlineStr">
        <is>
          <t>—</t>
        </is>
      </c>
    </row>
    <row r="25">
      <c r="A25" s="9" t="inlineStr">
        <is>
          <t>Причина зривів</t>
        </is>
      </c>
      <c r="B25" s="10" t="inlineStr">
        <is>
          <t>—</t>
        </is>
      </c>
    </row>
    <row r="27">
      <c r="A27" s="8" t="inlineStr">
        <is>
          <t>Висновки</t>
        </is>
      </c>
    </row>
    <row r="28">
      <c r="A28" t="inlineStr">
        <is>
          <t>•  21-е місце на ринку: 1,4 млн грн (1,2% обороту)</t>
        </is>
      </c>
    </row>
    <row r="29">
      <c r="A29" t="inlineStr">
        <is>
          <t>•  Основний товар: ноутбук</t>
        </is>
      </c>
    </row>
    <row r="30">
      <c r="A30" t="inlineStr">
        <is>
          <t>•  ТМ Impression у 57,1% позицій</t>
        </is>
      </c>
    </row>
    <row r="31">
      <c r="A31" t="inlineStr">
        <is>
          <t>•  Тримає ціну: дисконт 0,0% проти 8,3% по ринку</t>
        </is>
      </c>
    </row>
    <row r="32">
      <c r="A32" t="inlineStr">
        <is>
          <t>•  Географічно сфокусований: Волинська область (100,0% угод)</t>
        </is>
      </c>
    </row>
    <row r="33">
      <c r="A33" t="inlineStr">
        <is>
          <t>•  Результативність на торгах: 100,0% (4 з 4)</t>
        </is>
      </c>
    </row>
    <row r="34">
      <c r="A34" t="inlineStr">
        <is>
          <t>•  Динаміка: спадає (-27% у другій половині періоду)</t>
        </is>
      </c>
    </row>
    <row r="36">
      <c r="A36" s="8" t="inlineStr">
        <is>
          <t>Графіки</t>
        </is>
      </c>
    </row>
    <row r="38">
      <c r="A38" s="2" t="inlineStr">
        <is>
          <t>Динаміка по місяцях</t>
        </is>
      </c>
    </row>
    <row r="39">
      <c r="A39" s="3" t="inlineStr">
        <is>
          <t>Період</t>
        </is>
      </c>
      <c r="B39" s="3" t="inlineStr">
        <is>
          <t>Сума угод, грн</t>
        </is>
      </c>
    </row>
    <row r="40">
      <c r="A40" t="inlineStr">
        <is>
          <t>2025-10</t>
        </is>
      </c>
      <c r="B40" s="5" t="n">
        <v>175000</v>
      </c>
    </row>
    <row r="41">
      <c r="A41" t="inlineStr">
        <is>
          <t>2025-11</t>
        </is>
      </c>
      <c r="B41" s="5" t="n">
        <v>1020000</v>
      </c>
    </row>
    <row r="42">
      <c r="A42" t="inlineStr">
        <is>
          <t>2025-12</t>
        </is>
      </c>
      <c r="B42" s="5" t="n">
        <v>156000</v>
      </c>
    </row>
    <row r="43">
      <c r="A43" t="inlineStr">
        <is>
          <t>2026-07</t>
        </is>
      </c>
      <c r="B43" s="5" t="n">
        <v>44166.66</v>
      </c>
    </row>
    <row r="58">
      <c r="A58" s="2" t="inlineStr">
        <is>
          <t>Торгові марки у позиціях</t>
        </is>
      </c>
    </row>
    <row r="59">
      <c r="A59" s="3" t="inlineStr">
        <is>
          <t>Категорія</t>
        </is>
      </c>
      <c r="B59" s="3" t="inlineStr">
        <is>
          <t>Позицій, шт</t>
        </is>
      </c>
    </row>
    <row r="60">
      <c r="A60" t="inlineStr">
        <is>
          <t>Impression</t>
        </is>
      </c>
      <c r="B60" s="5" t="n">
        <v>4</v>
      </c>
    </row>
    <row r="61">
      <c r="A61" t="inlineStr">
        <is>
          <t>Intel</t>
        </is>
      </c>
      <c r="B61" s="5" t="n">
        <v>1</v>
      </c>
    </row>
    <row r="62">
      <c r="A62" t="inlineStr">
        <is>
          <t>AMD</t>
        </is>
      </c>
      <c r="B62" s="5" t="n">
        <v>1</v>
      </c>
    </row>
    <row r="63">
      <c r="A63" t="inlineStr">
        <is>
          <t>Microsoft</t>
        </is>
      </c>
      <c r="B63" s="5" t="n">
        <v>1</v>
      </c>
    </row>
    <row r="78">
      <c r="A78" s="2" t="inlineStr">
        <is>
          <t>Що саме продає</t>
        </is>
      </c>
    </row>
    <row r="79">
      <c r="A79" s="3" t="inlineStr">
        <is>
          <t>Категорія</t>
        </is>
      </c>
      <c r="B79" s="3" t="inlineStr">
        <is>
          <t>Позицій, шт</t>
        </is>
      </c>
    </row>
    <row r="80">
      <c r="A80" t="inlineStr">
        <is>
          <t>Ноутбук</t>
        </is>
      </c>
      <c r="B80" s="5" t="n">
        <v>7</v>
      </c>
    </row>
    <row r="81">
      <c r="A81" t="inlineStr">
        <is>
          <t>Планшет</t>
        </is>
      </c>
      <c r="B81" s="5" t="n">
        <v>1</v>
      </c>
    </row>
    <row r="82">
      <c r="A82" t="inlineStr">
        <is>
          <t>Персональний комп'ютер</t>
        </is>
      </c>
      <c r="B82" s="5" t="n">
        <v>1</v>
      </c>
    </row>
    <row r="94">
      <c r="A94" s="2" t="inlineStr">
        <is>
          <t>Ключові замовники</t>
        </is>
      </c>
    </row>
    <row r="95">
      <c r="A95" s="3" t="inlineStr">
        <is>
          <t>Категорія</t>
        </is>
      </c>
      <c r="B95" s="3" t="inlineStr">
        <is>
          <t>Сума, грн</t>
        </is>
      </c>
    </row>
    <row r="96">
      <c r="A96" t="inlineStr">
        <is>
          <t>Комунальний заклад загальної середньої о</t>
        </is>
      </c>
      <c r="B96" s="5" t="n">
        <v>490000</v>
      </c>
    </row>
    <row r="97">
      <c r="A97" t="inlineStr">
        <is>
          <t>СТАРОВИЖІВСЬКА СЕЛИЩНА РАДА</t>
        </is>
      </c>
      <c r="B97" s="5" t="n">
        <v>390000</v>
      </c>
    </row>
    <row r="98">
      <c r="A98" t="inlineStr">
        <is>
          <t>УПРАВЛІННЯ ГУМАНІТАРНОЇ ПОЛІТИКИ ЛОКАЧИН</t>
        </is>
      </c>
      <c r="B98" s="5" t="n">
        <v>175000</v>
      </c>
    </row>
    <row r="99">
      <c r="A99" t="inlineStr">
        <is>
          <t>Ківерцівський фаховий медичний коледж Во</t>
        </is>
      </c>
      <c r="B99" s="5" t="n">
        <v>99000</v>
      </c>
    </row>
    <row r="100">
      <c r="A100" t="inlineStr">
        <is>
          <t>Мстишинська гімназія Боратинської сільсь</t>
        </is>
      </c>
      <c r="B100" s="5" t="n">
        <v>70000</v>
      </c>
    </row>
    <row r="101">
      <c r="A101" t="inlineStr">
        <is>
          <t>КОМУНАЛЬНИЙ ЗАКЛАД ЗАГАЛЬНОЇ СЕРЕДНЬОЇ О</t>
        </is>
      </c>
      <c r="B101" s="5" t="n">
        <v>70000</v>
      </c>
    </row>
    <row r="102">
      <c r="A102" t="inlineStr">
        <is>
          <t xml:space="preserve">Жиричівський ліцей Ратнівської селищної </t>
        </is>
      </c>
      <c r="B102" s="5" t="n">
        <v>44166.66</v>
      </c>
    </row>
    <row r="103">
      <c r="A103" t="inlineStr">
        <is>
          <t>Комунальний заклад загальної середньої о</t>
        </is>
      </c>
      <c r="B103" s="5" t="n">
        <v>34000</v>
      </c>
    </row>
    <row r="104">
      <c r="A104" t="inlineStr">
        <is>
          <t>КОМУНАЛЬНИЙ ЗАКЛАД ЗАГАЛЬНОЇ СЕРЕДНЬОЇ О</t>
        </is>
      </c>
      <c r="B104" s="5" t="n">
        <v>23000</v>
      </c>
    </row>
    <row r="111">
      <c r="A111" s="2" t="inlineStr">
        <is>
          <t>Процедури</t>
        </is>
      </c>
    </row>
    <row r="112">
      <c r="A112" s="3" t="inlineStr">
        <is>
          <t>Категорія</t>
        </is>
      </c>
      <c r="B112" s="3" t="inlineStr">
        <is>
          <t>Угод, шт</t>
        </is>
      </c>
    </row>
    <row r="113">
      <c r="A113" t="inlineStr">
        <is>
          <t>Звіт про договір</t>
        </is>
      </c>
      <c r="B113" s="5" t="n">
        <v>5</v>
      </c>
    </row>
    <row r="114">
      <c r="A114" t="inlineStr">
        <is>
          <t>Запит пропозицій</t>
        </is>
      </c>
      <c r="B114" s="5" t="n">
        <v>4</v>
      </c>
    </row>
    <row r="131">
      <c r="A131" s="8" t="inlineStr">
        <is>
          <t>Таблиці</t>
        </is>
      </c>
    </row>
    <row r="133">
      <c r="A133" s="2" t="inlineStr">
        <is>
          <t>ТМ</t>
        </is>
      </c>
    </row>
    <row r="134">
      <c r="A134" s="11" t="inlineStr">
        <is>
          <t>Торгова марка</t>
        </is>
      </c>
      <c r="B134" s="11" t="inlineStr">
        <is>
          <t>Позицій</t>
        </is>
      </c>
      <c r="C134" s="11" t="inlineStr">
        <is>
          <t>Частка</t>
        </is>
      </c>
      <c r="D134" s="11" t="inlineStr">
        <is>
          <t>Власна ТМ за довідником</t>
        </is>
      </c>
    </row>
    <row r="135">
      <c r="A135" t="inlineStr">
        <is>
          <t>Impression</t>
        </is>
      </c>
      <c r="B135" s="5" t="n">
        <v>4</v>
      </c>
      <c r="C135" s="12" t="n">
        <v>0.5714</v>
      </c>
      <c r="D135" t="inlineStr"/>
    </row>
    <row r="136">
      <c r="A136" t="inlineStr">
        <is>
          <t>Intel</t>
        </is>
      </c>
      <c r="B136" s="5" t="n">
        <v>1</v>
      </c>
      <c r="C136" s="12" t="n">
        <v>0.1429</v>
      </c>
      <c r="D136" t="inlineStr"/>
    </row>
    <row r="137">
      <c r="A137" t="inlineStr">
        <is>
          <t>AMD</t>
        </is>
      </c>
      <c r="B137" s="5" t="n">
        <v>1</v>
      </c>
      <c r="C137" s="12" t="n">
        <v>0.1429</v>
      </c>
      <c r="D137" t="inlineStr"/>
    </row>
    <row r="138">
      <c r="A138" t="inlineStr">
        <is>
          <t>Microsoft</t>
        </is>
      </c>
      <c r="B138" s="5" t="n">
        <v>1</v>
      </c>
      <c r="C138" s="12" t="n">
        <v>0.1429</v>
      </c>
      <c r="D138" t="inlineStr"/>
    </row>
    <row r="140">
      <c r="A140" s="2" t="inlineStr">
        <is>
          <t>Товари</t>
        </is>
      </c>
    </row>
    <row r="141">
      <c r="A141" s="11" t="inlineStr">
        <is>
          <t>Товар</t>
        </is>
      </c>
      <c r="B141" s="11" t="inlineStr">
        <is>
          <t>Позицій</t>
        </is>
      </c>
    </row>
    <row r="142">
      <c r="A142" t="inlineStr">
        <is>
          <t>Ноутбук</t>
        </is>
      </c>
      <c r="B142" s="5" t="n">
        <v>7</v>
      </c>
    </row>
    <row r="143">
      <c r="A143" t="inlineStr">
        <is>
          <t>Планшет</t>
        </is>
      </c>
      <c r="B143" s="5" t="n">
        <v>1</v>
      </c>
    </row>
    <row r="144">
      <c r="A144" t="inlineStr">
        <is>
          <t>Персональний комп'ютер</t>
        </is>
      </c>
      <c r="B144" s="5" t="n">
        <v>1</v>
      </c>
    </row>
    <row r="146">
      <c r="A146" s="2" t="inlineStr">
        <is>
          <t>Документи</t>
        </is>
      </c>
    </row>
    <row r="147">
      <c r="A147" s="11" t="inlineStr">
        <is>
          <t>Тип документа</t>
        </is>
      </c>
      <c r="B147" s="11" t="inlineStr">
        <is>
          <t>Файлів</t>
        </is>
      </c>
    </row>
    <row r="148">
      <c r="A148" t="inlineStr">
        <is>
          <t>Підпис КЕП</t>
        </is>
      </c>
      <c r="B148" s="5" t="n">
        <v>8</v>
      </c>
    </row>
    <row r="149">
      <c r="A149" t="inlineStr">
        <is>
          <t>не класифіковано</t>
        </is>
      </c>
      <c r="B149" s="5" t="n">
        <v>6</v>
      </c>
    </row>
    <row r="151">
      <c r="A151" s="2" t="inlineStr">
        <is>
          <t>Угоди</t>
        </is>
      </c>
    </row>
    <row r="152">
      <c r="A152" s="11" t="inlineStr">
        <is>
          <t>Закупівля</t>
        </is>
      </c>
      <c r="B152" s="11" t="inlineStr">
        <is>
          <t>Дата</t>
        </is>
      </c>
      <c r="C152" s="11" t="inlineStr">
        <is>
          <t>Замовник</t>
        </is>
      </c>
      <c r="D152" s="11" t="inlineStr">
        <is>
          <t>Регіон</t>
        </is>
      </c>
      <c r="E152" s="11" t="inlineStr">
        <is>
          <t>Сума, грн</t>
        </is>
      </c>
      <c r="F152" s="11" t="inlineStr">
        <is>
          <t>Очікувана, грн</t>
        </is>
      </c>
      <c r="G152" s="11" t="inlineStr">
        <is>
          <t>Процедура</t>
        </is>
      </c>
      <c r="H152" s="11" t="inlineStr">
        <is>
          <t>Галузь</t>
        </is>
      </c>
      <c r="I152" s="11" t="inlineStr">
        <is>
          <t>Джерело</t>
        </is>
      </c>
    </row>
    <row r="153">
      <c r="A153" s="4" t="inlineStr">
        <is>
          <t>UA-2025-10-24-015870-a</t>
        </is>
      </c>
      <c r="B153" t="inlineStr">
        <is>
          <t>2025-11-06</t>
        </is>
      </c>
      <c r="C153" t="inlineStr">
        <is>
          <t>Комунальний заклад загальної середньої освіти "Луцький ліцей № 1 Луцької міської ради"</t>
        </is>
      </c>
      <c r="D153" t="inlineStr">
        <is>
          <t>Волинська область</t>
        </is>
      </c>
      <c r="E153" s="13" t="n">
        <v>490000</v>
      </c>
      <c r="F153" s="13" t="n">
        <v>490000</v>
      </c>
      <c r="G153" t="inlineStr">
        <is>
          <t>Запит пропозицій</t>
        </is>
      </c>
      <c r="H153" t="inlineStr">
        <is>
          <t>Машини для обробки даних (апаратна частина)</t>
        </is>
      </c>
      <c r="I153" t="inlineStr">
        <is>
          <t>договір</t>
        </is>
      </c>
    </row>
    <row r="154">
      <c r="A154" s="4" t="inlineStr">
        <is>
          <t>UA-2025-10-29-011635-a</t>
        </is>
      </c>
      <c r="B154" t="inlineStr">
        <is>
          <t>2025-11-07</t>
        </is>
      </c>
      <c r="C154" t="inlineStr">
        <is>
          <t>СТАРОВИЖІВСЬКА СЕЛИЩНА РАДА</t>
        </is>
      </c>
      <c r="D154" t="inlineStr">
        <is>
          <t>Волинська область</t>
        </is>
      </c>
      <c r="E154" s="13" t="n">
        <v>390000</v>
      </c>
      <c r="F154" s="13" t="n">
        <v>390000</v>
      </c>
      <c r="G154" t="inlineStr">
        <is>
          <t>Запит пропозицій</t>
        </is>
      </c>
      <c r="H154" t="inlineStr">
        <is>
          <t>Машини для обробки даних (апаратна частина)</t>
        </is>
      </c>
      <c r="I154" t="inlineStr">
        <is>
          <t>договір</t>
        </is>
      </c>
    </row>
    <row r="155">
      <c r="A155" s="4" t="inlineStr">
        <is>
          <t>UA-2025-10-01-005167-a</t>
        </is>
      </c>
      <c r="B155" t="inlineStr">
        <is>
          <t>2025-10-17</t>
        </is>
      </c>
      <c r="C155" t="inlineStr">
        <is>
          <t>УПРАВЛІННЯ ГУМАНІТАРНОЇ ПОЛІТИКИ ЛОКАЧИНСЬКОЇ СЕЛИЩНОЇ РАДИ</t>
        </is>
      </c>
      <c r="D155" t="inlineStr">
        <is>
          <t>Волинська область</t>
        </is>
      </c>
      <c r="E155" s="13" t="n">
        <v>175000</v>
      </c>
      <c r="F155" s="13" t="n">
        <v>175000</v>
      </c>
      <c r="G155" t="inlineStr">
        <is>
          <t>Запит пропозицій</t>
        </is>
      </c>
      <c r="H155" t="inlineStr">
        <is>
          <t>Машини для обробки даних (апаратна частина)</t>
        </is>
      </c>
      <c r="I155" t="inlineStr">
        <is>
          <t>договір</t>
        </is>
      </c>
    </row>
    <row r="156">
      <c r="A156" s="4" t="inlineStr">
        <is>
          <t>UA-2025-11-26-016214-a</t>
        </is>
      </c>
      <c r="B156" t="inlineStr">
        <is>
          <t>2025-12-04</t>
        </is>
      </c>
      <c r="C156" t="inlineStr">
        <is>
          <t>Ківерцівський фаховий медичний коледж Волинської обласної ради</t>
        </is>
      </c>
      <c r="D156" t="inlineStr">
        <is>
          <t>Волинська область</t>
        </is>
      </c>
      <c r="E156" s="13" t="n">
        <v>99000</v>
      </c>
      <c r="F156" s="13" t="n">
        <v>100000</v>
      </c>
      <c r="G156" t="inlineStr">
        <is>
          <t>Запит пропозицій</t>
        </is>
      </c>
      <c r="H156" t="inlineStr">
        <is>
          <t>Машини для обробки даних (апаратна частина)</t>
        </is>
      </c>
      <c r="I156" t="inlineStr">
        <is>
          <t>договір</t>
        </is>
      </c>
    </row>
    <row r="157">
      <c r="A157" s="4" t="inlineStr">
        <is>
          <t>UA-2025-11-05-015298-a</t>
        </is>
      </c>
      <c r="B157" t="inlineStr">
        <is>
          <t>2025-11-05</t>
        </is>
      </c>
      <c r="C157" t="inlineStr">
        <is>
          <t>Мстишинська гімназія Боратинської сільської ради</t>
        </is>
      </c>
      <c r="D157" t="inlineStr">
        <is>
          <t>Волинська область</t>
        </is>
      </c>
      <c r="E157" s="13" t="n">
        <v>70000</v>
      </c>
      <c r="F157" s="13" t="n">
        <v>70000</v>
      </c>
      <c r="G157" t="inlineStr">
        <is>
          <t>Звіт про договір</t>
        </is>
      </c>
      <c r="H157" t="inlineStr">
        <is>
          <t>Машини для обробки даних (апаратна частина)</t>
        </is>
      </c>
      <c r="I157" t="inlineStr">
        <is>
          <t>договір</t>
        </is>
      </c>
    </row>
    <row r="158">
      <c r="A158" s="4" t="inlineStr">
        <is>
          <t>UA-2025-11-04-016904-a</t>
        </is>
      </c>
      <c r="B158" t="inlineStr">
        <is>
          <t>2025-11-04</t>
        </is>
      </c>
      <c r="C158" t="inlineStr">
        <is>
          <t>КОМУНАЛЬНИЙ ЗАКЛАД ЗАГАЛЬНОЇ СЕРЕДНЬОЇ ОСВІТИ "КОРШІВСЬКА ГІМНАЗІЯ БОРАТИНСЬКОЇ СІЛЬСЬКОЇ РАДИ"</t>
        </is>
      </c>
      <c r="D158" t="inlineStr">
        <is>
          <t>Волинська область</t>
        </is>
      </c>
      <c r="E158" s="13" t="n">
        <v>70000</v>
      </c>
      <c r="F158" s="13" t="n">
        <v>70000</v>
      </c>
      <c r="G158" t="inlineStr">
        <is>
          <t>Звіт про договір</t>
        </is>
      </c>
      <c r="H158" t="inlineStr">
        <is>
          <t>Машини для обробки даних (апаратна частина)</t>
        </is>
      </c>
      <c r="I158" t="inlineStr">
        <is>
          <t>договір</t>
        </is>
      </c>
    </row>
    <row r="159">
      <c r="A159" s="4" t="inlineStr">
        <is>
          <t>UA-2026-07-15-011524-a</t>
        </is>
      </c>
      <c r="B159" t="inlineStr">
        <is>
          <t>2026-07-15</t>
        </is>
      </c>
      <c r="C159" t="inlineStr">
        <is>
          <t>Жиричівський ліцей Ратнівської селищної ради</t>
        </is>
      </c>
      <c r="D159" t="inlineStr">
        <is>
          <t>Волинська область</t>
        </is>
      </c>
      <c r="E159" s="13" t="n">
        <v>44166.66</v>
      </c>
      <c r="F159" s="13" t="n">
        <v>44166.66</v>
      </c>
      <c r="G159" t="inlineStr">
        <is>
          <t>Звіт про договір</t>
        </is>
      </c>
      <c r="H159" t="inlineStr">
        <is>
          <t>Комп’ютерне обладнання</t>
        </is>
      </c>
      <c r="I159" t="inlineStr">
        <is>
          <t>договір</t>
        </is>
      </c>
    </row>
    <row r="160">
      <c r="A160" s="4" t="inlineStr">
        <is>
          <t>UA-2025-12-25-008718-a</t>
        </is>
      </c>
      <c r="B160" t="inlineStr">
        <is>
          <t>2025-12-25</t>
        </is>
      </c>
      <c r="C160" t="inlineStr">
        <is>
          <t>Комунальний заклад загальної середньої освіти "Шепельська гімназія № 39 Луцької міської ради"</t>
        </is>
      </c>
      <c r="D160" t="inlineStr">
        <is>
          <t>Волинська область</t>
        </is>
      </c>
      <c r="E160" s="13" t="n">
        <v>34000</v>
      </c>
      <c r="F160" s="13" t="n">
        <v>34000</v>
      </c>
      <c r="G160" t="inlineStr">
        <is>
          <t>Звіт про договір</t>
        </is>
      </c>
      <c r="H160" t="inlineStr">
        <is>
          <t>Машини для обробки даних (апаратна частина)</t>
        </is>
      </c>
      <c r="I160" t="inlineStr">
        <is>
          <t>договір</t>
        </is>
      </c>
    </row>
    <row r="161">
      <c r="A161" s="4" t="inlineStr">
        <is>
          <t>UA-2025-12-10-012543-a</t>
        </is>
      </c>
      <c r="B161" t="inlineStr">
        <is>
          <t>2025-12-10</t>
        </is>
      </c>
      <c r="C161" t="inlineStr">
        <is>
          <t>КОМУНАЛЬНИЙ ЗАКЛАД ЗАГАЛЬНОЇ СЕРЕДНЬОЇ ОСВІТИ "ЛУЦЬКИЙ ЛІЦЕЙ №28 З ПОСИЛЕНОЮ ФІЗИЧНОЮ ПІДГОТОВКОЮ ЛУЦЬКОЇ МІСЬКОЇ РАДИ"</t>
        </is>
      </c>
      <c r="D161" t="inlineStr">
        <is>
          <t>Волинська область</t>
        </is>
      </c>
      <c r="E161" s="13" t="n">
        <v>23000</v>
      </c>
      <c r="F161" s="13" t="n">
        <v>23000</v>
      </c>
      <c r="G161" t="inlineStr">
        <is>
          <t>Звіт про договір</t>
        </is>
      </c>
      <c r="H161" t="inlineStr">
        <is>
          <t>Машини для обробки даних (апаратна частина)</t>
        </is>
      </c>
      <c r="I161" t="inlineStr">
        <is>
          <t>договір</t>
        </is>
      </c>
    </row>
    <row r="163">
      <c r="A163" s="2" t="inlineStr">
        <is>
          <t>Наші зустрічі</t>
        </is>
      </c>
    </row>
    <row r="164">
      <c r="A164" s="11" t="inlineStr">
        <is>
          <t>Закупівля</t>
        </is>
      </c>
      <c r="B164" s="11" t="inlineStr">
        <is>
          <t>Дата</t>
        </is>
      </c>
      <c r="C164" s="11" t="inlineStr">
        <is>
          <t>Замовник</t>
        </is>
      </c>
      <c r="D164" s="11" t="inlineStr">
        <is>
          <t>Предмет</t>
        </is>
      </c>
      <c r="E164" s="11" t="inlineStr">
        <is>
          <t>Сума переможця, грн</t>
        </is>
      </c>
      <c r="F164" s="11" t="inlineStr">
        <is>
          <t>Наша пропозиція, грн</t>
        </is>
      </c>
      <c r="G164" s="11" t="inlineStr">
        <is>
          <t>Розрив</t>
        </is>
      </c>
      <c r="H164" s="11" t="inlineStr">
        <is>
          <t>Що сталося</t>
        </is>
      </c>
    </row>
    <row r="165">
      <c r="A165" s="4" t="inlineStr">
        <is>
          <t>UA-2025-10-24-015870-a</t>
        </is>
      </c>
      <c r="B165" t="inlineStr">
        <is>
          <t>2025-10-24</t>
        </is>
      </c>
      <c r="C165" t="inlineStr">
        <is>
          <t>Комунальний заклад загальної середньої освіти "Луцький ліцей № 1 Луцької міської ради"</t>
        </is>
      </c>
      <c r="D165" t="inlineStr">
        <is>
          <t>Машини для обробки даних (апаратна частина)</t>
        </is>
      </c>
      <c r="E165" s="13" t="n">
        <v>490000</v>
      </c>
      <c r="H165" t="inlineStr">
        <is>
          <t>ми не подавалися</t>
        </is>
      </c>
    </row>
    <row r="166">
      <c r="A166" s="4" t="inlineStr">
        <is>
          <t>UA-2025-10-29-011635-a</t>
        </is>
      </c>
      <c r="B166" t="inlineStr">
        <is>
          <t>2025-10-29</t>
        </is>
      </c>
      <c r="C166" t="inlineStr">
        <is>
          <t>СТАРОВИЖІВСЬКА СЕЛИЩНА РАДА</t>
        </is>
      </c>
      <c r="D166" t="inlineStr">
        <is>
          <t>Ноутбуки НУШ</t>
        </is>
      </c>
      <c r="E166" s="13" t="n">
        <v>390000</v>
      </c>
      <c r="H166" t="inlineStr">
        <is>
          <t>ми не подавалися</t>
        </is>
      </c>
    </row>
    <row r="167">
      <c r="A167" s="4" t="inlineStr">
        <is>
          <t>UA-2025-10-01-005167-a</t>
        </is>
      </c>
      <c r="B167" t="inlineStr">
        <is>
          <t>2025-10-01</t>
        </is>
      </c>
      <c r="C167" t="inlineStr">
        <is>
          <t>УПРАВЛІННЯ ГУМАНІТАРНОЇ ПОЛІТИКИ ЛОКАЧИНСЬКОЇ СЕЛИЩНОЇ РАДИ</t>
        </is>
      </c>
      <c r="D167" t="inlineStr">
        <is>
          <t>ДК 021:2015 «Єдиний закупівельний словник» – 30210000-4 Машини для обробки даних</t>
        </is>
      </c>
      <c r="E167" s="13" t="n">
        <v>175000</v>
      </c>
      <c r="H167" t="inlineStr">
        <is>
          <t>ми не подавалися</t>
        </is>
      </c>
    </row>
    <row r="168">
      <c r="A168" s="4" t="inlineStr">
        <is>
          <t>UA-2025-11-26-016214-a</t>
        </is>
      </c>
      <c r="B168" t="inlineStr">
        <is>
          <t>2025-11-26</t>
        </is>
      </c>
      <c r="C168" t="inlineStr">
        <is>
          <t>Ківерцівський фаховий медичний коледж Волинської обласної ради</t>
        </is>
      </c>
      <c r="D168" t="inlineStr">
        <is>
          <t>Комп'ютери настільні НУШ</t>
        </is>
      </c>
      <c r="E168" s="13" t="n">
        <v>99000</v>
      </c>
      <c r="H168" t="inlineStr">
        <is>
          <t>ми не подавалися</t>
        </is>
      </c>
    </row>
    <row r="169">
      <c r="A169" s="4" t="inlineStr">
        <is>
          <t>UA-2025-11-05-015298-a</t>
        </is>
      </c>
      <c r="B169" t="inlineStr">
        <is>
          <t>2025-11-05</t>
        </is>
      </c>
      <c r="C169" t="inlineStr">
        <is>
          <t>Мстишинська гімназія Боратинської сільської ради</t>
        </is>
      </c>
      <c r="D169" t="inlineStr">
        <is>
          <t>Ноутбук</t>
        </is>
      </c>
      <c r="E169" s="13" t="n">
        <v>70000</v>
      </c>
      <c r="H169" t="inlineStr">
        <is>
          <t>ми не подавалися</t>
        </is>
      </c>
    </row>
    <row r="170">
      <c r="A170" s="4" t="inlineStr">
        <is>
          <t>UA-2025-11-04-016904-a</t>
        </is>
      </c>
      <c r="B170" t="inlineStr">
        <is>
          <t>2025-11-04</t>
        </is>
      </c>
      <c r="C170" t="inlineStr">
        <is>
          <t>КОМУНАЛЬНИЙ ЗАКЛАД ЗАГАЛЬНОЇ СЕРЕДНЬОЇ ОСВІТИ "КОРШІВСЬКА ГІМНАЗІЯ БОРАТИНСЬКОЇ СІЛЬСЬКОЇ РАДИ"</t>
        </is>
      </c>
      <c r="D170" t="inlineStr">
        <is>
          <t>Ноутбук</t>
        </is>
      </c>
      <c r="E170" s="13" t="n">
        <v>70000</v>
      </c>
      <c r="H170" t="inlineStr">
        <is>
          <t>ми не подавалися</t>
        </is>
      </c>
    </row>
    <row r="171">
      <c r="A171" s="4" t="inlineStr">
        <is>
          <t>UA-2026-07-15-011524-a</t>
        </is>
      </c>
      <c r="B171" t="inlineStr">
        <is>
          <t>2026-07-15</t>
        </is>
      </c>
      <c r="C171" t="inlineStr">
        <is>
          <t>Жиричівський ліцей Ратнівської селищної ради</t>
        </is>
      </c>
      <c r="D171" t="inlineStr">
        <is>
          <t>Навчальне обладнання для природничих кабінетів НУШ</t>
        </is>
      </c>
      <c r="E171" s="13" t="n">
        <v>44166.66</v>
      </c>
      <c r="H171" t="inlineStr">
        <is>
          <t>ми не подавалися</t>
        </is>
      </c>
    </row>
    <row r="172">
      <c r="A172" s="4" t="inlineStr">
        <is>
          <t>UA-2025-12-25-008718-a</t>
        </is>
      </c>
      <c r="B172" t="inlineStr">
        <is>
          <t>2025-12-25</t>
        </is>
      </c>
      <c r="C172" t="inlineStr">
        <is>
          <t>Комунальний заклад загальної середньої освіти "Шепельська гімназія № 39 Луцької міської ради"</t>
        </is>
      </c>
      <c r="D172" t="inlineStr">
        <is>
          <t>Ноутбук Impression 158ES</t>
        </is>
      </c>
      <c r="E172" s="13" t="n">
        <v>34000</v>
      </c>
      <c r="H172" t="inlineStr">
        <is>
          <t>ми не подавалися</t>
        </is>
      </c>
    </row>
    <row r="173">
      <c r="A173" s="4" t="inlineStr">
        <is>
          <t>UA-2025-12-10-012543-a</t>
        </is>
      </c>
      <c r="B173" t="inlineStr">
        <is>
          <t>2025-12-10</t>
        </is>
      </c>
      <c r="C173" t="inlineStr">
        <is>
          <t>КОМУНАЛЬНИЙ ЗАКЛАД ЗАГАЛЬНОЇ СЕРЕДНЬОЇ ОСВІТИ "ЛУЦЬКИЙ ЛІЦЕЙ №28 З ПОСИЛЕНОЮ ФІЗИЧНОЮ ПІДГОТОВКОЮ ЛУЦЬКОЇ МІСЬКОЇ РАДИ"</t>
        </is>
      </c>
      <c r="D173" t="inlineStr">
        <is>
          <t>Планшет трансформер</t>
        </is>
      </c>
      <c r="E173" s="13" t="n">
        <v>23000</v>
      </c>
      <c r="H173" t="inlineStr">
        <is>
          <t>ми не подавалися</t>
        </is>
      </c>
    </row>
    <row r="175">
      <c r="A175" s="8" t="inlineStr">
        <is>
          <t>Сильні сторони</t>
        </is>
      </c>
    </row>
    <row r="176">
      <c r="A176" t="inlineStr">
        <is>
          <t>+  висока результативність на торгах (100,0%)</t>
        </is>
      </c>
    </row>
    <row r="177">
      <c r="A177" t="inlineStr">
        <is>
          <t>+  працює з великими контрактами</t>
        </is>
      </c>
    </row>
    <row r="179">
      <c r="A179" s="8" t="inlineStr">
        <is>
          <t>Слабкі сторони</t>
        </is>
      </c>
    </row>
    <row r="180">
      <c r="A180" t="inlineStr">
        <is>
          <t>−  сертифікатів у поданих файлах не знайдено</t>
        </is>
      </c>
    </row>
    <row r="181">
      <c r="A181" t="inlineStr">
        <is>
          <t>−  слабка цінова позиція: дисконт 0,0% проти 8,3% по ринку</t>
        </is>
      </c>
    </row>
  </sheetData>
  <hyperlinks>
    <hyperlink xmlns:r="http://schemas.openxmlformats.org/officeDocument/2006/relationships" ref="A153" r:id="rId1"/>
    <hyperlink xmlns:r="http://schemas.openxmlformats.org/officeDocument/2006/relationships" ref="A154" r:id="rId2"/>
    <hyperlink xmlns:r="http://schemas.openxmlformats.org/officeDocument/2006/relationships" ref="A155" r:id="rId3"/>
    <hyperlink xmlns:r="http://schemas.openxmlformats.org/officeDocument/2006/relationships" ref="A156" r:id="rId4"/>
    <hyperlink xmlns:r="http://schemas.openxmlformats.org/officeDocument/2006/relationships" ref="A157" r:id="rId5"/>
    <hyperlink xmlns:r="http://schemas.openxmlformats.org/officeDocument/2006/relationships" ref="A158" r:id="rId6"/>
    <hyperlink xmlns:r="http://schemas.openxmlformats.org/officeDocument/2006/relationships" ref="A159" r:id="rId7"/>
    <hyperlink xmlns:r="http://schemas.openxmlformats.org/officeDocument/2006/relationships" ref="A160" r:id="rId8"/>
    <hyperlink xmlns:r="http://schemas.openxmlformats.org/officeDocument/2006/relationships" ref="A161" r:id="rId9"/>
    <hyperlink xmlns:r="http://schemas.openxmlformats.org/officeDocument/2006/relationships" ref="A165" r:id="rId10"/>
    <hyperlink xmlns:r="http://schemas.openxmlformats.org/officeDocument/2006/relationships" ref="A166" r:id="rId11"/>
    <hyperlink xmlns:r="http://schemas.openxmlformats.org/officeDocument/2006/relationships" ref="A167" r:id="rId12"/>
    <hyperlink xmlns:r="http://schemas.openxmlformats.org/officeDocument/2006/relationships" ref="A168" r:id="rId13"/>
    <hyperlink xmlns:r="http://schemas.openxmlformats.org/officeDocument/2006/relationships" ref="A169" r:id="rId14"/>
    <hyperlink xmlns:r="http://schemas.openxmlformats.org/officeDocument/2006/relationships" ref="A170" r:id="rId15"/>
    <hyperlink xmlns:r="http://schemas.openxmlformats.org/officeDocument/2006/relationships" ref="A171" r:id="rId16"/>
    <hyperlink xmlns:r="http://schemas.openxmlformats.org/officeDocument/2006/relationships" ref="A172" r:id="rId17"/>
    <hyperlink xmlns:r="http://schemas.openxmlformats.org/officeDocument/2006/relationships" ref="A173" r:id="rId18"/>
  </hyperlinks>
  <pageMargins left="0.75" right="0.75" top="1" bottom="1" header="0.5" footer="0.5"/>
  <drawing xmlns:r="http://schemas.openxmlformats.org/officeDocument/2006/relationships" r:id="rId19"/>
  <tableParts count="5">
    <tablePart xmlns:r="http://schemas.openxmlformats.org/officeDocument/2006/relationships" r:id="rId20"/>
    <tablePart xmlns:r="http://schemas.openxmlformats.org/officeDocument/2006/relationships" r:id="rId21"/>
    <tablePart xmlns:r="http://schemas.openxmlformats.org/officeDocument/2006/relationships" r:id="rId22"/>
    <tablePart xmlns:r="http://schemas.openxmlformats.org/officeDocument/2006/relationships" r:id="rId23"/>
    <tablePart xmlns:r="http://schemas.openxmlformats.org/officeDocument/2006/relationships" r:id="rId24"/>
  </tableParts>
</worksheet>
</file>

<file path=xl/worksheets/sheet35.xml><?xml version="1.0" encoding="utf-8"?>
<worksheet xmlns="http://schemas.openxmlformats.org/spreadsheetml/2006/main">
  <sheetPr>
    <outlinePr summaryBelow="1" summaryRight="1"/>
    <pageSetUpPr/>
  </sheetPr>
  <dimension ref="A1:I160"/>
  <sheetViews>
    <sheetView showGridLines="0" workbookViewId="0">
      <selection activeCell="A1" sqref="A1"/>
    </sheetView>
  </sheetViews>
  <sheetFormatPr baseColWidth="8" defaultRowHeight="15"/>
  <cols>
    <col width="42" customWidth="1" min="1" max="1"/>
    <col width="25" customWidth="1" min="2" max="2"/>
    <col width="60" customWidth="1" min="3" max="3"/>
    <col width="60" customWidth="1" min="4" max="4"/>
    <col width="21" customWidth="1" min="5" max="5"/>
    <col width="22" customWidth="1" min="6" max="6"/>
    <col width="23" customWidth="1" min="7" max="7"/>
    <col width="45" customWidth="1" min="8" max="8"/>
    <col width="23" customWidth="1" min="9" max="9"/>
  </cols>
  <sheetData>
    <row r="1">
      <c r="A1" s="1" t="inlineStr">
        <is>
          <t>ТОВ "НАВІГАТОР СИСТЕМ"</t>
        </is>
      </c>
    </row>
    <row r="2">
      <c r="A2" s="6" t="inlineStr">
        <is>
          <t>ЄДРПОУ 42893689  ·  конкурент  ·  місце №33</t>
        </is>
      </c>
    </row>
    <row r="4">
      <c r="A4" s="7" t="inlineStr">
        <is>
          <t>ТОВ "НАВІГАТОР СИСТЕМ" (42893689)</t>
        </is>
      </c>
    </row>
    <row r="6">
      <c r="A6" s="8" t="inlineStr">
        <is>
          <t>Показники</t>
        </is>
      </c>
    </row>
    <row r="7">
      <c r="A7" s="9" t="inlineStr">
        <is>
          <t>Місце на ринку</t>
        </is>
      </c>
      <c r="B7" s="10" t="inlineStr">
        <is>
          <t>№33</t>
        </is>
      </c>
    </row>
    <row r="8">
      <c r="A8" s="9" t="inlineStr">
        <is>
          <t>Сума угод</t>
        </is>
      </c>
      <c r="B8" s="10" t="inlineStr">
        <is>
          <t>855,6 тис. грн</t>
        </is>
      </c>
    </row>
    <row r="9">
      <c r="A9" s="9" t="inlineStr">
        <is>
          <t>Частка ринку</t>
        </is>
      </c>
      <c r="B9" s="10" t="inlineStr">
        <is>
          <t>0,7%</t>
        </is>
      </c>
    </row>
    <row r="10">
      <c r="A10" s="9" t="inlineStr">
        <is>
          <t>Угод</t>
        </is>
      </c>
      <c r="B10" s="10" t="inlineStr">
        <is>
          <t>6</t>
        </is>
      </c>
    </row>
    <row r="11">
      <c r="A11" s="9" t="inlineStr">
        <is>
          <t>Закупівель виграно</t>
        </is>
      </c>
      <c r="B11" s="10" t="inlineStr">
        <is>
          <t>6</t>
        </is>
      </c>
    </row>
    <row r="12">
      <c r="A12" s="9" t="inlineStr">
        <is>
          <t>Подань (де видно)</t>
        </is>
      </c>
      <c r="B12" s="10" t="inlineStr">
        <is>
          <t>6</t>
        </is>
      </c>
    </row>
    <row r="13">
      <c r="A13" s="9" t="inlineStr">
        <is>
          <t>Виграно з поданих</t>
        </is>
      </c>
      <c r="B13" s="10" t="inlineStr">
        <is>
          <t>6 з 6</t>
        </is>
      </c>
    </row>
    <row r="14">
      <c r="A14" s="9" t="inlineStr">
        <is>
          <t>Результативність</t>
        </is>
      </c>
      <c r="B14" s="10" t="inlineStr">
        <is>
          <t>100,0%</t>
        </is>
      </c>
    </row>
    <row r="15">
      <c r="A15" s="9" t="inlineStr">
        <is>
          <t>Середня угода</t>
        </is>
      </c>
      <c r="B15" s="10" t="inlineStr">
        <is>
          <t>142,6 тис. грн</t>
        </is>
      </c>
    </row>
    <row r="16">
      <c r="A16" s="9" t="inlineStr">
        <is>
          <t>Медіанна угода</t>
        </is>
      </c>
      <c r="B16" s="10" t="inlineStr">
        <is>
          <t>115,5 тис. грн</t>
        </is>
      </c>
    </row>
    <row r="17">
      <c r="A17" s="9" t="inlineStr">
        <is>
          <t>Замовників</t>
        </is>
      </c>
      <c r="B17" s="10" t="inlineStr">
        <is>
          <t>4</t>
        </is>
      </c>
    </row>
    <row r="18">
      <c r="A18" s="9" t="inlineStr">
        <is>
          <t>Областей</t>
        </is>
      </c>
      <c r="B18" s="10" t="inlineStr">
        <is>
          <t>1</t>
        </is>
      </c>
    </row>
    <row r="19">
      <c r="A19" s="9" t="inlineStr">
        <is>
          <t>Основна ТМ</t>
        </is>
      </c>
      <c r="B19" s="10" t="inlineStr">
        <is>
          <t>не визначено</t>
        </is>
      </c>
    </row>
    <row r="20">
      <c r="A20" s="9" t="inlineStr">
        <is>
          <t>Основний товар</t>
        </is>
      </c>
      <c r="B20" s="10" t="inlineStr">
        <is>
          <t>Персональний комп'ютер</t>
        </is>
      </c>
    </row>
    <row r="21">
      <c r="A21" s="9" t="inlineStr">
        <is>
          <t>Дисконт (медіана)</t>
        </is>
      </c>
      <c r="B21" s="10" t="inlineStr">
        <is>
          <t>3,9%</t>
        </is>
      </c>
    </row>
    <row r="22">
      <c r="A22" s="9" t="inlineStr">
        <is>
          <t>Повторні замовники</t>
        </is>
      </c>
      <c r="B22" s="10" t="inlineStr">
        <is>
          <t>33,3%</t>
        </is>
      </c>
    </row>
    <row r="23">
      <c r="A23" s="9" t="inlineStr">
        <is>
          <t>Активність</t>
        </is>
      </c>
      <c r="B23" s="10" t="inlineStr">
        <is>
          <t>2026-05-01 — 2026-08-28</t>
        </is>
      </c>
    </row>
    <row r="24">
      <c r="A24" s="9" t="inlineStr">
        <is>
          <t>Зірвано перемог</t>
        </is>
      </c>
      <c r="B24" s="10" t="inlineStr">
        <is>
          <t>—</t>
        </is>
      </c>
    </row>
    <row r="25">
      <c r="A25" s="9" t="inlineStr">
        <is>
          <t>Причина зривів</t>
        </is>
      </c>
      <c r="B25" s="10" t="inlineStr">
        <is>
          <t>—</t>
        </is>
      </c>
    </row>
    <row r="27">
      <c r="A27" s="8" t="inlineStr">
        <is>
          <t>Висновки</t>
        </is>
      </c>
    </row>
    <row r="28">
      <c r="A28" t="inlineStr">
        <is>
          <t>•  33-е місце на ринку: 855,6 тис. грн (0,7% обороту)</t>
        </is>
      </c>
    </row>
    <row r="29">
      <c r="A29" t="inlineStr">
        <is>
          <t>•  Основний товар: персональний комп'ютер</t>
        </is>
      </c>
    </row>
    <row r="30">
      <c r="A30" t="inlineStr">
        <is>
          <t>•  Грає у відкритих процедурах: лише 0,0% угод без торгів</t>
        </is>
      </c>
    </row>
    <row r="31">
      <c r="A31" t="inlineStr">
        <is>
          <t>•  Тримає ціну: дисконт 3,9% проти 8,3% по ринку</t>
        </is>
      </c>
    </row>
    <row r="32">
      <c r="A32" t="inlineStr">
        <is>
          <t>•  Географічно сфокусований: Волинська область (100,0% угод)</t>
        </is>
      </c>
    </row>
    <row r="33">
      <c r="A33" t="inlineStr">
        <is>
          <t>•  Результативність на торгах: 100,0% (6 з 6)</t>
        </is>
      </c>
    </row>
    <row r="34">
      <c r="A34" t="inlineStr">
        <is>
          <t>•  Динаміка: зростає (169% у другій половині періоду)</t>
        </is>
      </c>
    </row>
    <row r="35">
      <c r="A35" t="inlineStr">
        <is>
          <t>•  У поданих файлах — сертифікатів: 7, авторизаційних листів: 1</t>
        </is>
      </c>
    </row>
    <row r="37">
      <c r="A37" s="8" t="inlineStr">
        <is>
          <t>Графіки</t>
        </is>
      </c>
    </row>
    <row r="39">
      <c r="A39" s="2" t="inlineStr">
        <is>
          <t>Динаміка по місяцях</t>
        </is>
      </c>
    </row>
    <row r="40">
      <c r="A40" s="3" t="inlineStr">
        <is>
          <t>Період</t>
        </is>
      </c>
      <c r="B40" s="3" t="inlineStr">
        <is>
          <t>Сума угод, грн</t>
        </is>
      </c>
    </row>
    <row r="41">
      <c r="A41" t="inlineStr">
        <is>
          <t>2026-05</t>
        </is>
      </c>
      <c r="B41" s="5" t="n">
        <v>198318</v>
      </c>
    </row>
    <row r="42">
      <c r="A42" t="inlineStr">
        <is>
          <t>2026-06</t>
        </is>
      </c>
      <c r="B42" s="5" t="n">
        <v>33630</v>
      </c>
    </row>
    <row r="43">
      <c r="A43" t="inlineStr">
        <is>
          <t>2026-07</t>
        </is>
      </c>
      <c r="B43" s="5" t="n">
        <v>178350</v>
      </c>
    </row>
    <row r="44">
      <c r="A44" t="inlineStr">
        <is>
          <t>2026-08</t>
        </is>
      </c>
      <c r="B44" s="5" t="n">
        <v>445275</v>
      </c>
    </row>
    <row r="59">
      <c r="A59" s="2" t="inlineStr">
        <is>
          <t>Що саме продає</t>
        </is>
      </c>
    </row>
    <row r="60">
      <c r="A60" s="3" t="inlineStr">
        <is>
          <t>Категорія</t>
        </is>
      </c>
      <c r="B60" s="3" t="inlineStr">
        <is>
          <t>Позицій, шт</t>
        </is>
      </c>
    </row>
    <row r="61">
      <c r="A61" t="inlineStr">
        <is>
          <t>Персональний комп'ютер</t>
        </is>
      </c>
      <c r="B61" s="5" t="n">
        <v>4</v>
      </c>
    </row>
    <row r="62">
      <c r="A62" t="inlineStr">
        <is>
          <t>Системний блок</t>
        </is>
      </c>
      <c r="B62" s="5" t="n">
        <v>1</v>
      </c>
    </row>
    <row r="63">
      <c r="A63" t="inlineStr">
        <is>
          <t>Моноблок</t>
        </is>
      </c>
      <c r="B63" s="5" t="n">
        <v>1</v>
      </c>
    </row>
    <row r="75">
      <c r="A75" s="2" t="inlineStr">
        <is>
          <t>Ключові замовники</t>
        </is>
      </c>
    </row>
    <row r="76">
      <c r="A76" s="3" t="inlineStr">
        <is>
          <t>Категорія</t>
        </is>
      </c>
      <c r="B76" s="3" t="inlineStr">
        <is>
          <t>Сума, грн</t>
        </is>
      </c>
    </row>
    <row r="77">
      <c r="A77" t="inlineStr">
        <is>
          <t xml:space="preserve">Головне управління Національної поліції </t>
        </is>
      </c>
      <c r="B77" s="5" t="n">
        <v>343485</v>
      </c>
    </row>
    <row r="78">
      <c r="A78" t="inlineStr">
        <is>
          <t>Любомльська міська рада</t>
        </is>
      </c>
      <c r="B78" s="5" t="n">
        <v>264540</v>
      </c>
    </row>
    <row r="79">
      <c r="A79" t="inlineStr">
        <is>
          <t>Військова частина 9971</t>
        </is>
      </c>
      <c r="B79" s="5" t="n">
        <v>178350</v>
      </c>
    </row>
    <row r="80">
      <c r="A80" t="inlineStr">
        <is>
          <t>ВИРОБНИЧЕ УПРАВЛІННЯ КОМУНАЛЬНОГО ГОСПОД</t>
        </is>
      </c>
      <c r="B80" s="5" t="n">
        <v>69198</v>
      </c>
    </row>
    <row r="91">
      <c r="A91" s="2" t="inlineStr">
        <is>
          <t>Процедури</t>
        </is>
      </c>
    </row>
    <row r="92">
      <c r="A92" s="3" t="inlineStr">
        <is>
          <t>Категорія</t>
        </is>
      </c>
      <c r="B92" s="3" t="inlineStr">
        <is>
          <t>Угод, шт</t>
        </is>
      </c>
    </row>
    <row r="93">
      <c r="A93" t="inlineStr">
        <is>
          <t>Запит пропозицій</t>
        </is>
      </c>
      <c r="B93" s="5" t="n">
        <v>4</v>
      </c>
    </row>
    <row r="94">
      <c r="A94" t="inlineStr">
        <is>
          <t>Відкриті торги (нові)</t>
        </is>
      </c>
      <c r="B94" s="5" t="n">
        <v>2</v>
      </c>
    </row>
    <row r="111">
      <c r="A111" s="8" t="inlineStr">
        <is>
          <t>Таблиці</t>
        </is>
      </c>
    </row>
    <row r="113">
      <c r="A113" s="2" t="inlineStr">
        <is>
          <t>Товари</t>
        </is>
      </c>
    </row>
    <row r="114">
      <c r="A114" s="11" t="inlineStr">
        <is>
          <t>Товар</t>
        </is>
      </c>
      <c r="B114" s="11" t="inlineStr">
        <is>
          <t>Позицій</t>
        </is>
      </c>
    </row>
    <row r="115">
      <c r="A115" t="inlineStr">
        <is>
          <t>Персональний комп'ютер</t>
        </is>
      </c>
      <c r="B115" s="5" t="n">
        <v>4</v>
      </c>
    </row>
    <row r="116">
      <c r="A116" t="inlineStr">
        <is>
          <t>Системний блок</t>
        </is>
      </c>
      <c r="B116" s="5" t="n">
        <v>1</v>
      </c>
    </row>
    <row r="117">
      <c r="A117" t="inlineStr">
        <is>
          <t>Моноблок</t>
        </is>
      </c>
      <c r="B117" s="5" t="n">
        <v>1</v>
      </c>
    </row>
    <row r="119">
      <c r="A119" s="2" t="inlineStr">
        <is>
          <t>Документи</t>
        </is>
      </c>
    </row>
    <row r="120">
      <c r="A120" s="11" t="inlineStr">
        <is>
          <t>Тип документа</t>
        </is>
      </c>
      <c r="B120" s="11" t="inlineStr">
        <is>
          <t>Файлів</t>
        </is>
      </c>
    </row>
    <row r="121">
      <c r="A121" t="inlineStr">
        <is>
          <t>Підпис КЕП</t>
        </is>
      </c>
      <c r="B121" s="5" t="n">
        <v>61</v>
      </c>
    </row>
    <row r="122">
      <c r="A122" t="inlineStr">
        <is>
          <t>не класифіковано</t>
        </is>
      </c>
      <c r="B122" s="5" t="n">
        <v>20</v>
      </c>
    </row>
    <row r="123">
      <c r="A123" t="inlineStr">
        <is>
          <t>Установчі та реєстраційні</t>
        </is>
      </c>
      <c r="B123" s="5" t="n">
        <v>13</v>
      </c>
    </row>
    <row r="124">
      <c r="A124" t="inlineStr">
        <is>
          <t>Сертифікат / декларація відповідності</t>
        </is>
      </c>
      <c r="B124" s="5" t="n">
        <v>7</v>
      </c>
    </row>
    <row r="125">
      <c r="A125" t="inlineStr">
        <is>
          <t>Договір</t>
        </is>
      </c>
      <c r="B125" s="5" t="n">
        <v>5</v>
      </c>
    </row>
    <row r="126">
      <c r="A126" t="inlineStr">
        <is>
          <t>Тендерна документація</t>
        </is>
      </c>
      <c r="B126" s="5" t="n">
        <v>3</v>
      </c>
    </row>
    <row r="127">
      <c r="A127" t="inlineStr">
        <is>
          <t>Досвід / аналогічні договори</t>
        </is>
      </c>
      <c r="B127" s="5" t="n">
        <v>1</v>
      </c>
    </row>
    <row r="128">
      <c r="A128" t="inlineStr">
        <is>
          <t>Гарантія та сервіс</t>
        </is>
      </c>
      <c r="B128" s="5" t="n">
        <v>1</v>
      </c>
    </row>
    <row r="129">
      <c r="A129" t="inlineStr">
        <is>
          <t>Лист виробника / авторизація</t>
        </is>
      </c>
      <c r="B129" s="5" t="n">
        <v>1</v>
      </c>
    </row>
    <row r="130">
      <c r="A130" t="inlineStr">
        <is>
          <t>Пропозиція учасника</t>
        </is>
      </c>
      <c r="B130" s="5" t="n">
        <v>1</v>
      </c>
    </row>
    <row r="131">
      <c r="A131" t="inlineStr">
        <is>
          <t>Технічна специфікація</t>
        </is>
      </c>
      <c r="B131" s="5" t="n">
        <v>1</v>
      </c>
    </row>
    <row r="133">
      <c r="A133" s="2" t="inlineStr">
        <is>
          <t>Угоди</t>
        </is>
      </c>
    </row>
    <row r="134">
      <c r="A134" s="11" t="inlineStr">
        <is>
          <t>Закупівля</t>
        </is>
      </c>
      <c r="B134" s="11" t="inlineStr">
        <is>
          <t>Дата</t>
        </is>
      </c>
      <c r="C134" s="11" t="inlineStr">
        <is>
          <t>Замовник</t>
        </is>
      </c>
      <c r="D134" s="11" t="inlineStr">
        <is>
          <t>Регіон</t>
        </is>
      </c>
      <c r="E134" s="11" t="inlineStr">
        <is>
          <t>Сума, грн</t>
        </is>
      </c>
      <c r="F134" s="11" t="inlineStr">
        <is>
          <t>Очікувана, грн</t>
        </is>
      </c>
      <c r="G134" s="11" t="inlineStr">
        <is>
          <t>Процедура</t>
        </is>
      </c>
      <c r="H134" s="11" t="inlineStr">
        <is>
          <t>Галузь</t>
        </is>
      </c>
      <c r="I134" s="11" t="inlineStr">
        <is>
          <t>Джерело</t>
        </is>
      </c>
    </row>
    <row r="135">
      <c r="A135" s="4" t="inlineStr">
        <is>
          <t>UA-2026-08-13-003838-a</t>
        </is>
      </c>
      <c r="B135" t="inlineStr">
        <is>
          <t>2026-08-28</t>
        </is>
      </c>
      <c r="C135" t="inlineStr">
        <is>
          <t>Головне управління Національної поліції у Волинській області</t>
        </is>
      </c>
      <c r="D135" t="inlineStr">
        <is>
          <t>Волинська область</t>
        </is>
      </c>
      <c r="E135" s="5" t="n">
        <v>343485</v>
      </c>
      <c r="F135" s="13" t="n">
        <v>486666.7</v>
      </c>
      <c r="G135" t="inlineStr">
        <is>
          <t>Відкриті торги (нові)</t>
        </is>
      </c>
      <c r="H135" t="inlineStr">
        <is>
          <t>Машини для обробки даних (апаратна частина)</t>
        </is>
      </c>
      <c r="I135" t="inlineStr">
        <is>
          <t>рішення про переможця</t>
        </is>
      </c>
    </row>
    <row r="136">
      <c r="A136" s="4" t="inlineStr">
        <is>
          <t>UA-2026-07-08-003947-a</t>
        </is>
      </c>
      <c r="B136" t="inlineStr">
        <is>
          <t>2026-07-23</t>
        </is>
      </c>
      <c r="C136" t="inlineStr">
        <is>
          <t>Військова частина 9971</t>
        </is>
      </c>
      <c r="D136" t="inlineStr">
        <is>
          <t>Волинська область</t>
        </is>
      </c>
      <c r="E136" s="5" t="n">
        <v>178350</v>
      </c>
      <c r="F136" s="13" t="n">
        <v>175000</v>
      </c>
      <c r="G136" t="inlineStr">
        <is>
          <t>Відкриті торги (нові)</t>
        </is>
      </c>
      <c r="H136" t="inlineStr">
        <is>
          <t>Машини для обробки даних (апаратна частина)</t>
        </is>
      </c>
      <c r="I136" t="inlineStr">
        <is>
          <t>договір</t>
        </is>
      </c>
    </row>
    <row r="137">
      <c r="A137" s="4" t="inlineStr">
        <is>
          <t>UA-2026-04-17-005811-a</t>
        </is>
      </c>
      <c r="B137" t="inlineStr">
        <is>
          <t>2026-05-01</t>
        </is>
      </c>
      <c r="C137" t="inlineStr">
        <is>
          <t>Любомльська міська рада</t>
        </is>
      </c>
      <c r="D137" t="inlineStr">
        <is>
          <t>Волинська область</t>
        </is>
      </c>
      <c r="E137" s="5" t="n">
        <v>129120</v>
      </c>
      <c r="F137" s="13" t="n">
        <v>140000</v>
      </c>
      <c r="G137" t="inlineStr">
        <is>
          <t>Запит пропозицій</t>
        </is>
      </c>
      <c r="H137" t="inlineStr">
        <is>
          <t>Машини для обробки даних (апаратна частина)</t>
        </is>
      </c>
      <c r="I137" t="inlineStr">
        <is>
          <t>договір</t>
        </is>
      </c>
    </row>
    <row r="138">
      <c r="A138" s="4" t="inlineStr">
        <is>
          <t>UA-2026-08-19-010837-a</t>
        </is>
      </c>
      <c r="B138" t="inlineStr">
        <is>
          <t>2026-08-28</t>
        </is>
      </c>
      <c r="C138" t="inlineStr">
        <is>
          <t>Любомльська міська рада</t>
        </is>
      </c>
      <c r="D138" t="inlineStr">
        <is>
          <t>Волинська область</t>
        </is>
      </c>
      <c r="E138" s="5" t="n">
        <v>101790</v>
      </c>
      <c r="F138" s="13" t="n">
        <v>85000</v>
      </c>
      <c r="G138" t="inlineStr">
        <is>
          <t>Запит пропозицій</t>
        </is>
      </c>
      <c r="H138" t="inlineStr">
        <is>
          <t>Машини для обробки даних (апаратна частина)</t>
        </is>
      </c>
      <c r="I138" t="inlineStr">
        <is>
          <t>договір</t>
        </is>
      </c>
    </row>
    <row r="139">
      <c r="A139" s="4" t="inlineStr">
        <is>
          <t>UA-2026-05-18-012093-a</t>
        </is>
      </c>
      <c r="B139" t="inlineStr">
        <is>
          <t>2026-05-29</t>
        </is>
      </c>
      <c r="C139" t="inlineStr">
        <is>
          <t>ВИРОБНИЧЕ УПРАВЛІННЯ КОМУНАЛЬНОГО ГОСПОДАРСТВА НОВОВОЛИНСКОЇ МІСЬКОЇ РАДИ</t>
        </is>
      </c>
      <c r="D139" t="inlineStr">
        <is>
          <t>Волинська область</t>
        </is>
      </c>
      <c r="E139" s="5" t="n">
        <v>69198</v>
      </c>
      <c r="F139" s="13" t="n">
        <v>70000</v>
      </c>
      <c r="G139" t="inlineStr">
        <is>
          <t>Запит пропозицій</t>
        </is>
      </c>
      <c r="H139" t="inlineStr">
        <is>
          <t>Машини для обробки даних (апаратна частина)</t>
        </is>
      </c>
      <c r="I139" t="inlineStr">
        <is>
          <t>договір</t>
        </is>
      </c>
    </row>
    <row r="140">
      <c r="A140" s="4" t="inlineStr">
        <is>
          <t>UA-2026-06-09-010646-a</t>
        </is>
      </c>
      <c r="B140" t="inlineStr">
        <is>
          <t>2026-06-19</t>
        </is>
      </c>
      <c r="C140" t="inlineStr">
        <is>
          <t>Любомльська міська рада</t>
        </is>
      </c>
      <c r="D140" t="inlineStr">
        <is>
          <t>Волинська область</t>
        </is>
      </c>
      <c r="E140" s="5" t="n">
        <v>33630</v>
      </c>
      <c r="F140" s="13" t="n">
        <v>35000</v>
      </c>
      <c r="G140" t="inlineStr">
        <is>
          <t>Запит пропозицій</t>
        </is>
      </c>
      <c r="H140" t="inlineStr">
        <is>
          <t>Машини для обробки даних (апаратна частина)</t>
        </is>
      </c>
      <c r="I140" t="inlineStr">
        <is>
          <t>договір</t>
        </is>
      </c>
    </row>
    <row r="142">
      <c r="A142" s="2" t="inlineStr">
        <is>
          <t>Наші зустрічі</t>
        </is>
      </c>
    </row>
    <row r="143">
      <c r="A143" s="11" t="inlineStr">
        <is>
          <t>Закупівля</t>
        </is>
      </c>
      <c r="B143" s="11" t="inlineStr">
        <is>
          <t>Дата</t>
        </is>
      </c>
      <c r="C143" s="11" t="inlineStr">
        <is>
          <t>Замовник</t>
        </is>
      </c>
      <c r="D143" s="11" t="inlineStr">
        <is>
          <t>Предмет</t>
        </is>
      </c>
      <c r="E143" s="11" t="inlineStr">
        <is>
          <t>Сума переможця, грн</t>
        </is>
      </c>
      <c r="F143" s="11" t="inlineStr">
        <is>
          <t>Наша пропозиція, грн</t>
        </is>
      </c>
      <c r="G143" s="11" t="inlineStr">
        <is>
          <t>Розрив</t>
        </is>
      </c>
      <c r="H143" s="11" t="inlineStr">
        <is>
          <t>Що сталося</t>
        </is>
      </c>
    </row>
    <row r="144">
      <c r="A144" s="4" t="inlineStr">
        <is>
          <t>UA-2026-08-13-003838-a</t>
        </is>
      </c>
      <c r="B144" t="inlineStr">
        <is>
          <t>2026-08-13</t>
        </is>
      </c>
      <c r="C144" t="inlineStr">
        <is>
          <t>Головне управління Національної поліції у Волинській області</t>
        </is>
      </c>
      <c r="D144" t="inlineStr">
        <is>
          <t>Робочі станції за кодом ДК 021:2015 – 30210000-4 Машини для обробки даних (апара</t>
        </is>
      </c>
      <c r="E144" s="5" t="n">
        <v>343485</v>
      </c>
      <c r="F144" s="13" t="n">
        <v>366600</v>
      </c>
      <c r="G144" s="12" t="n">
        <v>0.0673</v>
      </c>
      <c r="H144" t="inlineStr">
        <is>
          <t>програли за ціною</t>
        </is>
      </c>
    </row>
    <row r="145">
      <c r="A145" s="4" t="inlineStr">
        <is>
          <t>UA-2026-07-08-003947-a</t>
        </is>
      </c>
      <c r="B145" t="inlineStr">
        <is>
          <t>2026-07-08</t>
        </is>
      </c>
      <c r="C145" t="inlineStr">
        <is>
          <t>Військова частина 9971</t>
        </is>
      </c>
      <c r="D145" t="inlineStr">
        <is>
          <t>Моноблок</t>
        </is>
      </c>
      <c r="E145" s="5" t="n">
        <v>148625</v>
      </c>
      <c r="F145" s="13" t="n">
        <v>173437.5</v>
      </c>
      <c r="G145" s="12" t="n">
        <v>0.1669</v>
      </c>
      <c r="H145" t="inlineStr">
        <is>
          <t>програли за ціною</t>
        </is>
      </c>
    </row>
    <row r="146">
      <c r="A146" s="4" t="inlineStr">
        <is>
          <t>UA-2026-04-17-005811-a</t>
        </is>
      </c>
      <c r="B146" t="inlineStr">
        <is>
          <t>2026-04-17</t>
        </is>
      </c>
      <c r="C146" t="inlineStr">
        <is>
          <t>Любомльська міська рада</t>
        </is>
      </c>
      <c r="D146" t="inlineStr">
        <is>
          <t xml:space="preserve">Системний блок (Intel Core i5, 12-13 покоління, DDR4 16GB, SSD 1 Tb, Windows 11 </t>
        </is>
      </c>
      <c r="E146" s="5" t="n">
        <v>129120</v>
      </c>
      <c r="F146" s="13" t="n"/>
      <c r="G146" s="12" t="n"/>
      <c r="H146" t="inlineStr">
        <is>
          <t>ми не подавалися</t>
        </is>
      </c>
    </row>
    <row r="147">
      <c r="A147" s="4" t="inlineStr">
        <is>
          <t>UA-2026-08-19-010837-a</t>
        </is>
      </c>
      <c r="B147" t="inlineStr">
        <is>
          <t>2026-08-19</t>
        </is>
      </c>
      <c r="C147" t="inlineStr">
        <is>
          <t>Любомльська міська рада</t>
        </is>
      </c>
      <c r="D147" t="inlineStr">
        <is>
          <t xml:space="preserve">Системний блок Impression P+ (Intel Core i5-12400 / Intel H610 / DDR4 16Gb 3200 </t>
        </is>
      </c>
      <c r="E147" s="5" t="n">
        <v>84825</v>
      </c>
      <c r="F147" s="13" t="n"/>
      <c r="G147" s="12" t="n"/>
      <c r="H147" t="inlineStr">
        <is>
          <t>ми не подавалися</t>
        </is>
      </c>
    </row>
    <row r="148">
      <c r="A148" s="4" t="inlineStr">
        <is>
          <t>UA-2026-05-18-012093-a</t>
        </is>
      </c>
      <c r="B148" t="inlineStr">
        <is>
          <t>2026-05-18</t>
        </is>
      </c>
      <c r="C148" t="inlineStr">
        <is>
          <t>ВИРОБНИЧЕ УПРАВЛІННЯ КОМУНАЛЬНОГО ГОСПОДАРСТВА НОВОВОЛИНСКОЇ МІСЬКОЇ РАДИ</t>
        </is>
      </c>
      <c r="D148" t="inlineStr">
        <is>
          <t>Комп'ютери настільні (системний блок). Код ДК 021:2015:30210000-4 - Машини для о</t>
        </is>
      </c>
      <c r="E148" s="5" t="n">
        <v>69198</v>
      </c>
      <c r="F148" s="13" t="n"/>
      <c r="G148" s="12" t="n"/>
      <c r="H148" t="inlineStr">
        <is>
          <t>ми не подавалися</t>
        </is>
      </c>
    </row>
    <row r="149">
      <c r="A149" s="4" t="inlineStr">
        <is>
          <t>UA-2026-06-09-010646-a</t>
        </is>
      </c>
      <c r="B149" t="inlineStr">
        <is>
          <t>2026-06-09</t>
        </is>
      </c>
      <c r="C149" t="inlineStr">
        <is>
          <t>Любомльська міська рада</t>
        </is>
      </c>
      <c r="D149" t="inlineStr">
        <is>
          <t xml:space="preserve">Системний блок Impression P+ (Intel Core i5-12400 / Intel H610 / DDR4 16Gb 3200 </t>
        </is>
      </c>
      <c r="E149" s="5" t="n">
        <v>33630</v>
      </c>
      <c r="F149" s="13" t="n"/>
      <c r="G149" s="12" t="n"/>
      <c r="H149" t="inlineStr">
        <is>
          <t>ми не подавалися</t>
        </is>
      </c>
    </row>
    <row r="151">
      <c r="A151" s="8" t="inlineStr">
        <is>
          <t>Сильні сторони</t>
        </is>
      </c>
    </row>
    <row r="152">
      <c r="A152" t="inlineStr">
        <is>
          <t>+  наявність сертифікатів (7 файлів)</t>
        </is>
      </c>
    </row>
    <row r="153">
      <c r="A153" t="inlineStr">
        <is>
          <t>+  авторизація виробника (1 листів)</t>
        </is>
      </c>
    </row>
    <row r="154">
      <c r="A154" t="inlineStr">
        <is>
          <t>+  висока результативність на торгах (100,0%)</t>
        </is>
      </c>
    </row>
    <row r="155">
      <c r="A155" t="inlineStr">
        <is>
          <t>+  зростання (169% у другій половині періоду)</t>
        </is>
      </c>
    </row>
    <row r="156">
      <c r="A156" t="inlineStr">
        <is>
          <t>+  уміє вигравати у відкритих торгах</t>
        </is>
      </c>
    </row>
    <row r="157">
      <c r="A157" t="inlineStr">
        <is>
          <t>+  працює з великими контрактами</t>
        </is>
      </c>
    </row>
    <row r="159">
      <c r="A159" s="8" t="inlineStr">
        <is>
          <t>Слабкі сторони</t>
        </is>
      </c>
    </row>
    <row r="160">
      <c r="A160" t="inlineStr">
        <is>
          <t>−  слабка цінова позиція: дисконт 3,9% проти 8,3% по ринку</t>
        </is>
      </c>
    </row>
  </sheetData>
  <hyperlinks>
    <hyperlink xmlns:r="http://schemas.openxmlformats.org/officeDocument/2006/relationships" ref="A135" r:id="rId1"/>
    <hyperlink xmlns:r="http://schemas.openxmlformats.org/officeDocument/2006/relationships" ref="A136" r:id="rId2"/>
    <hyperlink xmlns:r="http://schemas.openxmlformats.org/officeDocument/2006/relationships" ref="A137" r:id="rId3"/>
    <hyperlink xmlns:r="http://schemas.openxmlformats.org/officeDocument/2006/relationships" ref="A138" r:id="rId4"/>
    <hyperlink xmlns:r="http://schemas.openxmlformats.org/officeDocument/2006/relationships" ref="A139" r:id="rId5"/>
    <hyperlink xmlns:r="http://schemas.openxmlformats.org/officeDocument/2006/relationships" ref="A140" r:id="rId6"/>
    <hyperlink xmlns:r="http://schemas.openxmlformats.org/officeDocument/2006/relationships" ref="A144" r:id="rId7"/>
    <hyperlink xmlns:r="http://schemas.openxmlformats.org/officeDocument/2006/relationships" ref="A145" r:id="rId8"/>
    <hyperlink xmlns:r="http://schemas.openxmlformats.org/officeDocument/2006/relationships" ref="A146" r:id="rId9"/>
    <hyperlink xmlns:r="http://schemas.openxmlformats.org/officeDocument/2006/relationships" ref="A147" r:id="rId10"/>
    <hyperlink xmlns:r="http://schemas.openxmlformats.org/officeDocument/2006/relationships" ref="A148" r:id="rId11"/>
    <hyperlink xmlns:r="http://schemas.openxmlformats.org/officeDocument/2006/relationships" ref="A149" r:id="rId12"/>
  </hyperlinks>
  <pageMargins left="0.75" right="0.75" top="1" bottom="1" header="0.5" footer="0.5"/>
  <drawing xmlns:r="http://schemas.openxmlformats.org/officeDocument/2006/relationships" r:id="rId13"/>
  <tableParts count="4">
    <tablePart xmlns:r="http://schemas.openxmlformats.org/officeDocument/2006/relationships" r:id="rId14"/>
    <tablePart xmlns:r="http://schemas.openxmlformats.org/officeDocument/2006/relationships" r:id="rId15"/>
    <tablePart xmlns:r="http://schemas.openxmlformats.org/officeDocument/2006/relationships" r:id="rId16"/>
    <tablePart xmlns:r="http://schemas.openxmlformats.org/officeDocument/2006/relationships" r:id="rId17"/>
  </tableParts>
</worksheet>
</file>

<file path=xl/worksheets/sheet36.xml><?xml version="1.0" encoding="utf-8"?>
<worksheet xmlns="http://schemas.openxmlformats.org/spreadsheetml/2006/main">
  <sheetPr>
    <outlinePr summaryBelow="1" summaryRight="1"/>
    <pageSetUpPr/>
  </sheetPr>
  <dimension ref="A1:I144"/>
  <sheetViews>
    <sheetView showGridLines="0" workbookViewId="0">
      <selection activeCell="A1" sqref="A1"/>
    </sheetView>
  </sheetViews>
  <sheetFormatPr baseColWidth="8" defaultRowHeight="15"/>
  <cols>
    <col width="42" customWidth="1" min="1" max="1"/>
    <col width="37" customWidth="1" min="2" max="2"/>
    <col width="56" customWidth="1" min="3" max="3"/>
    <col width="60" customWidth="1" min="4" max="4"/>
    <col width="21" customWidth="1" min="5" max="5"/>
    <col width="22" customWidth="1" min="6" max="6"/>
    <col width="18" customWidth="1" min="7" max="7"/>
    <col width="36" customWidth="1" min="8" max="8"/>
    <col width="10" customWidth="1" min="9" max="9"/>
  </cols>
  <sheetData>
    <row r="1">
      <c r="A1" s="1" t="inlineStr">
        <is>
          <t>ТОВ "КОМЕЛ"</t>
        </is>
      </c>
    </row>
    <row r="2">
      <c r="A2" s="6" t="inlineStr">
        <is>
          <t>ЄДРПОУ 24083083  ·  конкурент  ·  місце №169</t>
        </is>
      </c>
    </row>
    <row r="4">
      <c r="A4" s="7" t="inlineStr">
        <is>
          <t>ТОВ "КОМЕЛ" (24083083)</t>
        </is>
      </c>
    </row>
    <row r="6">
      <c r="A6" s="8" t="inlineStr">
        <is>
          <t>Показники</t>
        </is>
      </c>
    </row>
    <row r="7">
      <c r="A7" s="9" t="inlineStr">
        <is>
          <t>Місце на ринку</t>
        </is>
      </c>
      <c r="B7" s="10" t="inlineStr">
        <is>
          <t>№169</t>
        </is>
      </c>
    </row>
    <row r="8">
      <c r="A8" s="9" t="inlineStr">
        <is>
          <t>Сума угод</t>
        </is>
      </c>
      <c r="B8" s="10" t="inlineStr">
        <is>
          <t>115,1 тис. грн</t>
        </is>
      </c>
    </row>
    <row r="9">
      <c r="A9" s="9" t="inlineStr">
        <is>
          <t>Частка ринку</t>
        </is>
      </c>
      <c r="B9" s="10" t="inlineStr">
        <is>
          <t>0,1%</t>
        </is>
      </c>
    </row>
    <row r="10">
      <c r="A10" s="9" t="inlineStr">
        <is>
          <t>Угод</t>
        </is>
      </c>
      <c r="B10" s="10" t="inlineStr">
        <is>
          <t>3</t>
        </is>
      </c>
    </row>
    <row r="11">
      <c r="A11" s="9" t="inlineStr">
        <is>
          <t>Закупівель виграно</t>
        </is>
      </c>
      <c r="B11" s="10" t="inlineStr">
        <is>
          <t>3</t>
        </is>
      </c>
    </row>
    <row r="12">
      <c r="A12" s="9" t="inlineStr">
        <is>
          <t>Подань (де видно)</t>
        </is>
      </c>
      <c r="B12" s="10" t="inlineStr">
        <is>
          <t>2</t>
        </is>
      </c>
    </row>
    <row r="13">
      <c r="A13" s="9" t="inlineStr">
        <is>
          <t>Виграно з поданих</t>
        </is>
      </c>
      <c r="B13" s="10" t="inlineStr">
        <is>
          <t>0 з 2</t>
        </is>
      </c>
    </row>
    <row r="14">
      <c r="A14" s="9" t="inlineStr">
        <is>
          <t>Результативність</t>
        </is>
      </c>
      <c r="B14" s="10" t="inlineStr">
        <is>
          <t>0,0%</t>
        </is>
      </c>
    </row>
    <row r="15">
      <c r="A15" s="9" t="inlineStr">
        <is>
          <t>Середня угода</t>
        </is>
      </c>
      <c r="B15" s="10" t="inlineStr">
        <is>
          <t>38,4 тис. грн</t>
        </is>
      </c>
    </row>
    <row r="16">
      <c r="A16" s="9" t="inlineStr">
        <is>
          <t>Медіанна угода</t>
        </is>
      </c>
      <c r="B16" s="10" t="inlineStr">
        <is>
          <t>14,4 тис. грн</t>
        </is>
      </c>
    </row>
    <row r="17">
      <c r="A17" s="9" t="inlineStr">
        <is>
          <t>Замовників</t>
        </is>
      </c>
      <c r="B17" s="10" t="inlineStr">
        <is>
          <t>3</t>
        </is>
      </c>
    </row>
    <row r="18">
      <c r="A18" s="9" t="inlineStr">
        <is>
          <t>Областей</t>
        </is>
      </c>
      <c r="B18" s="10" t="inlineStr">
        <is>
          <t>1</t>
        </is>
      </c>
    </row>
    <row r="19">
      <c r="A19" s="9" t="inlineStr">
        <is>
          <t>Основна ТМ</t>
        </is>
      </c>
      <c r="B19" s="10" t="inlineStr">
        <is>
          <t>Canon</t>
        </is>
      </c>
    </row>
    <row r="20">
      <c r="A20" s="9" t="inlineStr">
        <is>
          <t>Основний товар</t>
        </is>
      </c>
      <c r="B20" s="10" t="inlineStr">
        <is>
          <t>Багатофункціональний пристрій (БФП)</t>
        </is>
      </c>
    </row>
    <row r="21">
      <c r="A21" s="9" t="inlineStr">
        <is>
          <t>Дисконт (медіана)</t>
        </is>
      </c>
      <c r="B21" s="10" t="inlineStr">
        <is>
          <t>0,0%</t>
        </is>
      </c>
    </row>
    <row r="22">
      <c r="A22" s="9" t="inlineStr">
        <is>
          <t>Повторні замовники</t>
        </is>
      </c>
      <c r="B22" s="10" t="inlineStr">
        <is>
          <t>0,0%</t>
        </is>
      </c>
    </row>
    <row r="23">
      <c r="A23" s="9" t="inlineStr">
        <is>
          <t>Активність</t>
        </is>
      </c>
      <c r="B23" s="10" t="inlineStr">
        <is>
          <t>2025-11-27 — 2026-07-31</t>
        </is>
      </c>
    </row>
    <row r="24">
      <c r="A24" s="9" t="inlineStr">
        <is>
          <t>Зірвано перемог</t>
        </is>
      </c>
      <c r="B24" s="10" t="inlineStr">
        <is>
          <t>—</t>
        </is>
      </c>
    </row>
    <row r="25">
      <c r="A25" s="9" t="inlineStr">
        <is>
          <t>Причина зривів</t>
        </is>
      </c>
      <c r="B25" s="10" t="inlineStr">
        <is>
          <t>—</t>
        </is>
      </c>
    </row>
    <row r="27">
      <c r="A27" s="8" t="inlineStr">
        <is>
          <t>Висновки</t>
        </is>
      </c>
    </row>
    <row r="28">
      <c r="A28" t="inlineStr">
        <is>
          <t>•  169-е місце на ринку: 115,1 тис. грн (0,1% обороту)</t>
        </is>
      </c>
    </row>
    <row r="29">
      <c r="A29" t="inlineStr">
        <is>
          <t>•  Основний товар: багатофункціональний пристрій (бфп)</t>
        </is>
      </c>
    </row>
    <row r="30">
      <c r="A30" t="inlineStr">
        <is>
          <t>•  ТМ Canon у 33,3% позицій</t>
        </is>
      </c>
    </row>
    <row r="31">
      <c r="A31" t="inlineStr">
        <is>
          <t>•  Працює переважно поза торгами: 100,0% угод — прямі договори та переговорні процедури</t>
        </is>
      </c>
    </row>
    <row r="32">
      <c r="A32" t="inlineStr">
        <is>
          <t>•  Тримає ціну: дисконт 0,0% проти 8,3% по ринку</t>
        </is>
      </c>
    </row>
    <row r="33">
      <c r="A33" t="inlineStr">
        <is>
          <t>•  Географічно сфокусований: Волинська область (100,0% угод)</t>
        </is>
      </c>
    </row>
    <row r="35">
      <c r="A35" s="8" t="inlineStr">
        <is>
          <t>Графіки</t>
        </is>
      </c>
    </row>
    <row r="37">
      <c r="A37" s="2" t="inlineStr">
        <is>
          <t>Динаміка по місяцях</t>
        </is>
      </c>
    </row>
    <row r="38">
      <c r="A38" s="3" t="inlineStr">
        <is>
          <t>Період</t>
        </is>
      </c>
      <c r="B38" s="3" t="inlineStr">
        <is>
          <t>Сума угод, грн</t>
        </is>
      </c>
    </row>
    <row r="39">
      <c r="A39" t="inlineStr">
        <is>
          <t>2025-11</t>
        </is>
      </c>
      <c r="B39" s="5" t="n">
        <v>14392.14</v>
      </c>
    </row>
    <row r="40">
      <c r="A40" t="inlineStr">
        <is>
          <t>2025-12</t>
        </is>
      </c>
      <c r="B40" s="5" t="n">
        <v>10239</v>
      </c>
    </row>
    <row r="41">
      <c r="A41" t="inlineStr">
        <is>
          <t>2026-07</t>
        </is>
      </c>
      <c r="B41" s="5" t="n">
        <v>90504</v>
      </c>
    </row>
    <row r="57">
      <c r="A57" s="2" t="inlineStr">
        <is>
          <t>Торгові марки у позиціях</t>
        </is>
      </c>
    </row>
    <row r="58">
      <c r="A58" s="3" t="inlineStr">
        <is>
          <t>Категорія</t>
        </is>
      </c>
      <c r="B58" s="3" t="inlineStr">
        <is>
          <t>Позицій, шт</t>
        </is>
      </c>
    </row>
    <row r="59">
      <c r="A59" t="inlineStr">
        <is>
          <t>Canon</t>
        </is>
      </c>
      <c r="B59" s="5" t="n">
        <v>1</v>
      </c>
    </row>
    <row r="60">
      <c r="A60" t="inlineStr">
        <is>
          <t>Vinga</t>
        </is>
      </c>
      <c r="B60" s="5" t="n">
        <v>1</v>
      </c>
    </row>
    <row r="61">
      <c r="A61" t="inlineStr">
        <is>
          <t>Logitech</t>
        </is>
      </c>
      <c r="B61" s="5" t="n">
        <v>1</v>
      </c>
    </row>
    <row r="77">
      <c r="A77" s="2" t="inlineStr">
        <is>
          <t>Що саме продає</t>
        </is>
      </c>
    </row>
    <row r="78">
      <c r="A78" s="3" t="inlineStr">
        <is>
          <t>Категорія</t>
        </is>
      </c>
      <c r="B78" s="3" t="inlineStr">
        <is>
          <t>Позицій, шт</t>
        </is>
      </c>
    </row>
    <row r="79">
      <c r="A79" t="inlineStr">
        <is>
          <t>Багатофункціональний пристрій (БФП)</t>
        </is>
      </c>
      <c r="B79" s="5" t="n">
        <v>2</v>
      </c>
    </row>
    <row r="80">
      <c r="A80" t="inlineStr">
        <is>
          <t>Кабель, перехідник</t>
        </is>
      </c>
      <c r="B80" s="5" t="n">
        <v>1</v>
      </c>
    </row>
    <row r="81">
      <c r="A81" t="inlineStr">
        <is>
          <t>Планшет</t>
        </is>
      </c>
      <c r="B81" s="5" t="n">
        <v>1</v>
      </c>
    </row>
    <row r="82">
      <c r="A82" t="inlineStr">
        <is>
          <t>Персональний комп'ютер</t>
        </is>
      </c>
      <c r="B82" s="5" t="n">
        <v>1</v>
      </c>
    </row>
    <row r="83">
      <c r="A83" t="inlineStr">
        <is>
          <t>Оперативна пам'ять</t>
        </is>
      </c>
      <c r="B83" s="5" t="n">
        <v>1</v>
      </c>
    </row>
    <row r="93">
      <c r="A93" s="2" t="inlineStr">
        <is>
          <t>Ключові замовники</t>
        </is>
      </c>
    </row>
    <row r="94">
      <c r="A94" s="3" t="inlineStr">
        <is>
          <t>Категорія</t>
        </is>
      </c>
      <c r="B94" s="3" t="inlineStr">
        <is>
          <t>Сума, грн</t>
        </is>
      </c>
    </row>
    <row r="95">
      <c r="A95" t="inlineStr">
        <is>
          <t>УПРАВЛІННЯ СЛУЖБИ БЕЗПЕКИ УКРАЇНИ У ВОЛИ</t>
        </is>
      </c>
      <c r="B95" s="5" t="n">
        <v>90504</v>
      </c>
    </row>
    <row r="96">
      <c r="A96" t="inlineStr">
        <is>
          <t>ГОРОХІВСЬКА МІСЬКА РАДА</t>
        </is>
      </c>
      <c r="B96" s="5" t="n">
        <v>14392.14</v>
      </c>
    </row>
    <row r="97">
      <c r="A97" t="inlineStr">
        <is>
          <t>УПРАВЛІННЯ З ПИТАНЬ ЦЗ ВОЛИНСЬКОЇ ОДА</t>
        </is>
      </c>
      <c r="B97" s="5" t="n">
        <v>10239</v>
      </c>
    </row>
    <row r="109">
      <c r="A109" s="8" t="inlineStr">
        <is>
          <t>Таблиці</t>
        </is>
      </c>
    </row>
    <row r="111">
      <c r="A111" s="2" t="inlineStr">
        <is>
          <t>ТМ</t>
        </is>
      </c>
    </row>
    <row r="112">
      <c r="A112" s="11" t="inlineStr">
        <is>
          <t>Торгова марка</t>
        </is>
      </c>
      <c r="B112" s="11" t="inlineStr">
        <is>
          <t>Позицій</t>
        </is>
      </c>
      <c r="C112" s="11" t="inlineStr">
        <is>
          <t>Частка</t>
        </is>
      </c>
      <c r="D112" s="11" t="inlineStr">
        <is>
          <t>Власна ТМ за довідником</t>
        </is>
      </c>
    </row>
    <row r="113">
      <c r="A113" t="inlineStr">
        <is>
          <t>Canon</t>
        </is>
      </c>
      <c r="B113" s="5" t="n">
        <v>1</v>
      </c>
      <c r="C113" s="12" t="n">
        <v>0.3333</v>
      </c>
      <c r="D113" t="inlineStr"/>
    </row>
    <row r="114">
      <c r="A114" t="inlineStr">
        <is>
          <t>Vinga</t>
        </is>
      </c>
      <c r="B114" s="5" t="n">
        <v>1</v>
      </c>
      <c r="C114" s="12" t="n">
        <v>0.3333</v>
      </c>
      <c r="D114" t="inlineStr">
        <is>
          <t>КОМЕЛ</t>
        </is>
      </c>
    </row>
    <row r="115">
      <c r="A115" t="inlineStr">
        <is>
          <t>Logitech</t>
        </is>
      </c>
      <c r="B115" s="5" t="n">
        <v>1</v>
      </c>
      <c r="C115" s="12" t="n">
        <v>0.3333</v>
      </c>
      <c r="D115" t="inlineStr"/>
    </row>
    <row r="117">
      <c r="A117" s="2" t="inlineStr">
        <is>
          <t>Товари</t>
        </is>
      </c>
    </row>
    <row r="118">
      <c r="A118" s="11" t="inlineStr">
        <is>
          <t>Товар</t>
        </is>
      </c>
      <c r="B118" s="11" t="inlineStr">
        <is>
          <t>Позицій</t>
        </is>
      </c>
    </row>
    <row r="119">
      <c r="A119" t="inlineStr">
        <is>
          <t>Багатофункціональний пристрій (БФП)</t>
        </is>
      </c>
      <c r="B119" s="5" t="n">
        <v>2</v>
      </c>
    </row>
    <row r="120">
      <c r="A120" t="inlineStr">
        <is>
          <t>Кабель, перехідник</t>
        </is>
      </c>
      <c r="B120" s="5" t="n">
        <v>1</v>
      </c>
    </row>
    <row r="121">
      <c r="A121" t="inlineStr">
        <is>
          <t>Планшет</t>
        </is>
      </c>
      <c r="B121" s="5" t="n">
        <v>1</v>
      </c>
    </row>
    <row r="122">
      <c r="A122" t="inlineStr">
        <is>
          <t>Персональний комп'ютер</t>
        </is>
      </c>
      <c r="B122" s="5" t="n">
        <v>1</v>
      </c>
    </row>
    <row r="123">
      <c r="A123" t="inlineStr">
        <is>
          <t>Оперативна пам'ять</t>
        </is>
      </c>
      <c r="B123" s="5" t="n">
        <v>1</v>
      </c>
    </row>
    <row r="125">
      <c r="A125" s="2" t="inlineStr">
        <is>
          <t>Документи</t>
        </is>
      </c>
    </row>
    <row r="126">
      <c r="A126" s="11" t="inlineStr">
        <is>
          <t>Тип документа</t>
        </is>
      </c>
      <c r="B126" s="11" t="inlineStr">
        <is>
          <t>Файлів</t>
        </is>
      </c>
    </row>
    <row r="127">
      <c r="A127" t="inlineStr">
        <is>
          <t>Підпис КЕП</t>
        </is>
      </c>
      <c r="B127" s="5" t="n">
        <v>3</v>
      </c>
    </row>
    <row r="129">
      <c r="A129" s="2" t="inlineStr">
        <is>
          <t>Угоди</t>
        </is>
      </c>
    </row>
    <row r="130">
      <c r="A130" s="11" t="inlineStr">
        <is>
          <t>Закупівля</t>
        </is>
      </c>
      <c r="B130" s="11" t="inlineStr">
        <is>
          <t>Дата</t>
        </is>
      </c>
      <c r="C130" s="11" t="inlineStr">
        <is>
          <t>Замовник</t>
        </is>
      </c>
      <c r="D130" s="11" t="inlineStr">
        <is>
          <t>Регіон</t>
        </is>
      </c>
      <c r="E130" s="11" t="inlineStr">
        <is>
          <t>Сума, грн</t>
        </is>
      </c>
      <c r="F130" s="11" t="inlineStr">
        <is>
          <t>Очікувана, грн</t>
        </is>
      </c>
      <c r="G130" s="11" t="inlineStr">
        <is>
          <t>Процедура</t>
        </is>
      </c>
      <c r="H130" s="11" t="inlineStr">
        <is>
          <t>Галузь</t>
        </is>
      </c>
      <c r="I130" s="11" t="inlineStr">
        <is>
          <t>Джерело</t>
        </is>
      </c>
    </row>
    <row r="131">
      <c r="A131" s="4" t="inlineStr">
        <is>
          <t>UA-2026-07-31-005748-a</t>
        </is>
      </c>
      <c r="B131" t="inlineStr">
        <is>
          <t>2026-07-31</t>
        </is>
      </c>
      <c r="C131" t="inlineStr">
        <is>
          <t>УПРАВЛІННЯ СЛУЖБИ БЕЗПЕКИ УКРАЇНИ У ВОЛИНСЬКІЙ ОБЛАСТІ</t>
        </is>
      </c>
      <c r="D131" t="inlineStr">
        <is>
          <t>Волинська область</t>
        </is>
      </c>
      <c r="E131" s="13" t="n">
        <v>90504</v>
      </c>
      <c r="F131" s="13" t="n">
        <v>90504</v>
      </c>
      <c r="G131" t="inlineStr">
        <is>
          <t>Звіт про договір</t>
        </is>
      </c>
      <c r="H131" t="inlineStr">
        <is>
          <t>Комп’ютерне обладнання</t>
        </is>
      </c>
      <c r="I131" t="inlineStr">
        <is>
          <t>договір</t>
        </is>
      </c>
    </row>
    <row r="132">
      <c r="A132" s="4" t="inlineStr">
        <is>
          <t>UA-2025-11-27-008022-a</t>
        </is>
      </c>
      <c r="B132" t="inlineStr">
        <is>
          <t>2025-11-27</t>
        </is>
      </c>
      <c r="C132" t="inlineStr">
        <is>
          <t>ГОРОХІВСЬКА МІСЬКА РАДА</t>
        </is>
      </c>
      <c r="D132" t="inlineStr">
        <is>
          <t>Волинська область</t>
        </is>
      </c>
      <c r="E132" s="13" t="n">
        <v>14392.14</v>
      </c>
      <c r="F132" s="13" t="n">
        <v>14392.14</v>
      </c>
      <c r="G132" t="inlineStr">
        <is>
          <t>Звіт про договір</t>
        </is>
      </c>
      <c r="H132" t="inlineStr">
        <is>
          <t>Комп’ютерне обладнання</t>
        </is>
      </c>
      <c r="I132" t="inlineStr">
        <is>
          <t>договір</t>
        </is>
      </c>
    </row>
    <row r="133">
      <c r="A133" s="4" t="inlineStr">
        <is>
          <t>UA-2025-12-24-007483-a</t>
        </is>
      </c>
      <c r="B133" t="inlineStr">
        <is>
          <t>2025-12-24</t>
        </is>
      </c>
      <c r="C133" t="inlineStr">
        <is>
          <t>УПРАВЛІННЯ З ПИТАНЬ ЦЗ ВОЛИНСЬКОЇ ОДА</t>
        </is>
      </c>
      <c r="D133" t="inlineStr">
        <is>
          <t>Волинська область</t>
        </is>
      </c>
      <c r="E133" s="13" t="n">
        <v>10239</v>
      </c>
      <c r="F133" s="13" t="n">
        <v>10239</v>
      </c>
      <c r="G133" t="inlineStr">
        <is>
          <t>Звіт про договір</t>
        </is>
      </c>
      <c r="H133" t="inlineStr">
        <is>
          <t>Комп’ютерне обладнання та приладдя</t>
        </is>
      </c>
      <c r="I133" t="inlineStr">
        <is>
          <t>договір</t>
        </is>
      </c>
    </row>
    <row r="135">
      <c r="A135" s="2" t="inlineStr">
        <is>
          <t>Наші зустрічі</t>
        </is>
      </c>
    </row>
    <row r="136">
      <c r="A136" s="11" t="inlineStr">
        <is>
          <t>Закупівля</t>
        </is>
      </c>
      <c r="B136" s="11" t="inlineStr">
        <is>
          <t>Дата</t>
        </is>
      </c>
      <c r="C136" s="11" t="inlineStr">
        <is>
          <t>Замовник</t>
        </is>
      </c>
      <c r="D136" s="11" t="inlineStr">
        <is>
          <t>Предмет</t>
        </is>
      </c>
      <c r="E136" s="11" t="inlineStr">
        <is>
          <t>Сума переможця, грн</t>
        </is>
      </c>
      <c r="F136" s="11" t="inlineStr">
        <is>
          <t>Наша пропозиція, грн</t>
        </is>
      </c>
      <c r="G136" s="11" t="inlineStr">
        <is>
          <t>Розрив</t>
        </is>
      </c>
      <c r="H136" s="11" t="inlineStr">
        <is>
          <t>Що сталося</t>
        </is>
      </c>
    </row>
    <row r="137">
      <c r="A137" s="4" t="inlineStr">
        <is>
          <t>UA-2026-07-31-005748-a</t>
        </is>
      </c>
      <c r="B137" t="inlineStr">
        <is>
          <t>2026-07-31</t>
        </is>
      </c>
      <c r="C137" t="inlineStr">
        <is>
          <t>УПРАВЛІННЯ СЛУЖБИ БЕЗПЕКИ УКРАЇНИ У ВОЛИНСЬКІЙ ОБЛАСТІ</t>
        </is>
      </c>
      <c r="D137" t="inlineStr">
        <is>
          <t>30230000-0 Комп’ютерне обладнання ( Комп'ютер Vinga AIO Advanced C0250, комплект</t>
        </is>
      </c>
      <c r="E137" s="13" t="n">
        <v>90504</v>
      </c>
      <c r="H137" t="inlineStr">
        <is>
          <t>ми не подавалися</t>
        </is>
      </c>
    </row>
    <row r="138">
      <c r="A138" s="4" t="inlineStr">
        <is>
          <t>UA-2025-11-27-008022-a</t>
        </is>
      </c>
      <c r="B138" t="inlineStr">
        <is>
          <t>2025-11-27</t>
        </is>
      </c>
      <c r="C138" t="inlineStr">
        <is>
          <t>ГОРОХІВСЬКА МІСЬКА РАДА</t>
        </is>
      </c>
      <c r="D138" t="inlineStr">
        <is>
          <t>Модулі пам'яті для ноутбуків SoDIMM DDR4 16GB 2666 MHz INTELIGENTES (IS4CHD1/16)</t>
        </is>
      </c>
      <c r="E138" s="13" t="n">
        <v>14392.14</v>
      </c>
      <c r="H138" t="inlineStr">
        <is>
          <t>ми не подавалися</t>
        </is>
      </c>
    </row>
    <row r="139">
      <c r="A139" s="4" t="inlineStr">
        <is>
          <t>UA-2025-12-24-007483-a</t>
        </is>
      </c>
      <c r="B139" t="inlineStr">
        <is>
          <t>2025-12-24</t>
        </is>
      </c>
      <c r="C139" t="inlineStr">
        <is>
          <t>УПРАВЛІННЯ З ПИТАНЬ ЦЗ ВОЛИНСЬКОЇ ОДА</t>
        </is>
      </c>
      <c r="D139" t="inlineStr">
        <is>
          <t>Багатофункціональний пристрій, оптичний патчкорд</t>
        </is>
      </c>
      <c r="E139" s="13" t="n">
        <v>10239</v>
      </c>
      <c r="H139" t="inlineStr">
        <is>
          <t>ми не подавалися</t>
        </is>
      </c>
    </row>
    <row r="141">
      <c r="A141" s="8" t="inlineStr">
        <is>
          <t>Слабкі сторони</t>
        </is>
      </c>
    </row>
    <row r="142">
      <c r="A142" t="inlineStr">
        <is>
          <t>−  сертифікатів у поданих файлах не знайдено</t>
        </is>
      </c>
    </row>
    <row r="143">
      <c r="A143" t="inlineStr">
        <is>
          <t>−  слабка цінова позиція: дисконт 0,0% проти 8,3% по ринку</t>
        </is>
      </c>
    </row>
    <row r="144">
      <c r="A144" t="inlineStr">
        <is>
          <t>−  майже не бере участі в конкурентних процедурах</t>
        </is>
      </c>
    </row>
  </sheetData>
  <hyperlinks>
    <hyperlink xmlns:r="http://schemas.openxmlformats.org/officeDocument/2006/relationships" ref="A131" r:id="rId1"/>
    <hyperlink xmlns:r="http://schemas.openxmlformats.org/officeDocument/2006/relationships" ref="A132" r:id="rId2"/>
    <hyperlink xmlns:r="http://schemas.openxmlformats.org/officeDocument/2006/relationships" ref="A133" r:id="rId3"/>
    <hyperlink xmlns:r="http://schemas.openxmlformats.org/officeDocument/2006/relationships" ref="A137" r:id="rId4"/>
    <hyperlink xmlns:r="http://schemas.openxmlformats.org/officeDocument/2006/relationships" ref="A138" r:id="rId5"/>
    <hyperlink xmlns:r="http://schemas.openxmlformats.org/officeDocument/2006/relationships" ref="A139" r:id="rId6"/>
  </hyperlinks>
  <pageMargins left="0.75" right="0.75" top="1" bottom="1" header="0.5" footer="0.5"/>
  <drawing xmlns:r="http://schemas.openxmlformats.org/officeDocument/2006/relationships" r:id="rId7"/>
  <tableParts count="5">
    <tablePart xmlns:r="http://schemas.openxmlformats.org/officeDocument/2006/relationships" r:id="rId8"/>
    <tablePart xmlns:r="http://schemas.openxmlformats.org/officeDocument/2006/relationships" r:id="rId9"/>
    <tablePart xmlns:r="http://schemas.openxmlformats.org/officeDocument/2006/relationships" r:id="rId10"/>
    <tablePart xmlns:r="http://schemas.openxmlformats.org/officeDocument/2006/relationships" r:id="rId11"/>
    <tablePart xmlns:r="http://schemas.openxmlformats.org/officeDocument/2006/relationships" r:id="rId12"/>
  </tableParts>
</worksheet>
</file>

<file path=xl/worksheets/sheet37.xml><?xml version="1.0" encoding="utf-8"?>
<worksheet xmlns="http://schemas.openxmlformats.org/spreadsheetml/2006/main">
  <sheetPr>
    <outlinePr summaryBelow="1" summaryRight="1"/>
    <pageSetUpPr/>
  </sheetPr>
  <dimension ref="A1:I224"/>
  <sheetViews>
    <sheetView showGridLines="0" workbookViewId="0">
      <selection activeCell="A1" sqref="A1"/>
    </sheetView>
  </sheetViews>
  <sheetFormatPr baseColWidth="8" defaultRowHeight="15"/>
  <cols>
    <col width="42" customWidth="1" min="1" max="1"/>
    <col width="37" customWidth="1" min="2" max="2"/>
    <col width="60" customWidth="1" min="3" max="3"/>
    <col width="60" customWidth="1" min="4" max="4"/>
    <col width="29" customWidth="1" min="5" max="5"/>
    <col width="60" customWidth="1" min="6" max="6"/>
    <col width="18" customWidth="1" min="7" max="7"/>
    <col width="45" customWidth="1" min="8" max="8"/>
    <col width="10" customWidth="1" min="9" max="9"/>
  </cols>
  <sheetData>
    <row r="1">
      <c r="A1" s="1" t="inlineStr">
        <is>
          <t>ТОВ "ПАВЕРТРЕЙД"</t>
        </is>
      </c>
    </row>
    <row r="2">
      <c r="A2" s="6" t="inlineStr">
        <is>
          <t>ЄДРПОУ 43120417  ·  конкурент  ·  місце №26</t>
        </is>
      </c>
    </row>
    <row r="4">
      <c r="A4" s="7" t="inlineStr">
        <is>
          <t>ТОВ "ПАВЕРТРЕЙД" (43120417)</t>
        </is>
      </c>
    </row>
    <row r="6">
      <c r="A6" s="8" t="inlineStr">
        <is>
          <t>Показники</t>
        </is>
      </c>
    </row>
    <row r="7">
      <c r="A7" s="9" t="inlineStr">
        <is>
          <t>Місце на ринку</t>
        </is>
      </c>
      <c r="B7" s="10" t="inlineStr">
        <is>
          <t>№26</t>
        </is>
      </c>
    </row>
    <row r="8">
      <c r="A8" s="9" t="inlineStr">
        <is>
          <t>Сума угод</t>
        </is>
      </c>
      <c r="B8" s="10" t="inlineStr">
        <is>
          <t>1,1 млн грн</t>
        </is>
      </c>
    </row>
    <row r="9">
      <c r="A9" s="9" t="inlineStr">
        <is>
          <t>Частка ринку</t>
        </is>
      </c>
      <c r="B9" s="10" t="inlineStr">
        <is>
          <t>0,9%</t>
        </is>
      </c>
    </row>
    <row r="10">
      <c r="A10" s="9" t="inlineStr">
        <is>
          <t>Угод</t>
        </is>
      </c>
      <c r="B10" s="10" t="inlineStr">
        <is>
          <t>16</t>
        </is>
      </c>
    </row>
    <row r="11">
      <c r="A11" s="9" t="inlineStr">
        <is>
          <t>Закупівель виграно</t>
        </is>
      </c>
      <c r="B11" s="10" t="inlineStr">
        <is>
          <t>16</t>
        </is>
      </c>
    </row>
    <row r="12">
      <c r="A12" s="9" t="inlineStr">
        <is>
          <t>Подань (де видно)</t>
        </is>
      </c>
      <c r="B12" s="10" t="inlineStr">
        <is>
          <t>130</t>
        </is>
      </c>
    </row>
    <row r="13">
      <c r="A13" s="9" t="inlineStr">
        <is>
          <t>Виграно з поданих</t>
        </is>
      </c>
      <c r="B13" s="10" t="inlineStr">
        <is>
          <t>11 з 130</t>
        </is>
      </c>
    </row>
    <row r="14">
      <c r="A14" s="9" t="inlineStr">
        <is>
          <t>Результативність</t>
        </is>
      </c>
      <c r="B14" s="10" t="inlineStr">
        <is>
          <t>8,5%</t>
        </is>
      </c>
    </row>
    <row r="15">
      <c r="A15" s="9" t="inlineStr">
        <is>
          <t>Середня угода</t>
        </is>
      </c>
      <c r="B15" s="10" t="inlineStr">
        <is>
          <t>68,8 тис. грн</t>
        </is>
      </c>
    </row>
    <row r="16">
      <c r="A16" s="9" t="inlineStr">
        <is>
          <t>Медіанна угода</t>
        </is>
      </c>
      <c r="B16" s="10" t="inlineStr">
        <is>
          <t>30,5 тис. грн</t>
        </is>
      </c>
    </row>
    <row r="17">
      <c r="A17" s="9" t="inlineStr">
        <is>
          <t>Замовників</t>
        </is>
      </c>
      <c r="B17" s="10" t="inlineStr">
        <is>
          <t>11</t>
        </is>
      </c>
    </row>
    <row r="18">
      <c r="A18" s="9" t="inlineStr">
        <is>
          <t>Областей</t>
        </is>
      </c>
      <c r="B18" s="10" t="inlineStr">
        <is>
          <t>1</t>
        </is>
      </c>
    </row>
    <row r="19">
      <c r="A19" s="9" t="inlineStr">
        <is>
          <t>Основна ТМ</t>
        </is>
      </c>
      <c r="B19" s="10" t="inlineStr">
        <is>
          <t>Intel</t>
        </is>
      </c>
    </row>
    <row r="20">
      <c r="A20" s="9" t="inlineStr">
        <is>
          <t>Основний товар</t>
        </is>
      </c>
      <c r="B20" s="10" t="inlineStr">
        <is>
          <t>Багатофункціональний пристрій (БФП)</t>
        </is>
      </c>
    </row>
    <row r="21">
      <c r="A21" s="9" t="inlineStr">
        <is>
          <t>Дисконт (медіана)</t>
        </is>
      </c>
      <c r="B21" s="10" t="inlineStr">
        <is>
          <t>1,9%</t>
        </is>
      </c>
    </row>
    <row r="22">
      <c r="A22" s="9" t="inlineStr">
        <is>
          <t>Повторні замовники</t>
        </is>
      </c>
      <c r="B22" s="10" t="inlineStr">
        <is>
          <t>31,2%</t>
        </is>
      </c>
    </row>
    <row r="23">
      <c r="A23" s="9" t="inlineStr">
        <is>
          <t>Активність</t>
        </is>
      </c>
      <c r="B23" s="10" t="inlineStr">
        <is>
          <t>2025-10-28 — 2026-08-25</t>
        </is>
      </c>
    </row>
    <row r="24">
      <c r="A24" s="9" t="inlineStr">
        <is>
          <t>Зірвано перемог</t>
        </is>
      </c>
      <c r="B24" s="10" t="inlineStr">
        <is>
          <t>5 на 598,1 тис. грн</t>
        </is>
      </c>
    </row>
    <row r="25">
      <c r="A25" s="9" t="inlineStr">
        <is>
          <t>Причина зривів</t>
        </is>
      </c>
      <c r="B25" s="10" t="inlineStr">
        <is>
          <t>Відмова від договору</t>
        </is>
      </c>
    </row>
    <row r="27">
      <c r="A27" s="8" t="inlineStr">
        <is>
          <t>Висновки</t>
        </is>
      </c>
    </row>
    <row r="28">
      <c r="A28" t="inlineStr">
        <is>
          <t>•  26-е місце на ринку: 1,1 млн грн (0,9% обороту)</t>
        </is>
      </c>
    </row>
    <row r="29">
      <c r="A29" t="inlineStr">
        <is>
          <t>•  Основний товар: багатофункціональний пристрій (бфп)</t>
        </is>
      </c>
    </row>
    <row r="30">
      <c r="A30" t="inlineStr">
        <is>
          <t>•  ТМ Intel у 50,0% позицій</t>
        </is>
      </c>
    </row>
    <row r="31">
      <c r="A31" t="inlineStr">
        <is>
          <t>•  Тримає ціну: дисконт 1,9% проти 8,3% по ринку</t>
        </is>
      </c>
    </row>
    <row r="32">
      <c r="A32" t="inlineStr">
        <is>
          <t>•  Географічно сфокусований: Волинська область (100,0% угод)</t>
        </is>
      </c>
    </row>
    <row r="33">
      <c r="A33" t="inlineStr">
        <is>
          <t>•  Результативність на торгах: 8,5% (11 з 130)</t>
        </is>
      </c>
    </row>
    <row r="34">
      <c r="A34" t="inlineStr">
        <is>
          <t>•  Динаміка: тримається рівно (-1% у другій половині періоду)</t>
        </is>
      </c>
    </row>
    <row r="35">
      <c r="A35" t="inlineStr">
        <is>
          <t>•  Зривається 23,8% виграшів: 5 з 21 на 598,1 тис. грн, найчастіше — відмова від договору</t>
        </is>
      </c>
    </row>
    <row r="37">
      <c r="A37" s="8" t="inlineStr">
        <is>
          <t>Графіки</t>
        </is>
      </c>
    </row>
    <row r="39">
      <c r="A39" s="2" t="inlineStr">
        <is>
          <t>Динаміка по місяцях</t>
        </is>
      </c>
    </row>
    <row r="40">
      <c r="A40" s="3" t="inlineStr">
        <is>
          <t>Період</t>
        </is>
      </c>
      <c r="B40" s="3" t="inlineStr">
        <is>
          <t>Сума угод, грн</t>
        </is>
      </c>
    </row>
    <row r="41">
      <c r="A41" t="inlineStr">
        <is>
          <t>2025-10</t>
        </is>
      </c>
      <c r="B41" s="5" t="n">
        <v>12408</v>
      </c>
    </row>
    <row r="42">
      <c r="A42" t="inlineStr">
        <is>
          <t>2025-11</t>
        </is>
      </c>
      <c r="B42" s="5" t="n">
        <v>202800</v>
      </c>
    </row>
    <row r="43">
      <c r="A43" t="inlineStr">
        <is>
          <t>2025-12</t>
        </is>
      </c>
      <c r="B43" s="5" t="n">
        <v>302442</v>
      </c>
    </row>
    <row r="44">
      <c r="A44" t="inlineStr">
        <is>
          <t>2026-03</t>
        </is>
      </c>
      <c r="B44" s="5" t="n">
        <v>36000</v>
      </c>
    </row>
    <row r="45">
      <c r="A45" t="inlineStr">
        <is>
          <t>2026-04</t>
        </is>
      </c>
      <c r="B45" s="5" t="n">
        <v>199675.2</v>
      </c>
    </row>
    <row r="46">
      <c r="A46" t="inlineStr">
        <is>
          <t>2026-06</t>
        </is>
      </c>
      <c r="B46" s="5" t="n">
        <v>153999</v>
      </c>
    </row>
    <row r="47">
      <c r="A47" t="inlineStr">
        <is>
          <t>2026-08</t>
        </is>
      </c>
      <c r="B47" s="5" t="n">
        <v>192864</v>
      </c>
    </row>
    <row r="59">
      <c r="A59" s="2" t="inlineStr">
        <is>
          <t>Торгові марки у позиціях</t>
        </is>
      </c>
    </row>
    <row r="60">
      <c r="A60" s="3" t="inlineStr">
        <is>
          <t>Категорія</t>
        </is>
      </c>
      <c r="B60" s="3" t="inlineStr">
        <is>
          <t>Позицій, шт</t>
        </is>
      </c>
    </row>
    <row r="61">
      <c r="A61" t="inlineStr">
        <is>
          <t>Intel</t>
        </is>
      </c>
      <c r="B61" s="5" t="n">
        <v>2</v>
      </c>
    </row>
    <row r="62">
      <c r="A62" t="inlineStr">
        <is>
          <t>A4Tech</t>
        </is>
      </c>
      <c r="B62" s="5" t="n">
        <v>1</v>
      </c>
    </row>
    <row r="63">
      <c r="A63" t="inlineStr">
        <is>
          <t>Canon</t>
        </is>
      </c>
      <c r="B63" s="5" t="n">
        <v>1</v>
      </c>
    </row>
    <row r="79">
      <c r="A79" s="2" t="inlineStr">
        <is>
          <t>Що саме продає</t>
        </is>
      </c>
    </row>
    <row r="80">
      <c r="A80" s="3" t="inlineStr">
        <is>
          <t>Категорія</t>
        </is>
      </c>
      <c r="B80" s="3" t="inlineStr">
        <is>
          <t>Позицій, шт</t>
        </is>
      </c>
    </row>
    <row r="81">
      <c r="A81" t="inlineStr">
        <is>
          <t>Багатофункціональний пристрій (БФП)</t>
        </is>
      </c>
      <c r="B81" s="5" t="n">
        <v>50</v>
      </c>
    </row>
    <row r="82">
      <c r="A82" t="inlineStr">
        <is>
          <t>Монітор</t>
        </is>
      </c>
      <c r="B82" s="5" t="n">
        <v>22</v>
      </c>
    </row>
    <row r="83">
      <c r="A83" t="inlineStr">
        <is>
          <t>Ноутбук</t>
        </is>
      </c>
      <c r="B83" s="5" t="n">
        <v>12</v>
      </c>
    </row>
    <row r="84">
      <c r="A84" t="inlineStr">
        <is>
          <t>Клавіатура</t>
        </is>
      </c>
      <c r="B84" s="5" t="n">
        <v>12</v>
      </c>
    </row>
    <row r="85">
      <c r="A85" t="inlineStr">
        <is>
          <t>Джерело безперебійного живлення</t>
        </is>
      </c>
      <c r="B85" s="5" t="n">
        <v>10</v>
      </c>
    </row>
    <row r="86">
      <c r="A86" t="inlineStr">
        <is>
          <t>Планшет</t>
        </is>
      </c>
      <c r="B86" s="5" t="n">
        <v>10</v>
      </c>
    </row>
    <row r="87">
      <c r="A87" t="inlineStr">
        <is>
          <t>Накопичувач SSD</t>
        </is>
      </c>
      <c r="B87" s="5" t="n">
        <v>7</v>
      </c>
    </row>
    <row r="88">
      <c r="A88" t="inlineStr">
        <is>
          <t>Персональний комп'ютер</t>
        </is>
      </c>
      <c r="B88" s="5" t="n">
        <v>5</v>
      </c>
    </row>
    <row r="89">
      <c r="A89" t="inlineStr">
        <is>
          <t>Миша</t>
        </is>
      </c>
      <c r="B89" s="5" t="n">
        <v>3</v>
      </c>
    </row>
    <row r="90">
      <c r="A90" t="inlineStr">
        <is>
          <t>Сканер</t>
        </is>
      </c>
      <c r="B90" s="5" t="n">
        <v>3</v>
      </c>
    </row>
    <row r="97">
      <c r="A97" s="2" t="inlineStr">
        <is>
          <t>Ключові замовники</t>
        </is>
      </c>
    </row>
    <row r="98">
      <c r="A98" s="3" t="inlineStr">
        <is>
          <t>Категорія</t>
        </is>
      </c>
      <c r="B98" s="3" t="inlineStr">
        <is>
          <t>Сума, грн</t>
        </is>
      </c>
    </row>
    <row r="99">
      <c r="A99" t="inlineStr">
        <is>
          <t>ГОЛОВНЕ УПРАВЛІННЯ ПЕНСІЙНОГО ФОНДУ УКРА</t>
        </is>
      </c>
      <c r="B99" s="5" t="n">
        <v>232992</v>
      </c>
    </row>
    <row r="100">
      <c r="A100" t="inlineStr">
        <is>
          <t>ГОСПОДАРСЬКИЙ СУД ВОЛИНСЬКОЇ ОБЛАСТІ</t>
        </is>
      </c>
      <c r="B100" s="5" t="n">
        <v>202800</v>
      </c>
    </row>
    <row r="101">
      <c r="A101" t="inlineStr">
        <is>
          <t>Військова частина Т0430</t>
        </is>
      </c>
      <c r="B101" s="5" t="n">
        <v>199675.2</v>
      </c>
    </row>
    <row r="102">
      <c r="A102" t="inlineStr">
        <is>
          <t>ВІЙСЬКОВА ЧАСТИНА 1141 НАЦІОНАЛЬНОЇ ГВАР</t>
        </is>
      </c>
      <c r="B102" s="5" t="n">
        <v>189144</v>
      </c>
    </row>
    <row r="103">
      <c r="A103" t="inlineStr">
        <is>
          <t>Заклад професійної (професійно-технічної</t>
        </is>
      </c>
      <c r="B103" s="5" t="n">
        <v>55905</v>
      </c>
    </row>
    <row r="104">
      <c r="A104" t="inlineStr">
        <is>
          <t>ВИКОНАВЧИЙ КОМІТЕТ НОВОВОЛИНСЬКОЇ МІСЬКО</t>
        </is>
      </c>
      <c r="B104" s="5" t="n">
        <v>55590</v>
      </c>
    </row>
    <row r="105">
      <c r="A105" t="inlineStr">
        <is>
          <t>ВОЛИНСЬКА ОБЛАСНА ПРОКУРАТУРА</t>
        </is>
      </c>
      <c r="B105" s="5" t="n">
        <v>54600</v>
      </c>
    </row>
    <row r="106">
      <c r="A106" t="inlineStr">
        <is>
          <t>Виконавчий комітет Ковельської міської р</t>
        </is>
      </c>
      <c r="B106" s="5" t="n">
        <v>37824</v>
      </c>
    </row>
    <row r="107">
      <c r="A107" t="inlineStr">
        <is>
          <t>КП "Медичне об'єднання Луцької міської т</t>
        </is>
      </c>
      <c r="B107" s="5" t="n">
        <v>36000</v>
      </c>
    </row>
    <row r="108">
      <c r="A108" t="inlineStr">
        <is>
          <t>Нововолинський науковий ліцей Волинської</t>
        </is>
      </c>
      <c r="B108" s="5" t="n">
        <v>23250</v>
      </c>
    </row>
    <row r="115">
      <c r="A115" s="2" t="inlineStr">
        <is>
          <t>Процедури</t>
        </is>
      </c>
    </row>
    <row r="116">
      <c r="A116" s="3" t="inlineStr">
        <is>
          <t>Категорія</t>
        </is>
      </c>
      <c r="B116" s="3" t="inlineStr">
        <is>
          <t>Угод, шт</t>
        </is>
      </c>
    </row>
    <row r="117">
      <c r="A117" t="inlineStr">
        <is>
          <t>Запит пропозицій</t>
        </is>
      </c>
      <c r="B117" s="5" t="n">
        <v>11</v>
      </c>
    </row>
    <row r="118">
      <c r="A118" t="inlineStr">
        <is>
          <t>Звіт про договір</t>
        </is>
      </c>
      <c r="B118" s="5" t="n">
        <v>5</v>
      </c>
    </row>
    <row r="135">
      <c r="A135" s="8" t="inlineStr">
        <is>
          <t>Таблиці</t>
        </is>
      </c>
    </row>
    <row r="137">
      <c r="A137" s="2" t="inlineStr">
        <is>
          <t>ТМ</t>
        </is>
      </c>
    </row>
    <row r="138">
      <c r="A138" s="11" t="inlineStr">
        <is>
          <t>Торгова марка</t>
        </is>
      </c>
      <c r="B138" s="11" t="inlineStr">
        <is>
          <t>Позицій</t>
        </is>
      </c>
      <c r="C138" s="11" t="inlineStr">
        <is>
          <t>Частка</t>
        </is>
      </c>
      <c r="D138" s="11" t="inlineStr">
        <is>
          <t>Власна ТМ за довідником</t>
        </is>
      </c>
    </row>
    <row r="139">
      <c r="A139" t="inlineStr">
        <is>
          <t>Intel</t>
        </is>
      </c>
      <c r="B139" s="5" t="n">
        <v>2</v>
      </c>
      <c r="C139" s="12" t="n">
        <v>0.5</v>
      </c>
      <c r="D139" t="inlineStr"/>
    </row>
    <row r="140">
      <c r="A140" t="inlineStr">
        <is>
          <t>A4Tech</t>
        </is>
      </c>
      <c r="B140" s="5" t="n">
        <v>1</v>
      </c>
      <c r="C140" s="12" t="n">
        <v>0.25</v>
      </c>
      <c r="D140" t="inlineStr"/>
    </row>
    <row r="141">
      <c r="A141" t="inlineStr">
        <is>
          <t>Canon</t>
        </is>
      </c>
      <c r="B141" s="5" t="n">
        <v>1</v>
      </c>
      <c r="C141" s="12" t="n">
        <v>0.25</v>
      </c>
      <c r="D141" t="inlineStr"/>
    </row>
    <row r="143">
      <c r="A143" s="2" t="inlineStr">
        <is>
          <t>Товари</t>
        </is>
      </c>
    </row>
    <row r="144">
      <c r="A144" s="11" t="inlineStr">
        <is>
          <t>Товар</t>
        </is>
      </c>
      <c r="B144" s="11" t="inlineStr">
        <is>
          <t>Позицій</t>
        </is>
      </c>
    </row>
    <row r="145">
      <c r="A145" t="inlineStr">
        <is>
          <t>Багатофункціональний пристрій (БФП)</t>
        </is>
      </c>
      <c r="B145" s="5" t="n">
        <v>50</v>
      </c>
    </row>
    <row r="146">
      <c r="A146" t="inlineStr">
        <is>
          <t>Монітор</t>
        </is>
      </c>
      <c r="B146" s="5" t="n">
        <v>22</v>
      </c>
    </row>
    <row r="147">
      <c r="A147" t="inlineStr">
        <is>
          <t>Ноутбук</t>
        </is>
      </c>
      <c r="B147" s="5" t="n">
        <v>12</v>
      </c>
    </row>
    <row r="148">
      <c r="A148" t="inlineStr">
        <is>
          <t>Клавіатура</t>
        </is>
      </c>
      <c r="B148" s="5" t="n">
        <v>12</v>
      </c>
    </row>
    <row r="149">
      <c r="A149" t="inlineStr">
        <is>
          <t>Джерело безперебійного живлення</t>
        </is>
      </c>
      <c r="B149" s="5" t="n">
        <v>10</v>
      </c>
    </row>
    <row r="150">
      <c r="A150" t="inlineStr">
        <is>
          <t>Планшет</t>
        </is>
      </c>
      <c r="B150" s="5" t="n">
        <v>10</v>
      </c>
    </row>
    <row r="151">
      <c r="A151" t="inlineStr">
        <is>
          <t>Накопичувач SSD</t>
        </is>
      </c>
      <c r="B151" s="5" t="n">
        <v>7</v>
      </c>
    </row>
    <row r="152">
      <c r="A152" t="inlineStr">
        <is>
          <t>Персональний комп'ютер</t>
        </is>
      </c>
      <c r="B152" s="5" t="n">
        <v>5</v>
      </c>
    </row>
    <row r="153">
      <c r="A153" t="inlineStr">
        <is>
          <t>Миша</t>
        </is>
      </c>
      <c r="B153" s="5" t="n">
        <v>3</v>
      </c>
    </row>
    <row r="154">
      <c r="A154" t="inlineStr">
        <is>
          <t>Сканер</t>
        </is>
      </c>
      <c r="B154" s="5" t="n">
        <v>3</v>
      </c>
    </row>
    <row r="155">
      <c r="A155" t="inlineStr">
        <is>
          <t>3D-принтер і витратні матеріали</t>
        </is>
      </c>
      <c r="B155" s="5" t="n">
        <v>3</v>
      </c>
    </row>
    <row r="156">
      <c r="A156" t="inlineStr">
        <is>
          <t>Накопичувач (тип не вказано)</t>
        </is>
      </c>
      <c r="B156" s="5" t="n">
        <v>3</v>
      </c>
    </row>
    <row r="157">
      <c r="A157" t="inlineStr">
        <is>
          <t>Принтер</t>
        </is>
      </c>
      <c r="B157" s="5" t="n">
        <v>3</v>
      </c>
    </row>
    <row r="158">
      <c r="A158" t="inlineStr">
        <is>
          <t>Моноблок</t>
        </is>
      </c>
      <c r="B158" s="5" t="n">
        <v>3</v>
      </c>
    </row>
    <row r="159">
      <c r="A159" t="inlineStr">
        <is>
          <t>Оперативна пам'ять</t>
        </is>
      </c>
      <c r="B159" s="5" t="n">
        <v>2</v>
      </c>
    </row>
    <row r="160">
      <c r="A160" t="inlineStr">
        <is>
          <t>Навушники, гарнітура</t>
        </is>
      </c>
      <c r="B160" s="5" t="n">
        <v>2</v>
      </c>
    </row>
    <row r="161">
      <c r="A161" t="inlineStr">
        <is>
          <t>Мережевий фільтр і подовжувач</t>
        </is>
      </c>
      <c r="B161" s="5" t="n">
        <v>1</v>
      </c>
    </row>
    <row r="162">
      <c r="A162" t="inlineStr">
        <is>
          <t>Оптичний диск</t>
        </is>
      </c>
      <c r="B162" s="5" t="n">
        <v>1</v>
      </c>
    </row>
    <row r="163">
      <c r="A163" t="inlineStr">
        <is>
          <t>Вебкамера</t>
        </is>
      </c>
      <c r="B163" s="5" t="n">
        <v>1</v>
      </c>
    </row>
    <row r="164">
      <c r="A164" t="inlineStr">
        <is>
          <t>Блок живлення</t>
        </is>
      </c>
      <c r="B164" s="5" t="n">
        <v>1</v>
      </c>
    </row>
    <row r="166">
      <c r="A166" s="2" t="inlineStr">
        <is>
          <t>Документи</t>
        </is>
      </c>
    </row>
    <row r="167">
      <c r="A167" s="11" t="inlineStr">
        <is>
          <t>Тип документа</t>
        </is>
      </c>
      <c r="B167" s="11" t="inlineStr">
        <is>
          <t>Файлів</t>
        </is>
      </c>
    </row>
    <row r="168">
      <c r="A168" t="inlineStr">
        <is>
          <t>Підпис КЕП</t>
        </is>
      </c>
      <c r="B168" s="5" t="n">
        <v>194</v>
      </c>
    </row>
    <row r="169">
      <c r="A169" t="inlineStr">
        <is>
          <t>Установчі та реєстраційні</t>
        </is>
      </c>
      <c r="B169" s="5" t="n">
        <v>5</v>
      </c>
    </row>
    <row r="170">
      <c r="A170" t="inlineStr">
        <is>
          <t>не класифіковано</t>
        </is>
      </c>
      <c r="B170" s="5" t="n">
        <v>3</v>
      </c>
    </row>
    <row r="172">
      <c r="A172" s="2" t="inlineStr">
        <is>
          <t>Зірвані перемоги</t>
        </is>
      </c>
    </row>
    <row r="173">
      <c r="A173" s="11" t="inlineStr">
        <is>
          <t>Закупівля</t>
        </is>
      </c>
      <c r="B173" s="11" t="inlineStr">
        <is>
          <t>Дата</t>
        </is>
      </c>
      <c r="C173" s="11" t="inlineStr">
        <is>
          <t>Замовник</t>
        </is>
      </c>
      <c r="D173" s="11" t="inlineStr">
        <is>
          <t>Сума, грн</t>
        </is>
      </c>
      <c r="E173" s="11" t="inlineStr">
        <is>
          <t>Причина</t>
        </is>
      </c>
      <c r="F173" s="11" t="inlineStr">
        <is>
          <t>Формулювання замовника</t>
        </is>
      </c>
    </row>
    <row r="174">
      <c r="A174" s="4" t="inlineStr">
        <is>
          <t>UA-2025-10-28-010787-a</t>
        </is>
      </c>
      <c r="B174" t="inlineStr">
        <is>
          <t>2025-10-31</t>
        </is>
      </c>
      <c r="C174" t="inlineStr">
        <is>
          <t>Головне Управління Державної служби України з надзвичайних ситуацій у Волинській області</t>
        </is>
      </c>
      <c r="D174" s="5" t="n">
        <v>295200</v>
      </c>
      <c r="E174" t="inlineStr">
        <is>
          <t>Відмова від договору</t>
        </is>
      </c>
      <c r="F174" t="inlineStr">
        <is>
          <t>письмово відмовився від укладання договору на умовах, визначених у запиті пропозицій постачальників</t>
        </is>
      </c>
    </row>
    <row r="175">
      <c r="A175" s="4" t="inlineStr">
        <is>
          <t>UA-2025-10-24-012403-a</t>
        </is>
      </c>
      <c r="B175" t="inlineStr">
        <is>
          <t>2025-11-10</t>
        </is>
      </c>
      <c r="C175" t="inlineStr">
        <is>
          <t>Територіальне управління Державної судової адміністрації України в Волинській області</t>
        </is>
      </c>
      <c r="D175" s="5" t="n">
        <v>140484</v>
      </c>
      <c r="E175" t="inlineStr">
        <is>
          <t>Відмова від договору</t>
        </is>
      </c>
      <c r="F175" t="inlineStr">
        <is>
          <t>Переможець письмово відмовився від укладання договору на умовах, визначених у запиті пропозицій постачальників</t>
        </is>
      </c>
    </row>
    <row r="176">
      <c r="A176" s="4" t="inlineStr">
        <is>
          <t>UA-2026-04-06-002585-a</t>
        </is>
      </c>
      <c r="B176" t="inlineStr">
        <is>
          <t>2026-04-10</t>
        </is>
      </c>
      <c r="C176" t="inlineStr">
        <is>
          <t>КП «ВОЛИНСЬКЕ ОБЛАСНЕ ТЕРИТОРІАЛЬНЕ МЕДИЧНЕ ОБ’ЄДНАНННЯ ЗАХИСТУ МАТЕРИНСТВА І ДИТИНСТВА» ВОЛИНСЬКОЇ ОБЛАСНОЇ РАДИ</t>
        </is>
      </c>
      <c r="D176" s="5" t="n">
        <v>77976</v>
      </c>
      <c r="E176" t="inlineStr">
        <is>
          <t>Відмова від договору</t>
        </is>
      </c>
      <c r="F176" t="inlineStr">
        <is>
          <t>Переможець письмово відмовився від укладення договору на умовах, визначених замовником у запиті пропозицій постачальників, шляхом заповнення електронних форм з окремими полями та у проекті договору, що є складовою частиною запиту пропозицій постачальників</t>
        </is>
      </c>
    </row>
    <row r="177">
      <c r="A177" s="4" t="inlineStr">
        <is>
          <t>UA-2026-05-27-012781-a</t>
        </is>
      </c>
      <c r="B177" t="inlineStr">
        <is>
          <t>2026-06-08</t>
        </is>
      </c>
      <c r="C177" t="inlineStr">
        <is>
          <t>ВИКОНАВЧИЙ КОМІТЕТ НОВОВОЛИНСЬКОЇ МІСЬКОЇ РАДИ</t>
        </is>
      </c>
      <c r="D177" s="5" t="n">
        <v>43776</v>
      </c>
      <c r="E177" t="inlineStr">
        <is>
          <t>Не підписав договір у строк</t>
        </is>
      </c>
      <c r="F177" t="inlineStr">
        <is>
          <t>Переможець не підписав договір, на умовах, визначених замовником у запиті пропозицій постачальників шляхом заповнення електронних форм із окремими полями та у проекті договору, що є складовою частиною запиту пропозицій постачальників у строк, визначений пунктом 66 цього Порядку</t>
        </is>
      </c>
    </row>
    <row r="178">
      <c r="A178" s="4" t="inlineStr">
        <is>
          <t>UA-2026-06-04-010998-a</t>
        </is>
      </c>
      <c r="B178" t="inlineStr">
        <is>
          <t>2026-06-22</t>
        </is>
      </c>
      <c r="C178" t="inlineStr">
        <is>
          <t>Виконавчий комітет Ковельської міської ради</t>
        </is>
      </c>
      <c r="D178" s="5" t="n">
        <v>40704</v>
      </c>
      <c r="E178" t="inlineStr">
        <is>
          <t>Відмова від договору</t>
        </is>
      </c>
      <c r="F178" t="inlineStr">
        <is>
          <t>письмово відмовився від укладення договору на умовах, визначених замовником у запиті пропозицій постачальників, шляхом заповнення електронних форм з окремими полями та у проекті договору, що є складовою частиною запиту пропозицій постачальників.</t>
        </is>
      </c>
    </row>
    <row r="180">
      <c r="A180" s="2" t="inlineStr">
        <is>
          <t>Угоди</t>
        </is>
      </c>
    </row>
    <row r="181">
      <c r="A181" s="11" t="inlineStr">
        <is>
          <t>Закупівля</t>
        </is>
      </c>
      <c r="B181" s="11" t="inlineStr">
        <is>
          <t>Дата</t>
        </is>
      </c>
      <c r="C181" s="11" t="inlineStr">
        <is>
          <t>Замовник</t>
        </is>
      </c>
      <c r="D181" s="11" t="inlineStr">
        <is>
          <t>Регіон</t>
        </is>
      </c>
      <c r="E181" s="11" t="inlineStr">
        <is>
          <t>Сума, грн</t>
        </is>
      </c>
      <c r="F181" s="11" t="inlineStr">
        <is>
          <t>Очікувана, грн</t>
        </is>
      </c>
      <c r="G181" s="11" t="inlineStr">
        <is>
          <t>Процедура</t>
        </is>
      </c>
      <c r="H181" s="11" t="inlineStr">
        <is>
          <t>Галузь</t>
        </is>
      </c>
      <c r="I181" s="11" t="inlineStr">
        <is>
          <t>Джерело</t>
        </is>
      </c>
    </row>
    <row r="182">
      <c r="A182" s="4" t="inlineStr">
        <is>
          <t>UA-2025-12-17-023135-a</t>
        </is>
      </c>
      <c r="B182" t="inlineStr">
        <is>
          <t>2025-12-24</t>
        </is>
      </c>
      <c r="C182" t="inlineStr">
        <is>
          <t>ГОЛОВНЕ УПРАВЛІННЯ ПЕНСІЙНОГО ФОНДУ УКРАЇНИ У ВОЛИНСЬКІЙ ОБЛАСТІ</t>
        </is>
      </c>
      <c r="D182" t="inlineStr">
        <is>
          <t>Волинська область</t>
        </is>
      </c>
      <c r="E182" s="13" t="n">
        <v>232992</v>
      </c>
      <c r="F182" s="13" t="n">
        <v>234000</v>
      </c>
      <c r="G182" t="inlineStr">
        <is>
          <t>Запит пропозицій</t>
        </is>
      </c>
      <c r="H182" t="inlineStr">
        <is>
          <t>Комп’ютерне обладнання</t>
        </is>
      </c>
      <c r="I182" t="inlineStr">
        <is>
          <t>договір</t>
        </is>
      </c>
    </row>
    <row r="183">
      <c r="A183" s="4" t="inlineStr">
        <is>
          <t>UA-2025-11-11-016946-a</t>
        </is>
      </c>
      <c r="B183" t="inlineStr">
        <is>
          <t>2025-11-19</t>
        </is>
      </c>
      <c r="C183" t="inlineStr">
        <is>
          <t>ГОСПОДАРСЬКИЙ СУД ВОЛИНСЬКОЇ ОБЛАСТІ</t>
        </is>
      </c>
      <c r="D183" t="inlineStr">
        <is>
          <t>Волинська область</t>
        </is>
      </c>
      <c r="E183" s="13" t="n">
        <v>202800</v>
      </c>
      <c r="F183" s="13" t="n">
        <v>210000</v>
      </c>
      <c r="G183" t="inlineStr">
        <is>
          <t>Запит пропозицій</t>
        </is>
      </c>
      <c r="H183" t="inlineStr">
        <is>
          <t>Комп’ютерне обладнання</t>
        </is>
      </c>
      <c r="I183" t="inlineStr">
        <is>
          <t>договір</t>
        </is>
      </c>
    </row>
    <row r="184">
      <c r="A184" s="4" t="inlineStr">
        <is>
          <t>UA-2026-04-21-005323-a</t>
        </is>
      </c>
      <c r="B184" t="inlineStr">
        <is>
          <t>2026-04-30</t>
        </is>
      </c>
      <c r="C184" t="inlineStr">
        <is>
          <t>Військова частина Т0430</t>
        </is>
      </c>
      <c r="D184" t="inlineStr">
        <is>
          <t>Волинська область</t>
        </is>
      </c>
      <c r="E184" s="13" t="n">
        <v>199675.2</v>
      </c>
      <c r="F184" s="13" t="n">
        <v>269223.25</v>
      </c>
      <c r="G184" t="inlineStr">
        <is>
          <t>Запит пропозицій</t>
        </is>
      </c>
      <c r="H184" t="inlineStr">
        <is>
          <t>Комп’ютерне обладнання</t>
        </is>
      </c>
      <c r="I184" t="inlineStr">
        <is>
          <t>договір</t>
        </is>
      </c>
    </row>
    <row r="185">
      <c r="A185" s="4" t="inlineStr">
        <is>
          <t>UA-2026-07-23-002735-a</t>
        </is>
      </c>
      <c r="B185" t="inlineStr">
        <is>
          <t>2026-08-04</t>
        </is>
      </c>
      <c r="C185" t="inlineStr">
        <is>
          <t>ВІЙСЬКОВА ЧАСТИНА 1141 НАЦІОНАЛЬНОЇ ГВАРДІЇ УКРАЇНИ</t>
        </is>
      </c>
      <c r="D185" t="inlineStr">
        <is>
          <t>Волинська область</t>
        </is>
      </c>
      <c r="E185" s="13" t="n">
        <v>133560</v>
      </c>
      <c r="F185" s="13" t="n">
        <v>116450.4</v>
      </c>
      <c r="G185" t="inlineStr">
        <is>
          <t>Запит пропозицій</t>
        </is>
      </c>
      <c r="H185" t="inlineStr">
        <is>
          <t>Машини для обробки даних (апаратна частина)</t>
        </is>
      </c>
      <c r="I185" t="inlineStr">
        <is>
          <t>договір</t>
        </is>
      </c>
    </row>
    <row r="186">
      <c r="A186" s="4" t="inlineStr">
        <is>
          <t>UA-2026-06-18-013017-a</t>
        </is>
      </c>
      <c r="B186" t="inlineStr">
        <is>
          <t>2026-06-29</t>
        </is>
      </c>
      <c r="C186" t="inlineStr">
        <is>
          <t>ВИКОНАВЧИЙ КОМІТЕТ НОВОВОЛИНСЬКОЇ МІСЬКОЇ РАДИ</t>
        </is>
      </c>
      <c r="D186" t="inlineStr">
        <is>
          <t>Волинська область</t>
        </is>
      </c>
      <c r="E186" s="13" t="n">
        <v>55590</v>
      </c>
      <c r="F186" s="13" t="n">
        <v>68000</v>
      </c>
      <c r="G186" t="inlineStr">
        <is>
          <t>Запит пропозицій</t>
        </is>
      </c>
      <c r="H186" t="inlineStr">
        <is>
          <t>Машини для обробки даних (апаратна частина)</t>
        </is>
      </c>
      <c r="I186" t="inlineStr">
        <is>
          <t>договір</t>
        </is>
      </c>
    </row>
    <row r="187">
      <c r="A187" s="4" t="inlineStr">
        <is>
          <t>UA-2026-08-14-011549-a</t>
        </is>
      </c>
      <c r="B187" t="inlineStr">
        <is>
          <t>2026-08-25</t>
        </is>
      </c>
      <c r="C187" t="inlineStr">
        <is>
          <t>ВІЙСЬКОВА ЧАСТИНА 1141 НАЦІОНАЛЬНОЇ ГВАРДІЇ УКРАЇНИ</t>
        </is>
      </c>
      <c r="D187" t="inlineStr">
        <is>
          <t>Волинська область</t>
        </is>
      </c>
      <c r="E187" s="13" t="n">
        <v>55584</v>
      </c>
      <c r="F187" s="13" t="n">
        <v>46766.67</v>
      </c>
      <c r="G187" t="inlineStr">
        <is>
          <t>Запит пропозицій</t>
        </is>
      </c>
      <c r="H187" t="inlineStr">
        <is>
          <t>Комп’ютерне обладнання</t>
        </is>
      </c>
      <c r="I187" t="inlineStr">
        <is>
          <t>договір</t>
        </is>
      </c>
    </row>
    <row r="188">
      <c r="A188" s="4" t="inlineStr">
        <is>
          <t>UA-2026-06-18-010301-a</t>
        </is>
      </c>
      <c r="B188" t="inlineStr">
        <is>
          <t>2026-06-25</t>
        </is>
      </c>
      <c r="C188" t="inlineStr">
        <is>
          <t>ВОЛИНСЬКА ОБЛАСНА ПРОКУРАТУРА</t>
        </is>
      </c>
      <c r="D188" t="inlineStr">
        <is>
          <t>Волинська область</t>
        </is>
      </c>
      <c r="E188" s="13" t="n">
        <v>54600</v>
      </c>
      <c r="F188" s="13" t="n">
        <v>54650</v>
      </c>
      <c r="G188" t="inlineStr">
        <is>
          <t>Запит пропозицій</t>
        </is>
      </c>
      <c r="H188" t="inlineStr">
        <is>
          <t>Комп’ютерне обладнання</t>
        </is>
      </c>
      <c r="I188" t="inlineStr">
        <is>
          <t>договір</t>
        </is>
      </c>
    </row>
    <row r="189">
      <c r="A189" s="4" t="inlineStr">
        <is>
          <t>UA-2026-06-03-002897-a</t>
        </is>
      </c>
      <c r="B189" t="inlineStr">
        <is>
          <t>2026-06-17</t>
        </is>
      </c>
      <c r="C189" t="inlineStr">
        <is>
          <t>Виконавчий комітет Ковельської міської ради</t>
        </is>
      </c>
      <c r="D189" t="inlineStr">
        <is>
          <t>Волинська область</t>
        </is>
      </c>
      <c r="E189" s="13" t="n">
        <v>37824</v>
      </c>
      <c r="F189" s="13" t="n">
        <v>40940</v>
      </c>
      <c r="G189" t="inlineStr">
        <is>
          <t>Запит пропозицій</t>
        </is>
      </c>
      <c r="H189" t="inlineStr">
        <is>
          <t>Комп’ютерне обладнання</t>
        </is>
      </c>
      <c r="I189" t="inlineStr">
        <is>
          <t>договір</t>
        </is>
      </c>
    </row>
    <row r="190">
      <c r="A190" s="4" t="inlineStr">
        <is>
          <t>UA-2025-12-05-006402-a</t>
        </is>
      </c>
      <c r="B190" t="inlineStr">
        <is>
          <t>2025-12-05</t>
        </is>
      </c>
      <c r="C190" t="inlineStr">
        <is>
          <t>Нововолинський науковий ліцей Волинської обласної ради</t>
        </is>
      </c>
      <c r="D190" t="inlineStr">
        <is>
          <t>Волинська область</t>
        </is>
      </c>
      <c r="E190" s="13" t="n">
        <v>23250</v>
      </c>
      <c r="F190" s="13" t="n">
        <v>23250</v>
      </c>
      <c r="G190" t="inlineStr">
        <is>
          <t>Звіт про договір</t>
        </is>
      </c>
      <c r="H190" t="inlineStr">
        <is>
          <t>Комп’ютерне обладнання</t>
        </is>
      </c>
      <c r="I190" t="inlineStr">
        <is>
          <t>договір</t>
        </is>
      </c>
    </row>
    <row r="191">
      <c r="A191" s="4" t="inlineStr">
        <is>
          <t>UA-2025-12-25-005550-a</t>
        </is>
      </c>
      <c r="B191" t="inlineStr">
        <is>
          <t>2025-12-25</t>
        </is>
      </c>
      <c r="C191" t="inlineStr">
        <is>
          <t>Заклад професійної (професійно-технічної) освіти "Регіональний професійний коледж м. Володимир"</t>
        </is>
      </c>
      <c r="D191" t="inlineStr">
        <is>
          <t>Волинська область</t>
        </is>
      </c>
      <c r="E191" s="13" t="n">
        <v>23100</v>
      </c>
      <c r="F191" s="13" t="n">
        <v>23100</v>
      </c>
      <c r="G191" t="inlineStr">
        <is>
          <t>Звіт про договір</t>
        </is>
      </c>
      <c r="H191" t="inlineStr">
        <is>
          <t>Комп’ютерне обладнання</t>
        </is>
      </c>
      <c r="I191" t="inlineStr">
        <is>
          <t>договір</t>
        </is>
      </c>
    </row>
    <row r="192">
      <c r="A192" s="4" t="inlineStr">
        <is>
          <t>UA-2025-12-17-021142-a</t>
        </is>
      </c>
      <c r="B192" t="inlineStr">
        <is>
          <t>2025-12-18</t>
        </is>
      </c>
      <c r="C192" t="inlineStr">
        <is>
          <t>Заклад професійної (професійно-технічної) освіти "Регіональний професійний коледж м. Володимир"</t>
        </is>
      </c>
      <c r="D192" t="inlineStr">
        <is>
          <t>Волинська область</t>
        </is>
      </c>
      <c r="E192" s="13" t="n">
        <v>23100</v>
      </c>
      <c r="F192" s="13" t="n">
        <v>23100</v>
      </c>
      <c r="G192" t="inlineStr">
        <is>
          <t>Звіт про договір</t>
        </is>
      </c>
      <c r="H192" t="inlineStr">
        <is>
          <t>Комп’ютерне обладнання</t>
        </is>
      </c>
      <c r="I192" t="inlineStr">
        <is>
          <t>договір</t>
        </is>
      </c>
    </row>
    <row r="193">
      <c r="A193" s="4" t="inlineStr">
        <is>
          <t>UA-2026-03-12-001016-a</t>
        </is>
      </c>
      <c r="B193" t="inlineStr">
        <is>
          <t>2026-03-20</t>
        </is>
      </c>
      <c r="C193" t="inlineStr">
        <is>
          <t>КП "Медичне об'єднання Луцької міської територіальної громади"</t>
        </is>
      </c>
      <c r="D193" t="inlineStr">
        <is>
          <t>Волинська область</t>
        </is>
      </c>
      <c r="E193" s="13" t="n">
        <v>21600</v>
      </c>
      <c r="F193" s="13" t="n">
        <v>24000</v>
      </c>
      <c r="G193" t="inlineStr">
        <is>
          <t>Запит пропозицій</t>
        </is>
      </c>
      <c r="H193" t="inlineStr">
        <is>
          <t>Комп’ютерне обладнання</t>
        </is>
      </c>
      <c r="I193" t="inlineStr">
        <is>
          <t>договір</t>
        </is>
      </c>
    </row>
    <row r="194">
      <c r="A194" s="4" t="inlineStr">
        <is>
          <t>UA-2026-03-12-001423-a</t>
        </is>
      </c>
      <c r="B194" t="inlineStr">
        <is>
          <t>2026-03-20</t>
        </is>
      </c>
      <c r="C194" t="inlineStr">
        <is>
          <t>КП "Медичне об'єднання Луцької міської територіальної громади"</t>
        </is>
      </c>
      <c r="D194" t="inlineStr">
        <is>
          <t>Волинська область</t>
        </is>
      </c>
      <c r="E194" s="13" t="n">
        <v>14400</v>
      </c>
      <c r="F194" s="13" t="n">
        <v>19000</v>
      </c>
      <c r="G194" t="inlineStr">
        <is>
          <t>Запит пропозицій</t>
        </is>
      </c>
      <c r="H194" t="inlineStr">
        <is>
          <t>Комп’ютерне обладнання</t>
        </is>
      </c>
      <c r="I194" t="inlineStr">
        <is>
          <t>договір</t>
        </is>
      </c>
    </row>
    <row r="195">
      <c r="A195" s="4" t="inlineStr">
        <is>
          <t>UA-2025-10-16-007461-a</t>
        </is>
      </c>
      <c r="B195" t="inlineStr">
        <is>
          <t>2025-10-28</t>
        </is>
      </c>
      <c r="C195" t="inlineStr">
        <is>
          <t>Виконавчий комітет Луцької міської ради</t>
        </is>
      </c>
      <c r="D195" t="inlineStr">
        <is>
          <t>Волинська область</t>
        </is>
      </c>
      <c r="E195" s="13" t="n">
        <v>12408</v>
      </c>
      <c r="F195" s="13" t="n">
        <v>13000</v>
      </c>
      <c r="G195" t="inlineStr">
        <is>
          <t>Запит пропозицій</t>
        </is>
      </c>
      <c r="H195" t="inlineStr">
        <is>
          <t>Комп’ютерне обладнання</t>
        </is>
      </c>
      <c r="I195" t="inlineStr">
        <is>
          <t>договір</t>
        </is>
      </c>
    </row>
    <row r="196">
      <c r="A196" s="4" t="inlineStr">
        <is>
          <t>UA-2026-06-04-012177-a</t>
        </is>
      </c>
      <c r="B196" t="inlineStr">
        <is>
          <t>2026-06-04</t>
        </is>
      </c>
      <c r="C196" t="inlineStr">
        <is>
          <t>Заклад професійної (професійно-технічної) освіти "Регіональний професійний коледж м. Володимир"</t>
        </is>
      </c>
      <c r="D196" t="inlineStr">
        <is>
          <t>Волинська область</t>
        </is>
      </c>
      <c r="E196" s="13" t="n">
        <v>5985</v>
      </c>
      <c r="F196" s="13" t="n">
        <v>5985</v>
      </c>
      <c r="G196" t="inlineStr">
        <is>
          <t>Звіт про договір</t>
        </is>
      </c>
      <c r="H196" t="inlineStr">
        <is>
          <t>Комп’ютерне обладнання</t>
        </is>
      </c>
      <c r="I196" t="inlineStr">
        <is>
          <t>договір</t>
        </is>
      </c>
    </row>
    <row r="197">
      <c r="A197" s="4" t="inlineStr">
        <is>
          <t>UA-2026-08-18-008314-a</t>
        </is>
      </c>
      <c r="B197" t="inlineStr">
        <is>
          <t>2026-08-18</t>
        </is>
      </c>
      <c r="C197" t="inlineStr">
        <is>
          <t>Заклад професійної (професійно-технічної) освіти "Регіональний професійний коледж м. Володимир"</t>
        </is>
      </c>
      <c r="D197" t="inlineStr">
        <is>
          <t>Волинська область</t>
        </is>
      </c>
      <c r="E197" s="13" t="n">
        <v>3720</v>
      </c>
      <c r="F197" s="13" t="n">
        <v>3720</v>
      </c>
      <c r="G197" t="inlineStr">
        <is>
          <t>Звіт про договір</t>
        </is>
      </c>
      <c r="H197" t="inlineStr">
        <is>
          <t>Комп’ютерне обладнання</t>
        </is>
      </c>
      <c r="I197" t="inlineStr">
        <is>
          <t>договір</t>
        </is>
      </c>
    </row>
    <row r="199">
      <c r="A199" s="2" t="inlineStr">
        <is>
          <t>Наші зустрічі</t>
        </is>
      </c>
    </row>
    <row r="200">
      <c r="A200" s="11" t="inlineStr">
        <is>
          <t>Закупівля</t>
        </is>
      </c>
      <c r="B200" s="11" t="inlineStr">
        <is>
          <t>Дата</t>
        </is>
      </c>
      <c r="C200" s="11" t="inlineStr">
        <is>
          <t>Замовник</t>
        </is>
      </c>
      <c r="D200" s="11" t="inlineStr">
        <is>
          <t>Предмет</t>
        </is>
      </c>
      <c r="E200" s="11" t="inlineStr">
        <is>
          <t>Сума переможця, грн</t>
        </is>
      </c>
      <c r="F200" s="11" t="inlineStr">
        <is>
          <t>Наша пропозиція, грн</t>
        </is>
      </c>
      <c r="G200" s="11" t="inlineStr">
        <is>
          <t>Розрив</t>
        </is>
      </c>
      <c r="H200" s="11" t="inlineStr">
        <is>
          <t>Що сталося</t>
        </is>
      </c>
    </row>
    <row r="201">
      <c r="A201" s="4" t="inlineStr">
        <is>
          <t>UA-2025-12-17-023135-a</t>
        </is>
      </c>
      <c r="B201" t="inlineStr">
        <is>
          <t>2025-12-17</t>
        </is>
      </c>
      <c r="C201" t="inlineStr">
        <is>
          <t>ГОЛОВНЕ УПРАВЛІННЯ ПЕНСІЙНОГО ФОНДУ УКРАЇНИ У ВОЛИНСЬКІЙ ОБЛАСТІ</t>
        </is>
      </c>
      <c r="D201" t="inlineStr">
        <is>
          <t>Джерела безперебійного живлення (ДК 021:2015 — 30230000-0 Комп’ютерне обладнання</t>
        </is>
      </c>
      <c r="E201" s="13" t="n">
        <v>232992</v>
      </c>
      <c r="F201" s="5" t="n"/>
      <c r="G201" s="12" t="n"/>
      <c r="H201" t="inlineStr">
        <is>
          <t>ми не подавалися</t>
        </is>
      </c>
    </row>
    <row r="202">
      <c r="A202" s="4" t="inlineStr">
        <is>
          <t>UA-2025-11-11-016946-a</t>
        </is>
      </c>
      <c r="B202" t="inlineStr">
        <is>
          <t>2025-11-11</t>
        </is>
      </c>
      <c r="C202" t="inlineStr">
        <is>
          <t>ГОСПОДАРСЬКИЙ СУД ВОЛИНСЬКОЇ ОБЛАСТІ</t>
        </is>
      </c>
      <c r="D202" t="inlineStr">
        <is>
          <t>Багатофункціональні пристрої,Принтери</t>
        </is>
      </c>
      <c r="E202" s="13" t="n">
        <v>202800</v>
      </c>
      <c r="F202" s="5" t="n"/>
      <c r="G202" s="12" t="n"/>
      <c r="H202" t="inlineStr">
        <is>
          <t>ми не подавалися</t>
        </is>
      </c>
    </row>
    <row r="203">
      <c r="A203" s="4" t="inlineStr">
        <is>
          <t>UA-2026-04-21-005323-a</t>
        </is>
      </c>
      <c r="B203" t="inlineStr">
        <is>
          <t>2026-04-21</t>
        </is>
      </c>
      <c r="C203" t="inlineStr">
        <is>
          <t>Військова частина Т0430</t>
        </is>
      </c>
      <c r="D203" t="inlineStr">
        <is>
          <t>Комп’ютерне обладнання</t>
        </is>
      </c>
      <c r="E203" s="13" t="n">
        <v>199675.2</v>
      </c>
      <c r="F203" s="5" t="n">
        <v>217356</v>
      </c>
      <c r="G203" s="12" t="n">
        <v>0.0885</v>
      </c>
      <c r="H203" t="inlineStr">
        <is>
          <t>програли за ціною</t>
        </is>
      </c>
    </row>
    <row r="204">
      <c r="A204" s="4" t="inlineStr">
        <is>
          <t>UA-2026-07-23-002735-a</t>
        </is>
      </c>
      <c r="B204" t="inlineStr">
        <is>
          <t>2026-07-23</t>
        </is>
      </c>
      <c r="C204" t="inlineStr">
        <is>
          <t>ВІЙСЬКОВА ЧАСТИНА 1141 НАЦІОНАЛЬНОЇ ГВАРДІЇ УКРАЇНИ</t>
        </is>
      </c>
      <c r="D204" t="inlineStr">
        <is>
          <t>Ноутбуки</t>
        </is>
      </c>
      <c r="E204" s="13" t="n">
        <v>111300</v>
      </c>
      <c r="F204" s="5" t="n"/>
      <c r="G204" s="12" t="n"/>
      <c r="H204" t="inlineStr">
        <is>
          <t>ми не подавалися</t>
        </is>
      </c>
    </row>
    <row r="205">
      <c r="A205" s="4" t="inlineStr">
        <is>
          <t>UA-2026-06-18-013017-a</t>
        </is>
      </c>
      <c r="B205" t="inlineStr">
        <is>
          <t>2026-06-18</t>
        </is>
      </c>
      <c r="C205" t="inlineStr">
        <is>
          <t>ВИКОНАВЧИЙ КОМІТЕТ НОВОВОЛИНСЬКОЇ МІСЬКОЇ РАДИ</t>
        </is>
      </c>
      <c r="D205" t="inlineStr">
        <is>
          <t>Планшет Samsung Galaxy Tab A 11 Plus</t>
        </is>
      </c>
      <c r="E205" s="13" t="n">
        <v>55590</v>
      </c>
      <c r="F205" s="5" t="n"/>
      <c r="G205" s="12" t="n"/>
      <c r="H205" t="inlineStr">
        <is>
          <t>ми не подавалися</t>
        </is>
      </c>
    </row>
    <row r="206">
      <c r="A206" s="4" t="inlineStr">
        <is>
          <t>UA-2026-06-18-010301-a</t>
        </is>
      </c>
      <c r="B206" t="inlineStr">
        <is>
          <t>2026-06-18</t>
        </is>
      </c>
      <c r="C206" t="inlineStr">
        <is>
          <t>ВОЛИНСЬКА ОБЛАСНА ПРОКУРАТУРА</t>
        </is>
      </c>
      <c r="D206" t="inlineStr">
        <is>
          <t>Монітори згідно коду ДК 021:2015:30230000-0 - Комп’ютерне обладнання</t>
        </is>
      </c>
      <c r="E206" s="13" t="n">
        <v>54600</v>
      </c>
      <c r="F206" s="5" t="n"/>
      <c r="G206" s="12" t="n"/>
      <c r="H206" t="inlineStr">
        <is>
          <t>ми не подавалися</t>
        </is>
      </c>
    </row>
    <row r="207">
      <c r="A207" s="4" t="inlineStr">
        <is>
          <t>UA-2026-08-14-011549-a</t>
        </is>
      </c>
      <c r="B207" t="inlineStr">
        <is>
          <t>2026-08-14</t>
        </is>
      </c>
      <c r="C207" t="inlineStr">
        <is>
          <t>ВІЙСЬКОВА ЧАСТИНА 1141 НАЦІОНАЛЬНОЇ ГВАРДІЇ УКРАЇНИ</t>
        </is>
      </c>
      <c r="D207" t="inlineStr">
        <is>
          <t>БФП Canon PIXMA G3410</t>
        </is>
      </c>
      <c r="E207" s="13" t="n">
        <v>46320</v>
      </c>
      <c r="F207" s="5" t="n"/>
      <c r="G207" s="12" t="n"/>
      <c r="H207" t="inlineStr">
        <is>
          <t>ми не подавалися</t>
        </is>
      </c>
    </row>
    <row r="208">
      <c r="A208" s="4" t="inlineStr">
        <is>
          <t>UA-2026-06-03-002897-a</t>
        </is>
      </c>
      <c r="B208" t="inlineStr">
        <is>
          <t>2026-06-03</t>
        </is>
      </c>
      <c r="C208" t="inlineStr">
        <is>
          <t>Виконавчий комітет Ковельської міської ради</t>
        </is>
      </c>
      <c r="D208" t="inlineStr">
        <is>
          <t>БФП Epson EcoTank L3250</t>
        </is>
      </c>
      <c r="E208" s="13" t="n">
        <v>37824</v>
      </c>
      <c r="F208" s="5" t="n"/>
      <c r="G208" s="12" t="n"/>
      <c r="H208" t="inlineStr">
        <is>
          <t>ми не подавалися</t>
        </is>
      </c>
    </row>
    <row r="209">
      <c r="A209" s="4" t="inlineStr">
        <is>
          <t>UA-2025-12-05-006402-a</t>
        </is>
      </c>
      <c r="B209" t="inlineStr">
        <is>
          <t>2025-12-05</t>
        </is>
      </c>
      <c r="C209" t="inlineStr">
        <is>
          <t>Нововолинський науковий ліцей Волинської обласної ради</t>
        </is>
      </c>
      <c r="D209" t="inlineStr">
        <is>
          <t>30230000-0 Комп’ютерне обладнання: Принтер Canon i-Sensys MF3010 – 2 шт</t>
        </is>
      </c>
      <c r="E209" s="13" t="n">
        <v>23250</v>
      </c>
      <c r="F209" s="5" t="n"/>
      <c r="G209" s="12" t="n"/>
      <c r="H209" t="inlineStr">
        <is>
          <t>ми не подавалися</t>
        </is>
      </c>
    </row>
    <row r="210">
      <c r="A210" s="4" t="inlineStr">
        <is>
          <t>UA-2025-12-25-005550-a</t>
        </is>
      </c>
      <c r="B210" t="inlineStr">
        <is>
          <t>2025-12-25</t>
        </is>
      </c>
      <c r="C210" t="inlineStr">
        <is>
          <t>Заклад професійної (професійно-технічної) освіти "Регіональний професійний коледж м. Володимир"</t>
        </is>
      </c>
      <c r="D210" t="inlineStr">
        <is>
          <t>30230000-0 Комп’ютерне обладнання: Комп’ютер персональний для кабінету Захисту У</t>
        </is>
      </c>
      <c r="E210" s="13" t="n">
        <v>23100</v>
      </c>
      <c r="F210" s="5" t="n"/>
      <c r="G210" s="12" t="n"/>
      <c r="H210" t="inlineStr">
        <is>
          <t>ми не подавалися</t>
        </is>
      </c>
    </row>
    <row r="211">
      <c r="A211" s="4" t="inlineStr">
        <is>
          <t>UA-2025-12-17-021142-a</t>
        </is>
      </c>
      <c r="B211" t="inlineStr">
        <is>
          <t>2025-12-17</t>
        </is>
      </c>
      <c r="C211" t="inlineStr">
        <is>
          <t>Заклад професійної (професійно-технічної) освіти "Регіональний професійний коледж м. Володимир"</t>
        </is>
      </c>
      <c r="D211" t="inlineStr">
        <is>
          <t>30230000-0 Комп’ютерне обладнання: Комп’ютер персональний для кабінету Захисту У</t>
        </is>
      </c>
      <c r="E211" s="13" t="n">
        <v>23100</v>
      </c>
      <c r="F211" s="5" t="n"/>
      <c r="G211" s="12" t="n"/>
      <c r="H211" t="inlineStr">
        <is>
          <t>ми не подавалися</t>
        </is>
      </c>
    </row>
    <row r="212">
      <c r="A212" s="4" t="inlineStr">
        <is>
          <t>UA-2026-03-12-001016-a</t>
        </is>
      </c>
      <c r="B212" t="inlineStr">
        <is>
          <t>2026-03-12</t>
        </is>
      </c>
      <c r="C212" t="inlineStr">
        <is>
          <t>КП "Медичне об'єднання Луцької міської територіальної громади"</t>
        </is>
      </c>
      <c r="D212" t="inlineStr">
        <is>
          <t>код ДК 021:2015 - 30230000-0 - Комп’ютерне обладнання (A4Tech KR-8372 (Black) Ко</t>
        </is>
      </c>
      <c r="E212" s="13" t="n">
        <v>21600</v>
      </c>
      <c r="F212" s="5" t="n"/>
      <c r="G212" s="12" t="n"/>
      <c r="H212" t="inlineStr">
        <is>
          <t>ми не подавалися</t>
        </is>
      </c>
    </row>
    <row r="213">
      <c r="A213" s="4" t="inlineStr">
        <is>
          <t>UA-2026-03-12-001423-a</t>
        </is>
      </c>
      <c r="B213" t="inlineStr">
        <is>
          <t>2026-03-12</t>
        </is>
      </c>
      <c r="C213" t="inlineStr">
        <is>
          <t>КП "Медичне об'єднання Луцької міської територіальної громади"</t>
        </is>
      </c>
      <c r="D213" t="inlineStr">
        <is>
          <t>код ДК 021:2015 - 30230000-0 - Комп’ютерне обладнання (Подовжувач 2Е на 5 розето</t>
        </is>
      </c>
      <c r="E213" s="13" t="n">
        <v>14400</v>
      </c>
      <c r="F213" s="5" t="n"/>
      <c r="G213" s="12" t="n"/>
      <c r="H213" t="inlineStr">
        <is>
          <t>ми не подавалися</t>
        </is>
      </c>
    </row>
    <row r="214">
      <c r="A214" s="4" t="inlineStr">
        <is>
          <t>UA-2025-10-16-007461-a</t>
        </is>
      </c>
      <c r="B214" t="inlineStr">
        <is>
          <t>2025-10-16</t>
        </is>
      </c>
      <c r="C214" t="inlineStr">
        <is>
          <t>Виконавчий комітет Луцької міської ради</t>
        </is>
      </c>
      <c r="D214" t="inlineStr">
        <is>
          <t>БФП лазерний, монохромний, A4, 8 000 ст./міс., 18 ст./хв., + 2 картриджа</t>
        </is>
      </c>
      <c r="E214" s="13" t="n">
        <v>12408</v>
      </c>
      <c r="F214" s="5" t="n"/>
      <c r="G214" s="12" t="n"/>
      <c r="H214" t="inlineStr">
        <is>
          <t>ми не подавалися</t>
        </is>
      </c>
    </row>
    <row r="215">
      <c r="A215" s="4" t="inlineStr">
        <is>
          <t>UA-2026-06-04-012177-a</t>
        </is>
      </c>
      <c r="B215" t="inlineStr">
        <is>
          <t>2026-06-04</t>
        </is>
      </c>
      <c r="C215" t="inlineStr">
        <is>
          <t>Заклад професійної (професійно-технічної) освіти "Регіональний професійний коледж м. Володимир"</t>
        </is>
      </c>
      <c r="D215" t="inlineStr">
        <is>
          <t>Миша дротова A4tech OP-330 USB (Black), Кабель Atcom HDMI - HDMI (M/M), Кабель A</t>
        </is>
      </c>
      <c r="E215" s="13" t="n">
        <v>5985</v>
      </c>
      <c r="F215" s="5" t="n"/>
      <c r="G215" s="12" t="n"/>
      <c r="H215" t="inlineStr">
        <is>
          <t>ми не подавалися</t>
        </is>
      </c>
    </row>
    <row r="216">
      <c r="A216" s="4" t="inlineStr">
        <is>
          <t>UA-2026-08-18-008314-a</t>
        </is>
      </c>
      <c r="B216" t="inlineStr">
        <is>
          <t>2026-08-18</t>
        </is>
      </c>
      <c r="C216" t="inlineStr">
        <is>
          <t>Заклад професійної (професійно-технічної) освіти "Регіональний професійний коледж м. Володимир"</t>
        </is>
      </c>
      <c r="D216" t="inlineStr">
        <is>
          <t>Філамент для 3D-принтера, PLA, 1.75 мм, сірий , Філамент для 3D-принтера, PLA, 1</t>
        </is>
      </c>
      <c r="E216" s="13" t="n">
        <v>3720</v>
      </c>
      <c r="F216" s="5" t="n"/>
      <c r="G216" s="12" t="n"/>
      <c r="H216" t="inlineStr">
        <is>
          <t>ми не подавалися</t>
        </is>
      </c>
    </row>
    <row r="218">
      <c r="A218" s="8" t="inlineStr">
        <is>
          <t>Сильні сторони</t>
        </is>
      </c>
    </row>
    <row r="219">
      <c r="A219" t="inlineStr">
        <is>
          <t>+  працює з великими контрактами</t>
        </is>
      </c>
    </row>
    <row r="221">
      <c r="A221" s="8" t="inlineStr">
        <is>
          <t>Слабкі сторони</t>
        </is>
      </c>
    </row>
    <row r="222">
      <c r="A222" t="inlineStr">
        <is>
          <t>−  сертифікатів у поданих файлах не знайдено</t>
        </is>
      </c>
    </row>
    <row r="223">
      <c r="A223" t="inlineStr">
        <is>
          <t>−  слабка цінова позиція: дисконт 1,9% проти 8,3% по ринку</t>
        </is>
      </c>
    </row>
    <row r="224">
      <c r="A224" t="inlineStr">
        <is>
          <t>−  низька результативність на торгах (8,5%)</t>
        </is>
      </c>
    </row>
  </sheetData>
  <hyperlinks>
    <hyperlink xmlns:r="http://schemas.openxmlformats.org/officeDocument/2006/relationships" ref="A174" r:id="rId1"/>
    <hyperlink xmlns:r="http://schemas.openxmlformats.org/officeDocument/2006/relationships" ref="A175" r:id="rId2"/>
    <hyperlink xmlns:r="http://schemas.openxmlformats.org/officeDocument/2006/relationships" ref="A176" r:id="rId3"/>
    <hyperlink xmlns:r="http://schemas.openxmlformats.org/officeDocument/2006/relationships" ref="A177" r:id="rId4"/>
    <hyperlink xmlns:r="http://schemas.openxmlformats.org/officeDocument/2006/relationships" ref="A178" r:id="rId5"/>
    <hyperlink xmlns:r="http://schemas.openxmlformats.org/officeDocument/2006/relationships" ref="A182" r:id="rId6"/>
    <hyperlink xmlns:r="http://schemas.openxmlformats.org/officeDocument/2006/relationships" ref="A183" r:id="rId7"/>
    <hyperlink xmlns:r="http://schemas.openxmlformats.org/officeDocument/2006/relationships" ref="A184" r:id="rId8"/>
    <hyperlink xmlns:r="http://schemas.openxmlformats.org/officeDocument/2006/relationships" ref="A185" r:id="rId9"/>
    <hyperlink xmlns:r="http://schemas.openxmlformats.org/officeDocument/2006/relationships" ref="A186" r:id="rId10"/>
    <hyperlink xmlns:r="http://schemas.openxmlformats.org/officeDocument/2006/relationships" ref="A187" r:id="rId11"/>
    <hyperlink xmlns:r="http://schemas.openxmlformats.org/officeDocument/2006/relationships" ref="A188" r:id="rId12"/>
    <hyperlink xmlns:r="http://schemas.openxmlformats.org/officeDocument/2006/relationships" ref="A189" r:id="rId13"/>
    <hyperlink xmlns:r="http://schemas.openxmlformats.org/officeDocument/2006/relationships" ref="A190" r:id="rId14"/>
    <hyperlink xmlns:r="http://schemas.openxmlformats.org/officeDocument/2006/relationships" ref="A191" r:id="rId15"/>
    <hyperlink xmlns:r="http://schemas.openxmlformats.org/officeDocument/2006/relationships" ref="A192" r:id="rId16"/>
    <hyperlink xmlns:r="http://schemas.openxmlformats.org/officeDocument/2006/relationships" ref="A193" r:id="rId17"/>
    <hyperlink xmlns:r="http://schemas.openxmlformats.org/officeDocument/2006/relationships" ref="A194" r:id="rId18"/>
    <hyperlink xmlns:r="http://schemas.openxmlformats.org/officeDocument/2006/relationships" ref="A195" r:id="rId19"/>
    <hyperlink xmlns:r="http://schemas.openxmlformats.org/officeDocument/2006/relationships" ref="A196" r:id="rId20"/>
    <hyperlink xmlns:r="http://schemas.openxmlformats.org/officeDocument/2006/relationships" ref="A197" r:id="rId21"/>
    <hyperlink xmlns:r="http://schemas.openxmlformats.org/officeDocument/2006/relationships" ref="A201" r:id="rId22"/>
    <hyperlink xmlns:r="http://schemas.openxmlformats.org/officeDocument/2006/relationships" ref="A202" r:id="rId23"/>
    <hyperlink xmlns:r="http://schemas.openxmlformats.org/officeDocument/2006/relationships" ref="A203" r:id="rId24"/>
    <hyperlink xmlns:r="http://schemas.openxmlformats.org/officeDocument/2006/relationships" ref="A204" r:id="rId25"/>
    <hyperlink xmlns:r="http://schemas.openxmlformats.org/officeDocument/2006/relationships" ref="A205" r:id="rId26"/>
    <hyperlink xmlns:r="http://schemas.openxmlformats.org/officeDocument/2006/relationships" ref="A206" r:id="rId27"/>
    <hyperlink xmlns:r="http://schemas.openxmlformats.org/officeDocument/2006/relationships" ref="A207" r:id="rId28"/>
    <hyperlink xmlns:r="http://schemas.openxmlformats.org/officeDocument/2006/relationships" ref="A208" r:id="rId29"/>
    <hyperlink xmlns:r="http://schemas.openxmlformats.org/officeDocument/2006/relationships" ref="A209" r:id="rId30"/>
    <hyperlink xmlns:r="http://schemas.openxmlformats.org/officeDocument/2006/relationships" ref="A210" r:id="rId31"/>
    <hyperlink xmlns:r="http://schemas.openxmlformats.org/officeDocument/2006/relationships" ref="A211" r:id="rId32"/>
    <hyperlink xmlns:r="http://schemas.openxmlformats.org/officeDocument/2006/relationships" ref="A212" r:id="rId33"/>
    <hyperlink xmlns:r="http://schemas.openxmlformats.org/officeDocument/2006/relationships" ref="A213" r:id="rId34"/>
    <hyperlink xmlns:r="http://schemas.openxmlformats.org/officeDocument/2006/relationships" ref="A214" r:id="rId35"/>
    <hyperlink xmlns:r="http://schemas.openxmlformats.org/officeDocument/2006/relationships" ref="A215" r:id="rId36"/>
    <hyperlink xmlns:r="http://schemas.openxmlformats.org/officeDocument/2006/relationships" ref="A216" r:id="rId37"/>
  </hyperlinks>
  <pageMargins left="0.75" right="0.75" top="1" bottom="1" header="0.5" footer="0.5"/>
  <drawing xmlns:r="http://schemas.openxmlformats.org/officeDocument/2006/relationships" r:id="rId38"/>
  <tableParts count="6">
    <tablePart xmlns:r="http://schemas.openxmlformats.org/officeDocument/2006/relationships" r:id="rId39"/>
    <tablePart xmlns:r="http://schemas.openxmlformats.org/officeDocument/2006/relationships" r:id="rId40"/>
    <tablePart xmlns:r="http://schemas.openxmlformats.org/officeDocument/2006/relationships" r:id="rId41"/>
    <tablePart xmlns:r="http://schemas.openxmlformats.org/officeDocument/2006/relationships" r:id="rId42"/>
    <tablePart xmlns:r="http://schemas.openxmlformats.org/officeDocument/2006/relationships" r:id="rId43"/>
    <tablePart xmlns:r="http://schemas.openxmlformats.org/officeDocument/2006/relationships" r:id="rId44"/>
  </tableParts>
</worksheet>
</file>

<file path=xl/worksheets/sheet38.xml><?xml version="1.0" encoding="utf-8"?>
<worksheet xmlns="http://schemas.openxmlformats.org/spreadsheetml/2006/main">
  <sheetPr>
    <outlinePr summaryBelow="1" summaryRight="1"/>
    <pageSetUpPr/>
  </sheetPr>
  <dimension ref="A1:I235"/>
  <sheetViews>
    <sheetView showGridLines="0" workbookViewId="0">
      <selection activeCell="A1" sqref="A1"/>
    </sheetView>
  </sheetViews>
  <sheetFormatPr baseColWidth="8" defaultRowHeight="15"/>
  <cols>
    <col width="42" customWidth="1" min="1" max="1"/>
    <col width="25" customWidth="1" min="2" max="2"/>
    <col width="60" customWidth="1" min="3" max="3"/>
    <col width="60" customWidth="1" min="4" max="4"/>
    <col width="38" customWidth="1" min="5" max="5"/>
    <col width="60" customWidth="1" min="6" max="6"/>
    <col width="23" customWidth="1" min="7" max="7"/>
    <col width="45" customWidth="1" min="8" max="8"/>
    <col width="23" customWidth="1" min="9" max="9"/>
  </cols>
  <sheetData>
    <row r="1">
      <c r="A1" s="1" t="inlineStr">
        <is>
          <t>ТОВ "КОМПАКОМ"</t>
        </is>
      </c>
    </row>
    <row r="2">
      <c r="A2" s="6" t="inlineStr">
        <is>
          <t>ЄДРПОУ 45596933  ·  конкурент  ·  місце №32</t>
        </is>
      </c>
    </row>
    <row r="4">
      <c r="A4" s="7" t="inlineStr">
        <is>
          <t>ТОВ "КОМПАКОМ" (45596933)</t>
        </is>
      </c>
    </row>
    <row r="6">
      <c r="A6" s="8" t="inlineStr">
        <is>
          <t>Показники</t>
        </is>
      </c>
    </row>
    <row r="7">
      <c r="A7" s="9" t="inlineStr">
        <is>
          <t>Місце на ринку</t>
        </is>
      </c>
      <c r="B7" s="10" t="inlineStr">
        <is>
          <t>№32</t>
        </is>
      </c>
    </row>
    <row r="8">
      <c r="A8" s="9" t="inlineStr">
        <is>
          <t>Сума угод</t>
        </is>
      </c>
      <c r="B8" s="10" t="inlineStr">
        <is>
          <t>946,7 тис. грн</t>
        </is>
      </c>
    </row>
    <row r="9">
      <c r="A9" s="9" t="inlineStr">
        <is>
          <t>Частка ринку</t>
        </is>
      </c>
      <c r="B9" s="10" t="inlineStr">
        <is>
          <t>0,8%</t>
        </is>
      </c>
    </row>
    <row r="10">
      <c r="A10" s="9" t="inlineStr">
        <is>
          <t>Угод</t>
        </is>
      </c>
      <c r="B10" s="10" t="inlineStr">
        <is>
          <t>9</t>
        </is>
      </c>
    </row>
    <row r="11">
      <c r="A11" s="9" t="inlineStr">
        <is>
          <t>Закупівель виграно</t>
        </is>
      </c>
      <c r="B11" s="10" t="inlineStr">
        <is>
          <t>8</t>
        </is>
      </c>
    </row>
    <row r="12">
      <c r="A12" s="9" t="inlineStr">
        <is>
          <t>Подань (де видно)</t>
        </is>
      </c>
      <c r="B12" s="10" t="inlineStr">
        <is>
          <t>83</t>
        </is>
      </c>
    </row>
    <row r="13">
      <c r="A13" s="9" t="inlineStr">
        <is>
          <t>Виграно з поданих</t>
        </is>
      </c>
      <c r="B13" s="10" t="inlineStr">
        <is>
          <t>8 з 83</t>
        </is>
      </c>
    </row>
    <row r="14">
      <c r="A14" s="9" t="inlineStr">
        <is>
          <t>Результативність</t>
        </is>
      </c>
      <c r="B14" s="10" t="inlineStr">
        <is>
          <t>9,6%</t>
        </is>
      </c>
    </row>
    <row r="15">
      <c r="A15" s="9" t="inlineStr">
        <is>
          <t>Середня угода</t>
        </is>
      </c>
      <c r="B15" s="10" t="inlineStr">
        <is>
          <t>105,2 тис. грн</t>
        </is>
      </c>
    </row>
    <row r="16">
      <c r="A16" s="9" t="inlineStr">
        <is>
          <t>Медіанна угода</t>
        </is>
      </c>
      <c r="B16" s="10" t="inlineStr">
        <is>
          <t>99,6 тис. грн</t>
        </is>
      </c>
    </row>
    <row r="17">
      <c r="A17" s="9" t="inlineStr">
        <is>
          <t>Замовників</t>
        </is>
      </c>
      <c r="B17" s="10" t="inlineStr">
        <is>
          <t>7</t>
        </is>
      </c>
    </row>
    <row r="18">
      <c r="A18" s="9" t="inlineStr">
        <is>
          <t>Областей</t>
        </is>
      </c>
      <c r="B18" s="10" t="inlineStr">
        <is>
          <t>1</t>
        </is>
      </c>
    </row>
    <row r="19">
      <c r="A19" s="9" t="inlineStr">
        <is>
          <t>Основна ТМ</t>
        </is>
      </c>
      <c r="B19" s="10" t="inlineStr">
        <is>
          <t>Intel</t>
        </is>
      </c>
    </row>
    <row r="20">
      <c r="A20" s="9" t="inlineStr">
        <is>
          <t>Основний товар</t>
        </is>
      </c>
      <c r="B20" s="10" t="inlineStr">
        <is>
          <t>Ноутбук</t>
        </is>
      </c>
    </row>
    <row r="21">
      <c r="A21" s="9" t="inlineStr">
        <is>
          <t>Дисконт (медіана)</t>
        </is>
      </c>
      <c r="B21" s="10" t="inlineStr">
        <is>
          <t>5,0%</t>
        </is>
      </c>
    </row>
    <row r="22">
      <c r="A22" s="9" t="inlineStr">
        <is>
          <t>Повторні замовники</t>
        </is>
      </c>
      <c r="B22" s="10" t="inlineStr">
        <is>
          <t>22,2%</t>
        </is>
      </c>
    </row>
    <row r="23">
      <c r="A23" s="9" t="inlineStr">
        <is>
          <t>Активність</t>
        </is>
      </c>
      <c r="B23" s="10" t="inlineStr">
        <is>
          <t>2025-09-15 — 2026-08-31</t>
        </is>
      </c>
    </row>
    <row r="24">
      <c r="A24" s="9" t="inlineStr">
        <is>
          <t>Зірвано перемог</t>
        </is>
      </c>
      <c r="B24" s="10" t="inlineStr">
        <is>
          <t>21 на 2,0 млн грн</t>
        </is>
      </c>
    </row>
    <row r="25">
      <c r="A25" s="9" t="inlineStr">
        <is>
          <t>Причина зривів</t>
        </is>
      </c>
      <c r="B25" s="10" t="inlineStr">
        <is>
          <t>Відмова від договору</t>
        </is>
      </c>
    </row>
    <row r="27">
      <c r="A27" s="8" t="inlineStr">
        <is>
          <t>Висновки</t>
        </is>
      </c>
    </row>
    <row r="28">
      <c r="A28" t="inlineStr">
        <is>
          <t>•  32-е місце на ринку: 946,7 тис. грн (0,8% обороту)</t>
        </is>
      </c>
    </row>
    <row r="29">
      <c r="A29" t="inlineStr">
        <is>
          <t>•  Основний товар: ноутбук</t>
        </is>
      </c>
    </row>
    <row r="30">
      <c r="A30" t="inlineStr">
        <is>
          <t>•  ТМ Intel у 26,9% позицій</t>
        </is>
      </c>
    </row>
    <row r="31">
      <c r="A31" t="inlineStr">
        <is>
          <t>•  Портфель із 11 ТМ</t>
        </is>
      </c>
    </row>
    <row r="32">
      <c r="A32" t="inlineStr">
        <is>
          <t>•  Грає у відкритих процедурах: лише 0,0% угод без торгів</t>
        </is>
      </c>
    </row>
    <row r="33">
      <c r="A33" t="inlineStr">
        <is>
          <t>•  Тримає ціну: дисконт 5,0% проти 8,3% по ринку</t>
        </is>
      </c>
    </row>
    <row r="34">
      <c r="A34" t="inlineStr">
        <is>
          <t>•  Географічно сфокусований: Волинська область (100,0% угод)</t>
        </is>
      </c>
    </row>
    <row r="35">
      <c r="A35" t="inlineStr">
        <is>
          <t>•  Результативність на торгах: 9,6% (8 з 83)</t>
        </is>
      </c>
    </row>
    <row r="36">
      <c r="A36" t="inlineStr">
        <is>
          <t>•  Динаміка: зростає (229% у другій половині періоду)</t>
        </is>
      </c>
    </row>
    <row r="37">
      <c r="A37" t="inlineStr">
        <is>
          <t>•  У поданих файлах — сертифікатів: 16, авторизаційних листів: 18</t>
        </is>
      </c>
    </row>
    <row r="38">
      <c r="A38" t="inlineStr">
        <is>
          <t>•  Зривається 72,4% виграшів: 21 з 29 на 2,0 млн грн, найчастіше — відмова від договору</t>
        </is>
      </c>
    </row>
    <row r="40">
      <c r="A40" s="8" t="inlineStr">
        <is>
          <t>Графіки</t>
        </is>
      </c>
    </row>
    <row r="42">
      <c r="A42" s="2" t="inlineStr">
        <is>
          <t>Динаміка по місяцях</t>
        </is>
      </c>
    </row>
    <row r="43">
      <c r="A43" s="3" t="inlineStr">
        <is>
          <t>Період</t>
        </is>
      </c>
      <c r="B43" s="3" t="inlineStr">
        <is>
          <t>Сума угод, грн</t>
        </is>
      </c>
    </row>
    <row r="44">
      <c r="A44" t="inlineStr">
        <is>
          <t>2025-09</t>
        </is>
      </c>
      <c r="B44" s="5" t="n">
        <v>57000</v>
      </c>
    </row>
    <row r="45">
      <c r="A45" t="inlineStr">
        <is>
          <t>2025-10</t>
        </is>
      </c>
      <c r="B45" s="5" t="n">
        <v>16300</v>
      </c>
    </row>
    <row r="46">
      <c r="A46" t="inlineStr">
        <is>
          <t>2025-12</t>
        </is>
      </c>
      <c r="B46" s="5" t="n">
        <v>403000</v>
      </c>
    </row>
    <row r="47">
      <c r="A47" t="inlineStr">
        <is>
          <t>2026-04</t>
        </is>
      </c>
      <c r="B47" s="5" t="n">
        <v>327000</v>
      </c>
    </row>
    <row r="48">
      <c r="A48" t="inlineStr">
        <is>
          <t>2026-08</t>
        </is>
      </c>
      <c r="B48" s="5" t="n">
        <v>143400</v>
      </c>
    </row>
    <row r="62">
      <c r="A62" s="2" t="inlineStr">
        <is>
          <t>Торгові марки у позиціях</t>
        </is>
      </c>
    </row>
    <row r="63">
      <c r="A63" s="3" t="inlineStr">
        <is>
          <t>Категорія</t>
        </is>
      </c>
      <c r="B63" s="3" t="inlineStr">
        <is>
          <t>Позицій, шт</t>
        </is>
      </c>
    </row>
    <row r="64">
      <c r="A64" t="inlineStr">
        <is>
          <t>Intel</t>
        </is>
      </c>
      <c r="B64" s="5" t="n">
        <v>7</v>
      </c>
    </row>
    <row r="65">
      <c r="A65" t="inlineStr">
        <is>
          <t>Artline</t>
        </is>
      </c>
      <c r="B65" s="5" t="n">
        <v>5</v>
      </c>
    </row>
    <row r="66">
      <c r="A66" t="inlineStr">
        <is>
          <t>HP</t>
        </is>
      </c>
      <c r="B66" s="5" t="n">
        <v>4</v>
      </c>
    </row>
    <row r="67">
      <c r="A67" t="inlineStr">
        <is>
          <t>Samsung</t>
        </is>
      </c>
      <c r="B67" s="5" t="n">
        <v>2</v>
      </c>
    </row>
    <row r="68">
      <c r="A68" t="inlineStr">
        <is>
          <t>Vinga</t>
        </is>
      </c>
      <c r="B68" s="5" t="n">
        <v>2</v>
      </c>
    </row>
    <row r="69">
      <c r="A69" t="inlineStr">
        <is>
          <t>Microsoft</t>
        </is>
      </c>
      <c r="B69" s="5" t="n">
        <v>1</v>
      </c>
    </row>
    <row r="70">
      <c r="A70" t="inlineStr">
        <is>
          <t>Acer</t>
        </is>
      </c>
      <c r="B70" s="5" t="n">
        <v>1</v>
      </c>
    </row>
    <row r="71">
      <c r="A71" t="inlineStr">
        <is>
          <t>Logitech</t>
        </is>
      </c>
      <c r="B71" s="5" t="n">
        <v>1</v>
      </c>
    </row>
    <row r="82">
      <c r="A82" s="2" t="inlineStr">
        <is>
          <t>Що саме продає</t>
        </is>
      </c>
    </row>
    <row r="83">
      <c r="A83" s="3" t="inlineStr">
        <is>
          <t>Категорія</t>
        </is>
      </c>
      <c r="B83" s="3" t="inlineStr">
        <is>
          <t>Позицій, шт</t>
        </is>
      </c>
    </row>
    <row r="84">
      <c r="A84" t="inlineStr">
        <is>
          <t>Ноутбук</t>
        </is>
      </c>
      <c r="B84" s="5" t="n">
        <v>40</v>
      </c>
    </row>
    <row r="85">
      <c r="A85" t="inlineStr">
        <is>
          <t>Персональний комп'ютер</t>
        </is>
      </c>
      <c r="B85" s="5" t="n">
        <v>40</v>
      </c>
    </row>
    <row r="86">
      <c r="A86" t="inlineStr">
        <is>
          <t>Моноблок</t>
        </is>
      </c>
      <c r="B86" s="5" t="n">
        <v>6</v>
      </c>
    </row>
    <row r="87">
      <c r="A87" t="inlineStr">
        <is>
          <t>Планшет</t>
        </is>
      </c>
      <c r="B87" s="5" t="n">
        <v>6</v>
      </c>
    </row>
    <row r="88">
      <c r="A88" t="inlineStr">
        <is>
          <t>Системний блок</t>
        </is>
      </c>
      <c r="B88" s="5" t="n">
        <v>4</v>
      </c>
    </row>
    <row r="89">
      <c r="A89" t="inlineStr">
        <is>
          <t>3D-принтер і витратні матеріали</t>
        </is>
      </c>
      <c r="B89" s="5" t="n">
        <v>2</v>
      </c>
    </row>
    <row r="90">
      <c r="A90" t="inlineStr">
        <is>
          <t>Artline gaming x43</t>
        </is>
      </c>
      <c r="B90" s="5" t="n">
        <v>1</v>
      </c>
    </row>
    <row r="91">
      <c r="A91" t="inlineStr">
        <is>
          <t>Монітор</t>
        </is>
      </c>
      <c r="B91" s="5" t="n">
        <v>1</v>
      </c>
    </row>
    <row r="92">
      <c r="A92" t="inlineStr">
        <is>
          <t>Artline home h47</t>
        </is>
      </c>
      <c r="B92" s="5" t="n">
        <v>1</v>
      </c>
    </row>
    <row r="99">
      <c r="A99" s="2" t="inlineStr">
        <is>
          <t>Ключові замовники</t>
        </is>
      </c>
    </row>
    <row r="100">
      <c r="A100" s="3" t="inlineStr">
        <is>
          <t>Категорія</t>
        </is>
      </c>
      <c r="B100" s="3" t="inlineStr">
        <is>
          <t>Сума, грн</t>
        </is>
      </c>
    </row>
    <row r="101">
      <c r="A101" t="inlineStr">
        <is>
          <t>ВИКОНАВЧИЙ КОМІТЕТ НОВОВОЛИНСЬКОЇ МІСЬКО</t>
        </is>
      </c>
      <c r="B101" s="5" t="n">
        <v>327000</v>
      </c>
    </row>
    <row r="102">
      <c r="A102" t="inlineStr">
        <is>
          <t>Виконавчий комітет Луцької міської ради</t>
        </is>
      </c>
      <c r="B102" s="5" t="n">
        <v>204400</v>
      </c>
    </row>
    <row r="103">
      <c r="A103" t="inlineStr">
        <is>
          <t>Вишнівська сільська рада</t>
        </is>
      </c>
      <c r="B103" s="5" t="n">
        <v>156000</v>
      </c>
    </row>
    <row r="104">
      <c r="A104" t="inlineStr">
        <is>
          <t>КАМІНЬ-КАШИРСЬКА МІСЬКА РАДА</t>
        </is>
      </c>
      <c r="B104" s="5" t="n">
        <v>105000</v>
      </c>
    </row>
    <row r="105">
      <c r="A105" t="inlineStr">
        <is>
          <t>ВІДДІЛ ОСВІТИ, МОЛОДІ ТА СПОРТУ МАНЕВИЦЬ</t>
        </is>
      </c>
      <c r="B105" s="5" t="n">
        <v>99600</v>
      </c>
    </row>
    <row r="106">
      <c r="A106" t="inlineStr">
        <is>
          <t>УПРАВЛІННЯ ГУМАНІТАРНОЇ ПОЛІТИКИ ЛЮБЕШІВ</t>
        </is>
      </c>
      <c r="B106" s="5" t="n">
        <v>38400</v>
      </c>
    </row>
    <row r="107">
      <c r="A107" t="inlineStr">
        <is>
          <t>Управління гуманітарної сфери виконавчог</t>
        </is>
      </c>
      <c r="B107" s="5" t="n">
        <v>16300</v>
      </c>
    </row>
    <row r="115">
      <c r="A115" s="2" t="inlineStr">
        <is>
          <t>Процедури</t>
        </is>
      </c>
    </row>
    <row r="116">
      <c r="A116" s="3" t="inlineStr">
        <is>
          <t>Категорія</t>
        </is>
      </c>
      <c r="B116" s="3" t="inlineStr">
        <is>
          <t>Угод, шт</t>
        </is>
      </c>
    </row>
    <row r="117">
      <c r="A117" t="inlineStr">
        <is>
          <t>Запит пропозицій</t>
        </is>
      </c>
      <c r="B117" s="5" t="n">
        <v>6</v>
      </c>
    </row>
    <row r="118">
      <c r="A118" t="inlineStr">
        <is>
          <t>Відкриті торги (нові)</t>
        </is>
      </c>
      <c r="B118" s="5" t="n">
        <v>3</v>
      </c>
    </row>
    <row r="135">
      <c r="A135" s="8" t="inlineStr">
        <is>
          <t>Таблиці</t>
        </is>
      </c>
    </row>
    <row r="137">
      <c r="A137" s="2" t="inlineStr">
        <is>
          <t>ТМ</t>
        </is>
      </c>
    </row>
    <row r="138">
      <c r="A138" s="11" t="inlineStr">
        <is>
          <t>Торгова марка</t>
        </is>
      </c>
      <c r="B138" s="11" t="inlineStr">
        <is>
          <t>Позицій</t>
        </is>
      </c>
      <c r="C138" s="11" t="inlineStr">
        <is>
          <t>Частка</t>
        </is>
      </c>
      <c r="D138" s="11" t="inlineStr">
        <is>
          <t>Власна ТМ за довідником</t>
        </is>
      </c>
    </row>
    <row r="139">
      <c r="A139" t="inlineStr">
        <is>
          <t>Intel</t>
        </is>
      </c>
      <c r="B139" s="5" t="n">
        <v>7</v>
      </c>
      <c r="C139" s="12" t="n">
        <v>0.2692</v>
      </c>
      <c r="D139" t="inlineStr"/>
    </row>
    <row r="140">
      <c r="A140" t="inlineStr">
        <is>
          <t>Artline</t>
        </is>
      </c>
      <c r="B140" s="5" t="n">
        <v>5</v>
      </c>
      <c r="C140" s="12" t="n">
        <v>0.1923</v>
      </c>
      <c r="D140" t="inlineStr">
        <is>
          <t>АРТЛАЙН ІНТЕГРАЦІЯ</t>
        </is>
      </c>
    </row>
    <row r="141">
      <c r="A141" t="inlineStr">
        <is>
          <t>HP</t>
        </is>
      </c>
      <c r="B141" s="5" t="n">
        <v>4</v>
      </c>
      <c r="C141" s="12" t="n">
        <v>0.1538</v>
      </c>
      <c r="D141" t="inlineStr"/>
    </row>
    <row r="142">
      <c r="A142" t="inlineStr">
        <is>
          <t>Samsung</t>
        </is>
      </c>
      <c r="B142" s="5" t="n">
        <v>2</v>
      </c>
      <c r="C142" s="12" t="n">
        <v>0.0769</v>
      </c>
      <c r="D142" t="inlineStr"/>
    </row>
    <row r="143">
      <c r="A143" t="inlineStr">
        <is>
          <t>Vinga</t>
        </is>
      </c>
      <c r="B143" s="5" t="n">
        <v>2</v>
      </c>
      <c r="C143" s="12" t="n">
        <v>0.0769</v>
      </c>
      <c r="D143" t="inlineStr">
        <is>
          <t>КОМЕЛ</t>
        </is>
      </c>
    </row>
    <row r="144">
      <c r="A144" t="inlineStr">
        <is>
          <t>Microsoft</t>
        </is>
      </c>
      <c r="B144" s="5" t="n">
        <v>1</v>
      </c>
      <c r="C144" s="12" t="n">
        <v>0.0385</v>
      </c>
      <c r="D144" t="inlineStr"/>
    </row>
    <row r="145">
      <c r="A145" t="inlineStr">
        <is>
          <t>Acer</t>
        </is>
      </c>
      <c r="B145" s="5" t="n">
        <v>1</v>
      </c>
      <c r="C145" s="12" t="n">
        <v>0.0385</v>
      </c>
      <c r="D145" t="inlineStr"/>
    </row>
    <row r="146">
      <c r="A146" t="inlineStr">
        <is>
          <t>Logitech</t>
        </is>
      </c>
      <c r="B146" s="5" t="n">
        <v>1</v>
      </c>
      <c r="C146" s="12" t="n">
        <v>0.0385</v>
      </c>
      <c r="D146" t="inlineStr"/>
    </row>
    <row r="147">
      <c r="A147" t="inlineStr">
        <is>
          <t>ASUS</t>
        </is>
      </c>
      <c r="B147" s="5" t="n">
        <v>1</v>
      </c>
      <c r="C147" s="12" t="n">
        <v>0.0385</v>
      </c>
      <c r="D147" t="inlineStr"/>
    </row>
    <row r="148">
      <c r="A148" t="inlineStr">
        <is>
          <t>Dell</t>
        </is>
      </c>
      <c r="B148" s="5" t="n">
        <v>1</v>
      </c>
      <c r="C148" s="12" t="n">
        <v>0.0385</v>
      </c>
      <c r="D148" t="inlineStr"/>
    </row>
    <row r="149">
      <c r="A149" t="inlineStr">
        <is>
          <t>MSI</t>
        </is>
      </c>
      <c r="B149" s="5" t="n">
        <v>1</v>
      </c>
      <c r="C149" s="12" t="n">
        <v>0.0385</v>
      </c>
      <c r="D149" t="inlineStr"/>
    </row>
    <row r="151">
      <c r="A151" s="2" t="inlineStr">
        <is>
          <t>Товари</t>
        </is>
      </c>
    </row>
    <row r="152">
      <c r="A152" s="11" t="inlineStr">
        <is>
          <t>Товар</t>
        </is>
      </c>
      <c r="B152" s="11" t="inlineStr">
        <is>
          <t>Позицій</t>
        </is>
      </c>
    </row>
    <row r="153">
      <c r="A153" t="inlineStr">
        <is>
          <t>Ноутбук</t>
        </is>
      </c>
      <c r="B153" s="5" t="n">
        <v>40</v>
      </c>
    </row>
    <row r="154">
      <c r="A154" t="inlineStr">
        <is>
          <t>Персональний комп'ютер</t>
        </is>
      </c>
      <c r="B154" s="5" t="n">
        <v>40</v>
      </c>
    </row>
    <row r="155">
      <c r="A155" t="inlineStr">
        <is>
          <t>Моноблок</t>
        </is>
      </c>
      <c r="B155" s="5" t="n">
        <v>6</v>
      </c>
    </row>
    <row r="156">
      <c r="A156" t="inlineStr">
        <is>
          <t>Планшет</t>
        </is>
      </c>
      <c r="B156" s="5" t="n">
        <v>6</v>
      </c>
    </row>
    <row r="157">
      <c r="A157" t="inlineStr">
        <is>
          <t>Системний блок</t>
        </is>
      </c>
      <c r="B157" s="5" t="n">
        <v>4</v>
      </c>
    </row>
    <row r="158">
      <c r="A158" t="inlineStr">
        <is>
          <t>3D-принтер і витратні матеріали</t>
        </is>
      </c>
      <c r="B158" s="5" t="n">
        <v>2</v>
      </c>
    </row>
    <row r="159">
      <c r="A159" t="inlineStr">
        <is>
          <t>Artline gaming x43</t>
        </is>
      </c>
      <c r="B159" s="5" t="n">
        <v>1</v>
      </c>
    </row>
    <row r="160">
      <c r="A160" t="inlineStr">
        <is>
          <t>Монітор</t>
        </is>
      </c>
      <c r="B160" s="5" t="n">
        <v>1</v>
      </c>
    </row>
    <row r="161">
      <c r="A161" t="inlineStr">
        <is>
          <t>Artline home h47</t>
        </is>
      </c>
      <c r="B161" s="5" t="n">
        <v>1</v>
      </c>
    </row>
    <row r="163">
      <c r="A163" s="2" t="inlineStr">
        <is>
          <t>Документи</t>
        </is>
      </c>
    </row>
    <row r="164">
      <c r="A164" s="11" t="inlineStr">
        <is>
          <t>Тип документа</t>
        </is>
      </c>
      <c r="B164" s="11" t="inlineStr">
        <is>
          <t>Файлів</t>
        </is>
      </c>
    </row>
    <row r="165">
      <c r="A165" t="inlineStr">
        <is>
          <t>Підпис КЕП</t>
        </is>
      </c>
      <c r="B165" s="5" t="n">
        <v>134</v>
      </c>
    </row>
    <row r="166">
      <c r="A166" t="inlineStr">
        <is>
          <t>не класифіковано</t>
        </is>
      </c>
      <c r="B166" s="5" t="n">
        <v>111</v>
      </c>
    </row>
    <row r="167">
      <c r="A167" t="inlineStr">
        <is>
          <t>Тендерна документація</t>
        </is>
      </c>
      <c r="B167" s="5" t="n">
        <v>39</v>
      </c>
    </row>
    <row r="168">
      <c r="A168" t="inlineStr">
        <is>
          <t>Установчі та реєстраційні</t>
        </is>
      </c>
      <c r="B168" s="5" t="n">
        <v>27</v>
      </c>
    </row>
    <row r="169">
      <c r="A169" t="inlineStr">
        <is>
          <t>Лист виробника / авторизація</t>
        </is>
      </c>
      <c r="B169" s="5" t="n">
        <v>18</v>
      </c>
    </row>
    <row r="170">
      <c r="A170" t="inlineStr">
        <is>
          <t>Технічна специфікація</t>
        </is>
      </c>
      <c r="B170" s="5" t="n">
        <v>16</v>
      </c>
    </row>
    <row r="171">
      <c r="A171" t="inlineStr">
        <is>
          <t>Досвід / аналогічні договори</t>
        </is>
      </c>
      <c r="B171" s="5" t="n">
        <v>16</v>
      </c>
    </row>
    <row r="172">
      <c r="A172" t="inlineStr">
        <is>
          <t>Сертифікат / декларація відповідності</t>
        </is>
      </c>
      <c r="B172" s="5" t="n">
        <v>16</v>
      </c>
    </row>
    <row r="173">
      <c r="A173" t="inlineStr">
        <is>
          <t>Гарантія та сервіс</t>
        </is>
      </c>
      <c r="B173" s="5" t="n">
        <v>9</v>
      </c>
    </row>
    <row r="174">
      <c r="A174" t="inlineStr">
        <is>
          <t>Договір</t>
        </is>
      </c>
      <c r="B174" s="5" t="n">
        <v>8</v>
      </c>
    </row>
    <row r="175">
      <c r="A175" t="inlineStr">
        <is>
          <t>Пропозиція учасника</t>
        </is>
      </c>
      <c r="B175" s="5" t="n">
        <v>8</v>
      </c>
    </row>
    <row r="176">
      <c r="A176" t="inlineStr">
        <is>
          <t>Цінова пропозиція</t>
        </is>
      </c>
      <c r="B176" s="5" t="n">
        <v>2</v>
      </c>
    </row>
    <row r="178">
      <c r="A178" s="2" t="inlineStr">
        <is>
          <t>Зірвані перемоги</t>
        </is>
      </c>
    </row>
    <row r="179">
      <c r="A179" s="11" t="inlineStr">
        <is>
          <t>Закупівля</t>
        </is>
      </c>
      <c r="B179" s="11" t="inlineStr">
        <is>
          <t>Дата</t>
        </is>
      </c>
      <c r="C179" s="11" t="inlineStr">
        <is>
          <t>Замовник</t>
        </is>
      </c>
      <c r="D179" s="11" t="inlineStr">
        <is>
          <t>Сума, грн</t>
        </is>
      </c>
      <c r="E179" s="11" t="inlineStr">
        <is>
          <t>Причина</t>
        </is>
      </c>
      <c r="F179" s="11" t="inlineStr">
        <is>
          <t>Формулювання замовника</t>
        </is>
      </c>
    </row>
    <row r="180">
      <c r="A180" s="4" t="inlineStr">
        <is>
          <t>UA-2025-09-12-006819-a</t>
        </is>
      </c>
      <c r="B180" t="inlineStr">
        <is>
          <t>2025-10-01</t>
        </is>
      </c>
      <c r="C180" t="inlineStr">
        <is>
          <t>КНП "КОВЕЛЬСЬКИЙ ЦЕНТР ПЕРВИННОЇ МЕДИКО-САНІТАРНОЇ ДОПОМОГИ" КОВЕЛЬСЬКОЇ МІСЬКОЇ РАДИ ВОЛИНСЬКОЇ ОБЛАСТІ</t>
        </is>
      </c>
      <c r="D180" s="5" t="n">
        <v>374975</v>
      </c>
      <c r="E180" t="inlineStr">
        <is>
          <t>Недостовірна інформація</t>
        </is>
      </c>
      <c r="F180" t="inlineStr">
        <is>
          <t>зазначив у тендерній пропозиції недостовірну інформацію, що є суттєвою для визначення результатів відкритих торгів, яку замовником виявлено згідно з абзацом першим пункту 42 Особливостей;</t>
        </is>
      </c>
    </row>
    <row r="181">
      <c r="A181" s="4" t="inlineStr">
        <is>
          <t>UA-2025-11-14-015599-a</t>
        </is>
      </c>
      <c r="B181" t="inlineStr">
        <is>
          <t>2025-11-20</t>
        </is>
      </c>
      <c r="C181" t="inlineStr">
        <is>
          <t>ВІДОКРЕМЛЕНИЙ СТРУКТУРНИЙ ПІДРОЗДІЛ "ВОЛИНСЬКИЙ ФАХОВИЙ КОЛЕДЖ НАЦІОНАЛЬНОГО УНІВЕРСИТЕТУ ХАРЧОВИХ ТЕХНОЛОГІЙ"</t>
        </is>
      </c>
      <c r="D181" s="5" t="n">
        <v>320000</v>
      </c>
      <c r="E181" t="inlineStr">
        <is>
          <t>Відмова від договору</t>
        </is>
      </c>
      <c r="F181" t="inlineStr">
        <is>
          <t>Переможець письмово відмовився від укладання договору на умовах, визначених у запиті пропозицій постачальників</t>
        </is>
      </c>
    </row>
    <row r="182">
      <c r="A182" s="4" t="inlineStr">
        <is>
          <t>UA-2025-11-27-013291-a</t>
        </is>
      </c>
      <c r="B182" t="inlineStr">
        <is>
          <t>2025-12-10</t>
        </is>
      </c>
      <c r="C182" t="inlineStr">
        <is>
          <t>Департамент "Центр надання адміністративних послуг у місті Луцьку" Луцької міської ради</t>
        </is>
      </c>
      <c r="D182" s="5" t="n">
        <v>242000</v>
      </c>
      <c r="E182" t="inlineStr">
        <is>
          <t>Відмова від договору</t>
        </is>
      </c>
      <c r="F182" t="inlineStr">
        <is>
          <t>Переможець письмово відмовився від укладання договору на умовах, визначених у запиті пропозицій постачальників</t>
        </is>
      </c>
    </row>
    <row r="183">
      <c r="A183" s="4" t="inlineStr">
        <is>
          <t>UA-2026-02-19-010901-a</t>
        </is>
      </c>
      <c r="B183" t="inlineStr">
        <is>
          <t>2026-03-09</t>
        </is>
      </c>
      <c r="C183" t="inlineStr">
        <is>
          <t>Виконавчий комітет Луцької міської ради</t>
        </is>
      </c>
      <c r="D183" s="5" t="n">
        <v>218000</v>
      </c>
      <c r="E183" t="inlineStr">
        <is>
          <t>Не підписав договір у строк</t>
        </is>
      </c>
      <c r="F183" t="inlineStr">
        <is>
          <t>Переможець не підписав договір, на умовах, визначених замовником у запиті пропозицій постачальників шляхом заповнення електронних форм із окремими полями та у проекті договору, що є складовою частиною запиту пропозицій постачальників у строк, визначений пунктом 66 цього Порядку</t>
        </is>
      </c>
    </row>
    <row r="184">
      <c r="A184" s="4" t="inlineStr">
        <is>
          <t>UA-2026-04-17-005811-a</t>
        </is>
      </c>
      <c r="B184" t="inlineStr">
        <is>
          <t>2026-04-28</t>
        </is>
      </c>
      <c r="C184" t="inlineStr">
        <is>
          <t>Любомльська міська рада</t>
        </is>
      </c>
      <c r="D184" s="5" t="n">
        <v>108000</v>
      </c>
      <c r="E184" t="inlineStr">
        <is>
          <t>Відмова від договору</t>
        </is>
      </c>
      <c r="F184" t="inlineStr">
        <is>
          <t>Письмово відмовився від укладення договору на умовах, визначених замовником у запиті пропозицій постачальників, шляхом заповнення електронних форм з окремими полями та у проекті договору, що є складовою частиною запиту пропозицій постачальників</t>
        </is>
      </c>
    </row>
    <row r="185">
      <c r="A185" s="4" t="inlineStr">
        <is>
          <t>UA-2025-10-27-014765-a</t>
        </is>
      </c>
      <c r="B185" t="inlineStr">
        <is>
          <t>2025-11-17</t>
        </is>
      </c>
      <c r="C185" t="inlineStr">
        <is>
          <t>Виконавчий комітет Луцької міської ради</t>
        </is>
      </c>
      <c r="D185" s="5" t="n">
        <v>98000</v>
      </c>
      <c r="E185" t="inlineStr">
        <is>
          <t>Не підписав договір у строк</t>
        </is>
      </c>
      <c r="F185" t="inlineStr">
        <is>
          <t>Переможець не підписав договір у строк, визначений абзацом першим пункту 66 цього Порядку</t>
        </is>
      </c>
    </row>
    <row r="186">
      <c r="A186" s="4" t="inlineStr">
        <is>
          <t>UA-2025-09-23-001196-a</t>
        </is>
      </c>
      <c r="B186" t="inlineStr">
        <is>
          <t>2025-10-27</t>
        </is>
      </c>
      <c r="C186" t="inlineStr">
        <is>
          <t>Виконавчий комітет Луцької міської ради</t>
        </is>
      </c>
      <c r="D186" s="5" t="n">
        <v>96000</v>
      </c>
      <c r="E186" t="inlineStr">
        <is>
          <t>Відмова від договору</t>
        </is>
      </c>
      <c r="F186" t="inlineStr">
        <is>
          <t>Переможець письмово відмовився від укладання договору на умовах, визначених у запиті пропозицій постачальників</t>
        </is>
      </c>
    </row>
    <row r="187">
      <c r="A187" s="4" t="inlineStr">
        <is>
          <t>UA-2026-08-19-010837-a</t>
        </is>
      </c>
      <c r="B187" t="inlineStr">
        <is>
          <t>2026-08-26</t>
        </is>
      </c>
      <c r="C187" t="inlineStr">
        <is>
          <t>Любомльська міська рада</t>
        </is>
      </c>
      <c r="D187" s="5" t="n">
        <v>81000</v>
      </c>
      <c r="E187" t="inlineStr">
        <is>
          <t>Відмова від договору</t>
        </is>
      </c>
      <c r="F187" t="inlineStr">
        <is>
          <t>Письмово відмовився від укладення договору на умовах, визначених замовником у запиті пропозицій постачальників, шляхом заповнення електронних форм з окремими полями та у проекті договору, що є складовою частиною запиту пропозицій постачальників</t>
        </is>
      </c>
    </row>
    <row r="188">
      <c r="A188" s="4" t="inlineStr">
        <is>
          <t>UA-2026-01-27-008052-a</t>
        </is>
      </c>
      <c r="B188" t="inlineStr">
        <is>
          <t>2026-02-02</t>
        </is>
      </c>
      <c r="C188" t="inlineStr">
        <is>
          <t>Виконавчий комітет Ратнівської селищної ради</t>
        </is>
      </c>
      <c r="D188" s="5" t="n">
        <v>80700</v>
      </c>
      <c r="E188" t="inlineStr">
        <is>
          <t>Відмова від договору</t>
        </is>
      </c>
      <c r="F188" t="inlineStr">
        <is>
          <t>Переможець письмово відмовився від укладення договору на умовах, визначених замовником у запиті пропозицій постачальників, шляхом заповнення електронних форм з окремими полями та у проекті договору, що є складовою частиною запиту пропозицій постачальників</t>
        </is>
      </c>
    </row>
    <row r="189">
      <c r="A189" s="4" t="inlineStr">
        <is>
          <t>UA-2025-11-21-016116-a</t>
        </is>
      </c>
      <c r="B189" t="inlineStr">
        <is>
          <t>2025-12-02</t>
        </is>
      </c>
      <c r="C189" t="inlineStr">
        <is>
          <t>Старовижівський професійний ліцей</t>
        </is>
      </c>
      <c r="D189" s="5" t="n">
        <v>64000</v>
      </c>
      <c r="E189" t="inlineStr">
        <is>
          <t>Відмова від договору</t>
        </is>
      </c>
      <c r="F189" t="inlineStr">
        <is>
          <t>Переможець письмово відмовився від укладання договору на умовах, визначених у запиті пропозицій постачальників</t>
        </is>
      </c>
    </row>
    <row r="190">
      <c r="A190" s="4" t="inlineStr">
        <is>
          <t>UA-2025-11-14-014735-a</t>
        </is>
      </c>
      <c r="B190" t="inlineStr">
        <is>
          <t>2025-11-20</t>
        </is>
      </c>
      <c r="C190" t="inlineStr">
        <is>
          <t>ВІЙСЬКОВА ЧАСТИНА 1141 НАЦІОНАЛЬНОЇ ГВАРДІЇ УКРАЇНИ</t>
        </is>
      </c>
      <c r="D190" s="5" t="n">
        <v>52000</v>
      </c>
      <c r="E190" t="inlineStr">
        <is>
          <t>Відмова від договору</t>
        </is>
      </c>
      <c r="F190" t="inlineStr">
        <is>
          <t>Переможець письмово відмовився від укладання договору на умовах, визначених у запиті пропозицій постачальників</t>
        </is>
      </c>
    </row>
    <row r="191">
      <c r="A191" s="4" t="inlineStr">
        <is>
          <t>UA-2025-11-03-001599-a</t>
        </is>
      </c>
      <c r="B191" t="inlineStr">
        <is>
          <t>2025-11-17</t>
        </is>
      </c>
      <c r="C191" t="inlineStr">
        <is>
          <t>НМЦ ЦЗ та БЖД Волинської області</t>
        </is>
      </c>
      <c r="D191" s="5" t="n">
        <v>36000</v>
      </c>
      <c r="E191" t="inlineStr">
        <is>
          <t>Недостовірна інформація</t>
        </is>
      </c>
      <c r="F191" t="inlineStr">
        <is>
          <t>зазначив у тендерній пропозиції недостовірну інформацію, що є суттєвою для визначення результатів відкритих торгів, яку замовником виявлено згідно з абзацом першим пункту 42 Особливостей;. не виправив виявлені після розкриття нев-ей в інф. та/або документах, що подані ним, та/або змінив предмет заку</t>
        </is>
      </c>
    </row>
    <row r="192">
      <c r="A192" s="4" t="inlineStr">
        <is>
          <t>UA-2026-06-09-010646-a</t>
        </is>
      </c>
      <c r="B192" t="inlineStr">
        <is>
          <t>2026-06-18</t>
        </is>
      </c>
      <c r="C192" t="inlineStr">
        <is>
          <t>Любомльська міська рада</t>
        </is>
      </c>
      <c r="D192" s="5" t="n">
        <v>31500</v>
      </c>
      <c r="E192" t="inlineStr">
        <is>
          <t>Відмова від договору</t>
        </is>
      </c>
      <c r="F192" t="inlineStr">
        <is>
          <t>Письмово відмовився від укладення договору на умовах, визначених замовником у запиті пропозицій постачальників, шляхом заповнення електронних форм з окремими полями та у проекті договору, що є складовою частиною запиту пропозицій постачальників</t>
        </is>
      </c>
    </row>
    <row r="193">
      <c r="A193" s="4" t="inlineStr">
        <is>
          <t>UA-2026-03-04-010049-a</t>
        </is>
      </c>
      <c r="B193" t="inlineStr">
        <is>
          <t>2026-03-13</t>
        </is>
      </c>
      <c r="C193" t="inlineStr">
        <is>
          <t>КП ""Луцькводоканал""</t>
        </is>
      </c>
      <c r="D193" s="5" t="n">
        <v>27000</v>
      </c>
      <c r="E193" t="inlineStr">
        <is>
          <t>Відмова від договору</t>
        </is>
      </c>
      <c r="F193" t="inlineStr">
        <is>
          <t>письмово відмовився від укладення договору на умовах, визначених замовником у запиті пропозицій постачальників, шляхом заповнення електронних форм з окремими полями та у проекті договору, що є складовою частиною запиту пропозицій постачальників.</t>
        </is>
      </c>
    </row>
    <row r="194">
      <c r="A194" s="4" t="inlineStr">
        <is>
          <t>UA-2025-11-21-015712-a</t>
        </is>
      </c>
      <c r="B194" t="inlineStr">
        <is>
          <t>2025-12-02</t>
        </is>
      </c>
      <c r="C194" t="inlineStr">
        <is>
          <t>ЛЮБЛИНЕЦЬКИЙ ЛІЦЕЙ ВОЛИНСЬКОЇ ОБЛАСНОЇ РАДИ</t>
        </is>
      </c>
      <c r="D194" s="5" t="n">
        <v>25000</v>
      </c>
      <c r="E194" t="inlineStr">
        <is>
          <t>Відмова від договору</t>
        </is>
      </c>
      <c r="F194" t="inlineStr">
        <is>
          <t>письмово відмовився від укладання договору на умовах, визначених у запиті пропозицій постачальників</t>
        </is>
      </c>
    </row>
    <row r="195">
      <c r="A195" s="4" t="inlineStr">
        <is>
          <t>UA-2026-01-27-018088-a</t>
        </is>
      </c>
      <c r="B195" t="inlineStr">
        <is>
          <t>2026-02-03</t>
        </is>
      </c>
      <c r="C195" t="inlineStr">
        <is>
          <t>ВІЙСЬКОВА ЧАСТИНА 1141 НАЦІОНАЛЬНОЇ ГВАРДІЇ УКРАЇНИ</t>
        </is>
      </c>
      <c r="D195" s="5" t="n">
        <v>24000</v>
      </c>
      <c r="E195" t="inlineStr">
        <is>
          <t>Відмова від договору</t>
        </is>
      </c>
      <c r="F195" t="inlineStr">
        <is>
          <t>Переможець письмово відмовився від укладення договору на умовах, визначених замовником у запиті пропозицій постачальників, шляхом заповнення електронних форм з окремими полями та у проекті договору, що є складовою частиною запиту пропозицій постачальників</t>
        </is>
      </c>
    </row>
    <row r="196">
      <c r="A196" s="4" t="inlineStr">
        <is>
          <t>UA-2025-10-10-006331-a</t>
        </is>
      </c>
      <c r="B196" t="inlineStr">
        <is>
          <t>2025-10-28</t>
        </is>
      </c>
      <c r="C196" t="inlineStr">
        <is>
          <t>ЛЮБЛИНЕЦЬКИЙ ЛІЦЕЙ ВОЛИНСЬКОЇ ОБЛАСНОЇ РАДИ</t>
        </is>
      </c>
      <c r="D196" s="5" t="n">
        <v>24000</v>
      </c>
      <c r="E196" t="inlineStr">
        <is>
          <t>Не підписав договір у строк</t>
        </is>
      </c>
      <c r="F196" t="inlineStr">
        <is>
          <t>не підписав договір у строк, визначений абзацом першим пункту 66 цього Порядку</t>
        </is>
      </c>
    </row>
    <row r="197">
      <c r="A197" s="4" t="inlineStr">
        <is>
          <t>UA-2026-05-27-000085-a</t>
        </is>
      </c>
      <c r="B197" t="inlineStr">
        <is>
          <t>2026-06-10</t>
        </is>
      </c>
      <c r="C197" t="inlineStr">
        <is>
          <t>ВІЙСЬКОВА ЧАСТИНА 1141 НАЦІОНАЛЬНОЇ ГВАРДІЇ УКРАЇНИ</t>
        </is>
      </c>
      <c r="D197" s="5" t="n">
        <v>23500</v>
      </c>
      <c r="E197" t="inlineStr">
        <is>
          <t>Невідповідність вимогам документації</t>
        </is>
      </c>
      <c r="F197" t="inlineStr">
        <is>
          <t>Пропозиція учасника не відповідає умовам, визначеним в оголошенні про проведення спрощеної закупівлі, та вимогам до предмета закупівлі</t>
        </is>
      </c>
    </row>
    <row r="198">
      <c r="A198" s="4" t="inlineStr">
        <is>
          <t>UA-2026-06-16-008359-a</t>
        </is>
      </c>
      <c r="B198" t="inlineStr">
        <is>
          <t>2026-06-30</t>
        </is>
      </c>
      <c r="C198" t="inlineStr">
        <is>
          <t>ВІЙСЬКОВА ЧАСТИНА 1141 НАЦІОНАЛЬНОЇ ГВАРДІЇ УКРАЇНИ</t>
        </is>
      </c>
      <c r="D198" s="5" t="n">
        <v>21600</v>
      </c>
      <c r="E198" t="inlineStr">
        <is>
          <t>Невідповідність вимогам документації</t>
        </is>
      </c>
      <c r="F198" t="inlineStr">
        <is>
          <t>Пропозиція учасника не відповідає умовам, визначеним в оголошенні про проведення спрощеної закупівлі, та вимогам до предмета закупівлі</t>
        </is>
      </c>
    </row>
    <row r="199">
      <c r="A199" s="4" t="inlineStr">
        <is>
          <t>UA-2025-09-09-008091-a</t>
        </is>
      </c>
      <c r="B199" t="inlineStr">
        <is>
          <t>2025-09-22</t>
        </is>
      </c>
      <c r="C199" t="inlineStr">
        <is>
          <t>Квартирно - експлуатаційний відділ м. Володимир</t>
        </is>
      </c>
      <c r="D199" s="5" t="n">
        <v>14900</v>
      </c>
      <c r="E199" t="inlineStr">
        <is>
          <t>Не підписав договір у строк</t>
        </is>
      </c>
      <c r="F199" t="inlineStr">
        <is>
          <t>Переможець не підписав договір у строк, визначений абзацом першим пункту 66 цього Порядку</t>
        </is>
      </c>
    </row>
    <row r="200">
      <c r="A200" s="4" t="inlineStr">
        <is>
          <t>UA-2025-10-27-015405-a</t>
        </is>
      </c>
      <c r="B200" t="inlineStr">
        <is>
          <t>2025-11-05</t>
        </is>
      </c>
      <c r="C200" t="inlineStr">
        <is>
          <t>Департамент житлово-комунального господарства Луцької міської ради</t>
        </is>
      </c>
      <c r="D200" s="5" t="n">
        <v>14000</v>
      </c>
      <c r="E200" t="inlineStr">
        <is>
          <t>Відмова від договору</t>
        </is>
      </c>
      <c r="F200" t="inlineStr">
        <is>
          <t>Переможець письмово відмовився від укладання договору на умовах, визначених у запиті пропозицій постачальників</t>
        </is>
      </c>
    </row>
    <row r="202">
      <c r="A202" s="2" t="inlineStr">
        <is>
          <t>Угоди</t>
        </is>
      </c>
    </row>
    <row r="203">
      <c r="A203" s="11" t="inlineStr">
        <is>
          <t>Закупівля</t>
        </is>
      </c>
      <c r="B203" s="11" t="inlineStr">
        <is>
          <t>Дата</t>
        </is>
      </c>
      <c r="C203" s="11" t="inlineStr">
        <is>
          <t>Замовник</t>
        </is>
      </c>
      <c r="D203" s="11" t="inlineStr">
        <is>
          <t>Регіон</t>
        </is>
      </c>
      <c r="E203" s="11" t="inlineStr">
        <is>
          <t>Сума, грн</t>
        </is>
      </c>
      <c r="F203" s="11" t="inlineStr">
        <is>
          <t>Очікувана, грн</t>
        </is>
      </c>
      <c r="G203" s="11" t="inlineStr">
        <is>
          <t>Процедура</t>
        </is>
      </c>
      <c r="H203" s="11" t="inlineStr">
        <is>
          <t>Галузь</t>
        </is>
      </c>
      <c r="I203" s="11" t="inlineStr">
        <is>
          <t>Джерело</t>
        </is>
      </c>
    </row>
    <row r="204">
      <c r="A204" s="4" t="inlineStr">
        <is>
          <t>UA-2026-03-24-014217-a</t>
        </is>
      </c>
      <c r="B204" t="inlineStr">
        <is>
          <t>2026-04-02</t>
        </is>
      </c>
      <c r="C204" t="inlineStr">
        <is>
          <t>ВИКОНАВЧИЙ КОМІТЕТ НОВОВОЛИНСЬКОЇ МІСЬКОЇ РАДИ</t>
        </is>
      </c>
      <c r="D204" t="inlineStr">
        <is>
          <t>Волинська область</t>
        </is>
      </c>
      <c r="E204" s="5" t="n">
        <v>327000</v>
      </c>
      <c r="F204" s="13" t="n">
        <v>365000</v>
      </c>
      <c r="G204" t="inlineStr">
        <is>
          <t>Запит пропозицій</t>
        </is>
      </c>
      <c r="H204" t="inlineStr">
        <is>
          <t>Машини для обробки даних (апаратна частина)</t>
        </is>
      </c>
      <c r="I204" t="inlineStr">
        <is>
          <t>договір</t>
        </is>
      </c>
    </row>
    <row r="205">
      <c r="A205" s="4" t="inlineStr">
        <is>
          <t>UA-2025-12-09-006191-a</t>
        </is>
      </c>
      <c r="B205" t="inlineStr">
        <is>
          <t>2025-12-15</t>
        </is>
      </c>
      <c r="C205" t="inlineStr">
        <is>
          <t>Вишнівська сільська рада</t>
        </is>
      </c>
      <c r="D205" t="inlineStr">
        <is>
          <t>Волинська область</t>
        </is>
      </c>
      <c r="E205" s="5" t="n">
        <v>156000</v>
      </c>
      <c r="F205" s="13" t="n">
        <v>168000</v>
      </c>
      <c r="G205" t="inlineStr">
        <is>
          <t>Запит пропозицій</t>
        </is>
      </c>
      <c r="H205" t="inlineStr">
        <is>
          <t>Машини для обробки даних (апаратна частина)</t>
        </is>
      </c>
      <c r="I205" t="inlineStr">
        <is>
          <t>договір</t>
        </is>
      </c>
    </row>
    <row r="206">
      <c r="A206" s="4" t="inlineStr">
        <is>
          <t>UA-2025-10-28-014986-a</t>
        </is>
      </c>
      <c r="B206" t="inlineStr">
        <is>
          <t>2025-12-01</t>
        </is>
      </c>
      <c r="C206" t="inlineStr">
        <is>
          <t>Виконавчий комітет Луцької міської ради</t>
        </is>
      </c>
      <c r="D206" t="inlineStr">
        <is>
          <t>Волинська область</t>
        </is>
      </c>
      <c r="E206" s="5" t="n">
        <v>119800</v>
      </c>
      <c r="F206" s="13" t="n">
        <v>320000</v>
      </c>
      <c r="G206" t="inlineStr">
        <is>
          <t>Відкриті торги (нові)</t>
        </is>
      </c>
      <c r="H206" t="inlineStr">
        <is>
          <t>Машини для обробки даних (апаратна частина)</t>
        </is>
      </c>
      <c r="I206" t="inlineStr">
        <is>
          <t>договір</t>
        </is>
      </c>
    </row>
    <row r="207">
      <c r="A207" s="4" t="inlineStr">
        <is>
          <t>UA-2026-08-21-010634-a</t>
        </is>
      </c>
      <c r="B207" t="inlineStr">
        <is>
          <t>2026-08-31</t>
        </is>
      </c>
      <c r="C207" t="inlineStr">
        <is>
          <t>КАМІНЬ-КАШИРСЬКА МІСЬКА РАДА</t>
        </is>
      </c>
      <c r="D207" t="inlineStr">
        <is>
          <t>Волинська область</t>
        </is>
      </c>
      <c r="E207" s="5" t="n">
        <v>105000</v>
      </c>
      <c r="F207" s="13" t="n">
        <v>107955.83</v>
      </c>
      <c r="G207" t="inlineStr">
        <is>
          <t>Відкриті торги (нові)</t>
        </is>
      </c>
      <c r="H207" t="inlineStr">
        <is>
          <t>Машини для обробки даних (апаратна частина)</t>
        </is>
      </c>
      <c r="I207" t="inlineStr">
        <is>
          <t>рішення про переможця</t>
        </is>
      </c>
    </row>
    <row r="208">
      <c r="A208" s="4" t="inlineStr">
        <is>
          <t>UA-2025-12-09-020374-a</t>
        </is>
      </c>
      <c r="B208" t="inlineStr">
        <is>
          <t>2025-12-16</t>
        </is>
      </c>
      <c r="C208" t="inlineStr">
        <is>
          <t>ВІДДІЛ ОСВІТИ, МОЛОДІ ТА СПОРТУ МАНЕВИЦЬКОЇ СЕЛИЩНОЇ РАДИ</t>
        </is>
      </c>
      <c r="D208" t="inlineStr">
        <is>
          <t>Волинська область</t>
        </is>
      </c>
      <c r="E208" s="5" t="n">
        <v>99600</v>
      </c>
      <c r="F208" s="13" t="n">
        <v>100000</v>
      </c>
      <c r="G208" t="inlineStr">
        <is>
          <t>Запит пропозицій</t>
        </is>
      </c>
      <c r="H208" t="inlineStr">
        <is>
          <t>Машини для обробки даних (апаратна частина)</t>
        </is>
      </c>
      <c r="I208" t="inlineStr">
        <is>
          <t>договір</t>
        </is>
      </c>
    </row>
    <row r="209">
      <c r="A209" s="4" t="inlineStr">
        <is>
          <t>UA-2025-09-10-011386-a</t>
        </is>
      </c>
      <c r="B209" t="inlineStr">
        <is>
          <t>2025-09-15</t>
        </is>
      </c>
      <c r="C209" t="inlineStr">
        <is>
          <t>Виконавчий комітет Луцької міської ради</t>
        </is>
      </c>
      <c r="D209" t="inlineStr">
        <is>
          <t>Волинська область</t>
        </is>
      </c>
      <c r="E209" s="5" t="n">
        <v>57000</v>
      </c>
      <c r="F209" s="13" t="n">
        <v>60000</v>
      </c>
      <c r="G209" t="inlineStr">
        <is>
          <t>Запит пропозицій</t>
        </is>
      </c>
      <c r="H209" t="inlineStr">
        <is>
          <t>Машини для обробки даних (апаратна частина)</t>
        </is>
      </c>
      <c r="I209" t="inlineStr">
        <is>
          <t>рішення про переможця</t>
        </is>
      </c>
    </row>
    <row r="210">
      <c r="A210" s="4" t="inlineStr">
        <is>
          <t>UA-2026-08-21-002218-a</t>
        </is>
      </c>
      <c r="B210" t="inlineStr">
        <is>
          <t>2026-08-28</t>
        </is>
      </c>
      <c r="C210" t="inlineStr">
        <is>
          <t>УПРАВЛІННЯ ГУМАНІТАРНОЇ ПОЛІТИКИ ЛЮБЕШІВСЬКОЇ СЕЛИЩНОЇ РАДИ</t>
        </is>
      </c>
      <c r="D210" t="inlineStr">
        <is>
          <t>Волинська область</t>
        </is>
      </c>
      <c r="E210" s="5" t="n">
        <v>38400</v>
      </c>
      <c r="F210" s="13" t="n">
        <v>33333.33</v>
      </c>
      <c r="G210" t="inlineStr">
        <is>
          <t>Запит пропозицій</t>
        </is>
      </c>
      <c r="H210" t="inlineStr">
        <is>
          <t>Машини для обробки даних (апаратна частина)</t>
        </is>
      </c>
      <c r="I210" t="inlineStr">
        <is>
          <t>договір</t>
        </is>
      </c>
    </row>
    <row r="211">
      <c r="A211" s="4" t="inlineStr">
        <is>
          <t>UA-2025-10-28-014986-a</t>
        </is>
      </c>
      <c r="B211" t="inlineStr">
        <is>
          <t>2025-12-01</t>
        </is>
      </c>
      <c r="C211" t="inlineStr">
        <is>
          <t>Виконавчий комітет Луцької міської ради</t>
        </is>
      </c>
      <c r="D211" t="inlineStr">
        <is>
          <t>Волинська область</t>
        </is>
      </c>
      <c r="E211" s="5" t="n">
        <v>27600</v>
      </c>
      <c r="F211" s="13" t="n">
        <v>320000</v>
      </c>
      <c r="G211" t="inlineStr">
        <is>
          <t>Відкриті торги (нові)</t>
        </is>
      </c>
      <c r="H211" t="inlineStr">
        <is>
          <t>Машини для обробки даних (апаратна частина)</t>
        </is>
      </c>
      <c r="I211" t="inlineStr">
        <is>
          <t>договір</t>
        </is>
      </c>
    </row>
    <row r="212">
      <c r="A212" s="4" t="inlineStr">
        <is>
          <t>UA-2025-10-15-013167-a</t>
        </is>
      </c>
      <c r="B212" t="inlineStr">
        <is>
          <t>2025-10-23</t>
        </is>
      </c>
      <c r="C212" t="inlineStr">
        <is>
          <t>Управління гуманітарної сфери виконавчого комітету Люблинецької селищної ради</t>
        </is>
      </c>
      <c r="D212" t="inlineStr">
        <is>
          <t>Волинська область</t>
        </is>
      </c>
      <c r="E212" s="5" t="n">
        <v>16300</v>
      </c>
      <c r="F212" s="13" t="n">
        <v>17000</v>
      </c>
      <c r="G212" t="inlineStr">
        <is>
          <t>Запит пропозицій</t>
        </is>
      </c>
      <c r="H212" t="inlineStr">
        <is>
          <t>Машини для обробки даних (апаратна частина)</t>
        </is>
      </c>
      <c r="I212" t="inlineStr">
        <is>
          <t>договір</t>
        </is>
      </c>
    </row>
    <row r="214">
      <c r="A214" s="2" t="inlineStr">
        <is>
          <t>Наші зустрічі</t>
        </is>
      </c>
    </row>
    <row r="215">
      <c r="A215" s="11" t="inlineStr">
        <is>
          <t>Закупівля</t>
        </is>
      </c>
      <c r="B215" s="11" t="inlineStr">
        <is>
          <t>Дата</t>
        </is>
      </c>
      <c r="C215" s="11" t="inlineStr">
        <is>
          <t>Замовник</t>
        </is>
      </c>
      <c r="D215" s="11" t="inlineStr">
        <is>
          <t>Предмет</t>
        </is>
      </c>
      <c r="E215" s="11" t="inlineStr">
        <is>
          <t>Сума переможця, грн</t>
        </is>
      </c>
      <c r="F215" s="11" t="inlineStr">
        <is>
          <t>Наша пропозиція, грн</t>
        </is>
      </c>
      <c r="G215" s="11" t="inlineStr">
        <is>
          <t>Розрив</t>
        </is>
      </c>
      <c r="H215" s="11" t="inlineStr">
        <is>
          <t>Що сталося</t>
        </is>
      </c>
    </row>
    <row r="216">
      <c r="A216" s="4" t="inlineStr">
        <is>
          <t>UA-2026-03-24-014217-a</t>
        </is>
      </c>
      <c r="B216" t="inlineStr">
        <is>
          <t>2026-03-24</t>
        </is>
      </c>
      <c r="C216" t="inlineStr">
        <is>
          <t>ВИКОНАВЧИЙ КОМІТЕТ НОВОВОЛИНСЬКОЇ МІСЬКОЇ РАДИ</t>
        </is>
      </c>
      <c r="D216" t="inlineStr">
        <is>
          <t>Комп'ютерна техніка</t>
        </is>
      </c>
      <c r="E216" s="5" t="n">
        <v>327000</v>
      </c>
      <c r="H216" t="inlineStr">
        <is>
          <t>ми не подавалися</t>
        </is>
      </c>
    </row>
    <row r="217">
      <c r="A217" s="4" t="inlineStr">
        <is>
          <t>UA-2025-12-09-006191-a</t>
        </is>
      </c>
      <c r="B217" t="inlineStr">
        <is>
          <t>2025-12-09</t>
        </is>
      </c>
      <c r="C217" t="inlineStr">
        <is>
          <t>Вишнівська сільська рада</t>
        </is>
      </c>
      <c r="D217" t="inlineStr">
        <is>
          <t>Ноутбуки з характеристиками ( Процесор Восьмиядерний Intel Core i5-12450H (3.3 -</t>
        </is>
      </c>
      <c r="E217" s="5" t="n">
        <v>156000</v>
      </c>
      <c r="H217" t="inlineStr">
        <is>
          <t>ми не подавалися</t>
        </is>
      </c>
    </row>
    <row r="218">
      <c r="A218" s="4" t="inlineStr">
        <is>
          <t>UA-2026-08-21-010634-a</t>
        </is>
      </c>
      <c r="B218" t="inlineStr">
        <is>
          <t>2026-08-21</t>
        </is>
      </c>
      <c r="C218" t="inlineStr">
        <is>
          <t>КАМІНЬ-КАШИРСЬКА МІСЬКА РАДА</t>
        </is>
      </c>
      <c r="D218" t="inlineStr">
        <is>
          <t>Ноутбук</t>
        </is>
      </c>
      <c r="E218" s="5" t="n">
        <v>105000</v>
      </c>
      <c r="H218" t="inlineStr">
        <is>
          <t>ми не подавалися</t>
        </is>
      </c>
    </row>
    <row r="219">
      <c r="A219" s="4" t="inlineStr">
        <is>
          <t>UA-2025-12-09-020374-a</t>
        </is>
      </c>
      <c r="B219" t="inlineStr">
        <is>
          <t>2025-12-09</t>
        </is>
      </c>
      <c r="C219" t="inlineStr">
        <is>
          <t>ВІДДІЛ ОСВІТИ, МОЛОДІ ТА СПОРТУ МАНЕВИЦЬКОЇ СЕЛИЩНОЇ РАДИ</t>
        </is>
      </c>
      <c r="D219" t="inlineStr">
        <is>
          <t>Ноутбуки</t>
        </is>
      </c>
      <c r="E219" s="5" t="n">
        <v>99600</v>
      </c>
      <c r="H219" t="inlineStr">
        <is>
          <t>ми не подавалися</t>
        </is>
      </c>
    </row>
    <row r="220">
      <c r="A220" s="4" t="inlineStr">
        <is>
          <t>UA-2025-09-10-011386-a</t>
        </is>
      </c>
      <c r="B220" t="inlineStr">
        <is>
          <t>2025-09-10</t>
        </is>
      </c>
      <c r="C220" t="inlineStr">
        <is>
          <t>Виконавчий комітет Луцької міської ради</t>
        </is>
      </c>
      <c r="D220" t="inlineStr">
        <is>
          <t>Ноутбуки Lenovo ThinkBook 15 G4 IAP</t>
        </is>
      </c>
      <c r="E220" s="5" t="n">
        <v>57000</v>
      </c>
      <c r="H220" t="inlineStr">
        <is>
          <t>ми не подавалися</t>
        </is>
      </c>
    </row>
    <row r="221">
      <c r="A221" s="4" t="inlineStr">
        <is>
          <t>UA-2026-08-21-002218-a</t>
        </is>
      </c>
      <c r="B221" t="inlineStr">
        <is>
          <t>2026-08-21</t>
        </is>
      </c>
      <c r="C221" t="inlineStr">
        <is>
          <t>УПРАВЛІННЯ ГУМАНІТАРНОЇ ПОЛІТИКИ ЛЮБЕШІВСЬКОЇ СЕЛИЩНОЇ РАДИ</t>
        </is>
      </c>
      <c r="D221" t="inlineStr">
        <is>
          <t>Системний блок</t>
        </is>
      </c>
      <c r="E221" s="5" t="n">
        <v>32000</v>
      </c>
      <c r="H221" t="inlineStr">
        <is>
          <t>ми не подавалися</t>
        </is>
      </c>
    </row>
    <row r="222">
      <c r="A222" s="4" t="inlineStr">
        <is>
          <t>UA-2025-10-28-014986-a</t>
        </is>
      </c>
      <c r="B222" t="inlineStr">
        <is>
          <t>2025-10-28</t>
        </is>
      </c>
      <c r="C222" t="inlineStr">
        <is>
          <t>Виконавчий комітет Луцької міської ради</t>
        </is>
      </c>
      <c r="D222" t="inlineStr">
        <is>
          <t>Персональні комп’ютери Лот 1 Персональні комп'ютери Лот 2 Персональні комп'ютери</t>
        </is>
      </c>
      <c r="E222" s="5" t="n">
        <v>27600</v>
      </c>
      <c r="H222" t="inlineStr">
        <is>
          <t>ми не подавалися</t>
        </is>
      </c>
    </row>
    <row r="223">
      <c r="A223" s="4" t="inlineStr">
        <is>
          <t>UA-2025-10-15-013167-a</t>
        </is>
      </c>
      <c r="B223" t="inlineStr">
        <is>
          <t>2025-10-15</t>
        </is>
      </c>
      <c r="C223" t="inlineStr">
        <is>
          <t>Управління гуманітарної сфери виконавчого комітету Люблинецької селищної ради</t>
        </is>
      </c>
      <c r="D223" t="inlineStr">
        <is>
          <t>30210000-4 Машини для обробки даних (апаратна частина)</t>
        </is>
      </c>
      <c r="E223" s="5" t="n">
        <v>16300</v>
      </c>
      <c r="H223" t="inlineStr">
        <is>
          <t>ми не подавалися</t>
        </is>
      </c>
    </row>
    <row r="225">
      <c r="A225" s="8" t="inlineStr">
        <is>
          <t>Сильні сторони</t>
        </is>
      </c>
    </row>
    <row r="226">
      <c r="A226" t="inlineStr">
        <is>
          <t>+  портфель дистрибуції: 11 ТМ</t>
        </is>
      </c>
    </row>
    <row r="227">
      <c r="A227" t="inlineStr">
        <is>
          <t>+  наявність сертифікатів (16 файлів)</t>
        </is>
      </c>
    </row>
    <row r="228">
      <c r="A228" t="inlineStr">
        <is>
          <t>+  авторизація виробника (18 листів)</t>
        </is>
      </c>
    </row>
    <row r="229">
      <c r="A229" t="inlineStr">
        <is>
          <t>+  зростання (229% у другій половині періоду)</t>
        </is>
      </c>
    </row>
    <row r="230">
      <c r="A230" t="inlineStr">
        <is>
          <t>+  уміє вигравати у відкритих торгах</t>
        </is>
      </c>
    </row>
    <row r="231">
      <c r="A231" t="inlineStr">
        <is>
          <t>+  працює з великими контрактами</t>
        </is>
      </c>
    </row>
    <row r="233">
      <c r="A233" s="8" t="inlineStr">
        <is>
          <t>Слабкі сторони</t>
        </is>
      </c>
    </row>
    <row r="234">
      <c r="A234" t="inlineStr">
        <is>
          <t>−  слабка цінова позиція: дисконт 5,0% проти 8,3% по ринку</t>
        </is>
      </c>
    </row>
    <row r="235">
      <c r="A235" t="inlineStr">
        <is>
          <t>−  низька результативність на торгах (9,6%)</t>
        </is>
      </c>
    </row>
  </sheetData>
  <hyperlinks>
    <hyperlink xmlns:r="http://schemas.openxmlformats.org/officeDocument/2006/relationships" ref="A180" r:id="rId1"/>
    <hyperlink xmlns:r="http://schemas.openxmlformats.org/officeDocument/2006/relationships" ref="A181" r:id="rId2"/>
    <hyperlink xmlns:r="http://schemas.openxmlformats.org/officeDocument/2006/relationships" ref="A182" r:id="rId3"/>
    <hyperlink xmlns:r="http://schemas.openxmlformats.org/officeDocument/2006/relationships" ref="A183" r:id="rId4"/>
    <hyperlink xmlns:r="http://schemas.openxmlformats.org/officeDocument/2006/relationships" ref="A184" r:id="rId5"/>
    <hyperlink xmlns:r="http://schemas.openxmlformats.org/officeDocument/2006/relationships" ref="A185" r:id="rId6"/>
    <hyperlink xmlns:r="http://schemas.openxmlformats.org/officeDocument/2006/relationships" ref="A186" r:id="rId7"/>
    <hyperlink xmlns:r="http://schemas.openxmlformats.org/officeDocument/2006/relationships" ref="A187" r:id="rId8"/>
    <hyperlink xmlns:r="http://schemas.openxmlformats.org/officeDocument/2006/relationships" ref="A188" r:id="rId9"/>
    <hyperlink xmlns:r="http://schemas.openxmlformats.org/officeDocument/2006/relationships" ref="A189" r:id="rId10"/>
    <hyperlink xmlns:r="http://schemas.openxmlformats.org/officeDocument/2006/relationships" ref="A190" r:id="rId11"/>
    <hyperlink xmlns:r="http://schemas.openxmlformats.org/officeDocument/2006/relationships" ref="A191" r:id="rId12"/>
    <hyperlink xmlns:r="http://schemas.openxmlformats.org/officeDocument/2006/relationships" ref="A192" r:id="rId13"/>
    <hyperlink xmlns:r="http://schemas.openxmlformats.org/officeDocument/2006/relationships" ref="A193" r:id="rId14"/>
    <hyperlink xmlns:r="http://schemas.openxmlformats.org/officeDocument/2006/relationships" ref="A194" r:id="rId15"/>
    <hyperlink xmlns:r="http://schemas.openxmlformats.org/officeDocument/2006/relationships" ref="A195" r:id="rId16"/>
    <hyperlink xmlns:r="http://schemas.openxmlformats.org/officeDocument/2006/relationships" ref="A196" r:id="rId17"/>
    <hyperlink xmlns:r="http://schemas.openxmlformats.org/officeDocument/2006/relationships" ref="A197" r:id="rId18"/>
    <hyperlink xmlns:r="http://schemas.openxmlformats.org/officeDocument/2006/relationships" ref="A198" r:id="rId19"/>
    <hyperlink xmlns:r="http://schemas.openxmlformats.org/officeDocument/2006/relationships" ref="A199" r:id="rId20"/>
    <hyperlink xmlns:r="http://schemas.openxmlformats.org/officeDocument/2006/relationships" ref="A200" r:id="rId21"/>
    <hyperlink xmlns:r="http://schemas.openxmlformats.org/officeDocument/2006/relationships" ref="A204" r:id="rId22"/>
    <hyperlink xmlns:r="http://schemas.openxmlformats.org/officeDocument/2006/relationships" ref="A205" r:id="rId23"/>
    <hyperlink xmlns:r="http://schemas.openxmlformats.org/officeDocument/2006/relationships" ref="A206" r:id="rId24"/>
    <hyperlink xmlns:r="http://schemas.openxmlformats.org/officeDocument/2006/relationships" ref="A207" r:id="rId25"/>
    <hyperlink xmlns:r="http://schemas.openxmlformats.org/officeDocument/2006/relationships" ref="A208" r:id="rId26"/>
    <hyperlink xmlns:r="http://schemas.openxmlformats.org/officeDocument/2006/relationships" ref="A209" r:id="rId27"/>
    <hyperlink xmlns:r="http://schemas.openxmlformats.org/officeDocument/2006/relationships" ref="A210" r:id="rId28"/>
    <hyperlink xmlns:r="http://schemas.openxmlformats.org/officeDocument/2006/relationships" ref="A211" r:id="rId29"/>
    <hyperlink xmlns:r="http://schemas.openxmlformats.org/officeDocument/2006/relationships" ref="A212" r:id="rId30"/>
    <hyperlink xmlns:r="http://schemas.openxmlformats.org/officeDocument/2006/relationships" ref="A216" r:id="rId31"/>
    <hyperlink xmlns:r="http://schemas.openxmlformats.org/officeDocument/2006/relationships" ref="A217" r:id="rId32"/>
    <hyperlink xmlns:r="http://schemas.openxmlformats.org/officeDocument/2006/relationships" ref="A218" r:id="rId33"/>
    <hyperlink xmlns:r="http://schemas.openxmlformats.org/officeDocument/2006/relationships" ref="A219" r:id="rId34"/>
    <hyperlink xmlns:r="http://schemas.openxmlformats.org/officeDocument/2006/relationships" ref="A220" r:id="rId35"/>
    <hyperlink xmlns:r="http://schemas.openxmlformats.org/officeDocument/2006/relationships" ref="A221" r:id="rId36"/>
    <hyperlink xmlns:r="http://schemas.openxmlformats.org/officeDocument/2006/relationships" ref="A222" r:id="rId37"/>
    <hyperlink xmlns:r="http://schemas.openxmlformats.org/officeDocument/2006/relationships" ref="A223" r:id="rId38"/>
  </hyperlinks>
  <pageMargins left="0.75" right="0.75" top="1" bottom="1" header="0.5" footer="0.5"/>
  <drawing xmlns:r="http://schemas.openxmlformats.org/officeDocument/2006/relationships" r:id="rId39"/>
  <tableParts count="6">
    <tablePart xmlns:r="http://schemas.openxmlformats.org/officeDocument/2006/relationships" r:id="rId40"/>
    <tablePart xmlns:r="http://schemas.openxmlformats.org/officeDocument/2006/relationships" r:id="rId41"/>
    <tablePart xmlns:r="http://schemas.openxmlformats.org/officeDocument/2006/relationships" r:id="rId42"/>
    <tablePart xmlns:r="http://schemas.openxmlformats.org/officeDocument/2006/relationships" r:id="rId43"/>
    <tablePart xmlns:r="http://schemas.openxmlformats.org/officeDocument/2006/relationships" r:id="rId44"/>
    <tablePart xmlns:r="http://schemas.openxmlformats.org/officeDocument/2006/relationships" r:id="rId45"/>
  </tableParts>
</worksheet>
</file>

<file path=xl/worksheets/sheet39.xml><?xml version="1.0" encoding="utf-8"?>
<worksheet xmlns="http://schemas.openxmlformats.org/spreadsheetml/2006/main">
  <sheetPr>
    <outlinePr summaryBelow="1" summaryRight="1"/>
    <pageSetUpPr/>
  </sheetPr>
  <dimension ref="A1:I183"/>
  <sheetViews>
    <sheetView showGridLines="0" workbookViewId="0">
      <selection activeCell="A1" sqref="A1"/>
    </sheetView>
  </sheetViews>
  <sheetFormatPr baseColWidth="8" defaultRowHeight="15"/>
  <cols>
    <col width="42" customWidth="1" min="1" max="1"/>
    <col width="37" customWidth="1" min="2" max="2"/>
    <col width="60" customWidth="1" min="3" max="3"/>
    <col width="60" customWidth="1" min="4" max="4"/>
    <col width="22" customWidth="1" min="5" max="5"/>
    <col width="60" customWidth="1" min="6" max="6"/>
    <col width="18" customWidth="1" min="7" max="7"/>
    <col width="45" customWidth="1" min="8" max="8"/>
    <col width="10" customWidth="1" min="9" max="9"/>
  </cols>
  <sheetData>
    <row r="1">
      <c r="A1" s="1" t="inlineStr">
        <is>
          <t>ФОП "Гріпіч Тетяна Борисівна"</t>
        </is>
      </c>
    </row>
    <row r="2">
      <c r="A2" s="6" t="inlineStr">
        <is>
          <t>ЄДРПОУ 2850105825  ·  конкурент  ·  місце №54</t>
        </is>
      </c>
    </row>
    <row r="4">
      <c r="A4" s="7" t="inlineStr">
        <is>
          <t>ФОП "Гріпіч Тетяна Борисівна" (2850105825)</t>
        </is>
      </c>
    </row>
    <row r="6">
      <c r="A6" s="8" t="inlineStr">
        <is>
          <t>Показники</t>
        </is>
      </c>
    </row>
    <row r="7">
      <c r="A7" s="9" t="inlineStr">
        <is>
          <t>Місце на ринку</t>
        </is>
      </c>
      <c r="B7" s="10" t="inlineStr">
        <is>
          <t>№54</t>
        </is>
      </c>
    </row>
    <row r="8">
      <c r="A8" s="9" t="inlineStr">
        <is>
          <t>Сума угод</t>
        </is>
      </c>
      <c r="B8" s="10" t="inlineStr">
        <is>
          <t>486,0 тис. грн</t>
        </is>
      </c>
    </row>
    <row r="9">
      <c r="A9" s="9" t="inlineStr">
        <is>
          <t>Частка ринку</t>
        </is>
      </c>
      <c r="B9" s="10" t="inlineStr">
        <is>
          <t>0,4%</t>
        </is>
      </c>
    </row>
    <row r="10">
      <c r="A10" s="9" t="inlineStr">
        <is>
          <t>Угод</t>
        </is>
      </c>
      <c r="B10" s="10" t="inlineStr">
        <is>
          <t>11</t>
        </is>
      </c>
    </row>
    <row r="11">
      <c r="A11" s="9" t="inlineStr">
        <is>
          <t>Закупівель виграно</t>
        </is>
      </c>
      <c r="B11" s="10" t="inlineStr">
        <is>
          <t>11</t>
        </is>
      </c>
    </row>
    <row r="12">
      <c r="A12" s="9" t="inlineStr">
        <is>
          <t>Подань (де видно)</t>
        </is>
      </c>
      <c r="B12" s="10" t="inlineStr">
        <is>
          <t>49</t>
        </is>
      </c>
    </row>
    <row r="13">
      <c r="A13" s="9" t="inlineStr">
        <is>
          <t>Виграно з поданих</t>
        </is>
      </c>
      <c r="B13" s="10" t="inlineStr">
        <is>
          <t>11 з 49</t>
        </is>
      </c>
    </row>
    <row r="14">
      <c r="A14" s="9" t="inlineStr">
        <is>
          <t>Результативність</t>
        </is>
      </c>
      <c r="B14" s="10" t="inlineStr">
        <is>
          <t>22,4%</t>
        </is>
      </c>
    </row>
    <row r="15">
      <c r="A15" s="9" t="inlineStr">
        <is>
          <t>Середня угода</t>
        </is>
      </c>
      <c r="B15" s="10" t="inlineStr">
        <is>
          <t>44,2 тис. грн</t>
        </is>
      </c>
    </row>
    <row r="16">
      <c r="A16" s="9" t="inlineStr">
        <is>
          <t>Медіанна угода</t>
        </is>
      </c>
      <c r="B16" s="10" t="inlineStr">
        <is>
          <t>33,6 тис. грн</t>
        </is>
      </c>
    </row>
    <row r="17">
      <c r="A17" s="9" t="inlineStr">
        <is>
          <t>Замовників</t>
        </is>
      </c>
      <c r="B17" s="10" t="inlineStr">
        <is>
          <t>8</t>
        </is>
      </c>
    </row>
    <row r="18">
      <c r="A18" s="9" t="inlineStr">
        <is>
          <t>Областей</t>
        </is>
      </c>
      <c r="B18" s="10" t="inlineStr">
        <is>
          <t>1</t>
        </is>
      </c>
    </row>
    <row r="19">
      <c r="A19" s="9" t="inlineStr">
        <is>
          <t>Основна ТМ</t>
        </is>
      </c>
      <c r="B19" s="10" t="inlineStr">
        <is>
          <t>Intel</t>
        </is>
      </c>
    </row>
    <row r="20">
      <c r="A20" s="9" t="inlineStr">
        <is>
          <t>Основний товар</t>
        </is>
      </c>
      <c r="B20" s="10" t="inlineStr">
        <is>
          <t>Багатофункціональний пристрій (БФП)</t>
        </is>
      </c>
    </row>
    <row r="21">
      <c r="A21" s="9" t="inlineStr">
        <is>
          <t>Дисконт (медіана)</t>
        </is>
      </c>
      <c r="B21" s="10" t="inlineStr">
        <is>
          <t>6,4%</t>
        </is>
      </c>
    </row>
    <row r="22">
      <c r="A22" s="9" t="inlineStr">
        <is>
          <t>Повторні замовники</t>
        </is>
      </c>
      <c r="B22" s="10" t="inlineStr">
        <is>
          <t>27,3%</t>
        </is>
      </c>
    </row>
    <row r="23">
      <c r="A23" s="9" t="inlineStr">
        <is>
          <t>Активність</t>
        </is>
      </c>
      <c r="B23" s="10" t="inlineStr">
        <is>
          <t>2025-09-15 — 2026-08-21</t>
        </is>
      </c>
    </row>
    <row r="24">
      <c r="A24" s="9" t="inlineStr">
        <is>
          <t>Зірвано перемог</t>
        </is>
      </c>
      <c r="B24" s="10" t="inlineStr">
        <is>
          <t>6 на 392,4 тис. грн</t>
        </is>
      </c>
    </row>
    <row r="25">
      <c r="A25" s="9" t="inlineStr">
        <is>
          <t>Причина зривів</t>
        </is>
      </c>
      <c r="B25" s="10" t="inlineStr">
        <is>
          <t>Відмова від договору</t>
        </is>
      </c>
    </row>
    <row r="27">
      <c r="A27" s="8" t="inlineStr">
        <is>
          <t>Висновки</t>
        </is>
      </c>
    </row>
    <row r="28">
      <c r="A28" t="inlineStr">
        <is>
          <t>•  54-е місце на ринку: 486,0 тис. грн (0,4% обороту)</t>
        </is>
      </c>
    </row>
    <row r="29">
      <c r="A29" t="inlineStr">
        <is>
          <t>•  Основний товар: багатофункціональний пристрій (бфп)</t>
        </is>
      </c>
    </row>
    <row r="30">
      <c r="A30" t="inlineStr">
        <is>
          <t>•  Помічена ТМ: Intel (замало позицій для висновку)</t>
        </is>
      </c>
    </row>
    <row r="31">
      <c r="A31" t="inlineStr">
        <is>
          <t>•  Грає у відкритих процедурах: лише 0,0% угод без торгів</t>
        </is>
      </c>
    </row>
    <row r="32">
      <c r="A32" t="inlineStr">
        <is>
          <t>•  Географічно сфокусований: Волинська область (100,0% угод)</t>
        </is>
      </c>
    </row>
    <row r="33">
      <c r="A33" t="inlineStr">
        <is>
          <t>•  Результативність на торгах: 22,4% (11 з 49)</t>
        </is>
      </c>
    </row>
    <row r="34">
      <c r="A34" t="inlineStr">
        <is>
          <t>•  Динаміка: спадає (-50% у другій половині періоду)</t>
        </is>
      </c>
    </row>
    <row r="35">
      <c r="A35" t="inlineStr">
        <is>
          <t>•  Зривається 35,3% виграшів: 6 з 17 на 392,4 тис. грн, найчастіше — відмова від договору</t>
        </is>
      </c>
    </row>
    <row r="37">
      <c r="A37" s="8" t="inlineStr">
        <is>
          <t>Графіки</t>
        </is>
      </c>
    </row>
    <row r="39">
      <c r="A39" s="2" t="inlineStr">
        <is>
          <t>Динаміка по місяцях</t>
        </is>
      </c>
    </row>
    <row r="40">
      <c r="A40" s="3" t="inlineStr">
        <is>
          <t>Період</t>
        </is>
      </c>
      <c r="B40" s="3" t="inlineStr">
        <is>
          <t>Сума угод, грн</t>
        </is>
      </c>
    </row>
    <row r="41">
      <c r="A41" t="inlineStr">
        <is>
          <t>2025-09</t>
        </is>
      </c>
      <c r="B41" s="5" t="n">
        <v>9900</v>
      </c>
    </row>
    <row r="42">
      <c r="A42" t="inlineStr">
        <is>
          <t>2026-03</t>
        </is>
      </c>
      <c r="B42" s="5" t="n">
        <v>200010</v>
      </c>
    </row>
    <row r="43">
      <c r="A43" t="inlineStr">
        <is>
          <t>2026-05</t>
        </is>
      </c>
      <c r="B43" s="5" t="n">
        <v>75450</v>
      </c>
    </row>
    <row r="44">
      <c r="A44" t="inlineStr">
        <is>
          <t>2026-06</t>
        </is>
      </c>
      <c r="B44" s="5" t="n">
        <v>139000</v>
      </c>
    </row>
    <row r="45">
      <c r="A45" t="inlineStr">
        <is>
          <t>2026-07</t>
        </is>
      </c>
      <c r="B45" s="5" t="n">
        <v>41340</v>
      </c>
    </row>
    <row r="46">
      <c r="A46" t="inlineStr">
        <is>
          <t>2026-08</t>
        </is>
      </c>
      <c r="B46" s="5" t="n">
        <v>20340</v>
      </c>
    </row>
    <row r="59">
      <c r="A59" s="2" t="inlineStr">
        <is>
          <t>Торгові марки у позиціях</t>
        </is>
      </c>
    </row>
    <row r="60">
      <c r="A60" s="3" t="inlineStr">
        <is>
          <t>Категорія</t>
        </is>
      </c>
      <c r="B60" s="3" t="inlineStr">
        <is>
          <t>Позицій, шт</t>
        </is>
      </c>
    </row>
    <row r="61">
      <c r="A61" t="inlineStr">
        <is>
          <t>Intel</t>
        </is>
      </c>
      <c r="B61" s="5" t="n">
        <v>1</v>
      </c>
    </row>
    <row r="79">
      <c r="A79" s="2" t="inlineStr">
        <is>
          <t>Що саме продає</t>
        </is>
      </c>
    </row>
    <row r="80">
      <c r="A80" s="3" t="inlineStr">
        <is>
          <t>Категорія</t>
        </is>
      </c>
      <c r="B80" s="3" t="inlineStr">
        <is>
          <t>Позицій, шт</t>
        </is>
      </c>
    </row>
    <row r="81">
      <c r="A81" t="inlineStr">
        <is>
          <t>Багатофункціональний пристрій (БФП)</t>
        </is>
      </c>
      <c r="B81" s="5" t="n">
        <v>13</v>
      </c>
    </row>
    <row r="82">
      <c r="A82" t="inlineStr">
        <is>
          <t>Планшет</t>
        </is>
      </c>
      <c r="B82" s="5" t="n">
        <v>9</v>
      </c>
    </row>
    <row r="83">
      <c r="A83" t="inlineStr">
        <is>
          <t>Ноутбук</t>
        </is>
      </c>
      <c r="B83" s="5" t="n">
        <v>7</v>
      </c>
    </row>
    <row r="84">
      <c r="A84" t="inlineStr">
        <is>
          <t>Клавіатура</t>
        </is>
      </c>
      <c r="B84" s="5" t="n">
        <v>6</v>
      </c>
    </row>
    <row r="85">
      <c r="A85" t="inlineStr">
        <is>
          <t>Монітор</t>
        </is>
      </c>
      <c r="B85" s="5" t="n">
        <v>5</v>
      </c>
    </row>
    <row r="86">
      <c r="A86" t="inlineStr">
        <is>
          <t>Персональний комп'ютер</t>
        </is>
      </c>
      <c r="B86" s="5" t="n">
        <v>5</v>
      </c>
    </row>
    <row r="87">
      <c r="A87" t="inlineStr">
        <is>
          <t>Миша</t>
        </is>
      </c>
      <c r="B87" s="5" t="n">
        <v>2</v>
      </c>
    </row>
    <row r="88">
      <c r="A88" t="inlineStr">
        <is>
          <t>Моноблок</t>
        </is>
      </c>
      <c r="B88" s="5" t="n">
        <v>2</v>
      </c>
    </row>
    <row r="89">
      <c r="A89" t="inlineStr">
        <is>
          <t>Накопичувач SSD</t>
        </is>
      </c>
      <c r="B89" s="5" t="n">
        <v>2</v>
      </c>
    </row>
    <row r="90">
      <c r="A90" t="inlineStr">
        <is>
          <t>Мережевий фільтр і подовжувач</t>
        </is>
      </c>
      <c r="B90" s="5" t="n">
        <v>1</v>
      </c>
    </row>
    <row r="97">
      <c r="A97" s="2" t="inlineStr">
        <is>
          <t>Ключові замовники</t>
        </is>
      </c>
    </row>
    <row r="98">
      <c r="A98" s="3" t="inlineStr">
        <is>
          <t>Категорія</t>
        </is>
      </c>
      <c r="B98" s="3" t="inlineStr">
        <is>
          <t>Сума, грн</t>
        </is>
      </c>
    </row>
    <row r="99">
      <c r="A99" t="inlineStr">
        <is>
          <t>Державний архів Волинської області</t>
        </is>
      </c>
      <c r="B99" s="5" t="n">
        <v>200010</v>
      </c>
    </row>
    <row r="100">
      <c r="A100" t="inlineStr">
        <is>
          <t>Виконавчий комітет Луцької міської ради</t>
        </is>
      </c>
      <c r="B100" s="5" t="n">
        <v>76680</v>
      </c>
    </row>
    <row r="101">
      <c r="A101" t="inlineStr">
        <is>
          <t>ВИКОНАВЧИЙ КОМІТЕТ НОВОВОЛИНСЬКОЇ МІСЬКО</t>
        </is>
      </c>
      <c r="B101" s="5" t="n">
        <v>60000</v>
      </c>
    </row>
    <row r="102">
      <c r="A102" t="inlineStr">
        <is>
          <t>Любомльська міська рада</t>
        </is>
      </c>
      <c r="B102" s="5" t="n">
        <v>49900</v>
      </c>
    </row>
    <row r="103">
      <c r="A103" t="inlineStr">
        <is>
          <t>Вишнівська сільська рада</t>
        </is>
      </c>
      <c r="B103" s="5" t="n">
        <v>39000</v>
      </c>
    </row>
    <row r="104">
      <c r="A104" t="inlineStr">
        <is>
          <t>Маневицька селищна рада</t>
        </is>
      </c>
      <c r="B104" s="5" t="n">
        <v>33600</v>
      </c>
    </row>
    <row r="105">
      <c r="A105" t="inlineStr">
        <is>
          <t>ВІЙСЬКОВА ЧАСТИНА 1141 НАЦІОНАЛЬНОЇ ГВАР</t>
        </is>
      </c>
      <c r="B105" s="5" t="n">
        <v>15450</v>
      </c>
    </row>
    <row r="106">
      <c r="A106" t="inlineStr">
        <is>
          <t>УПРАВЛІННЯ ГУМАНІТАРНОЇ ПОЛІТИКИ ЛЮБЕШІВ</t>
        </is>
      </c>
      <c r="B106" s="5" t="n">
        <v>11400</v>
      </c>
    </row>
    <row r="113">
      <c r="A113" s="8" t="inlineStr">
        <is>
          <t>Таблиці</t>
        </is>
      </c>
    </row>
    <row r="115">
      <c r="A115" s="2" t="inlineStr">
        <is>
          <t>ТМ</t>
        </is>
      </c>
    </row>
    <row r="116">
      <c r="A116" s="11" t="inlineStr">
        <is>
          <t>Торгова марка</t>
        </is>
      </c>
      <c r="B116" s="11" t="inlineStr">
        <is>
          <t>Позицій</t>
        </is>
      </c>
      <c r="C116" s="11" t="inlineStr">
        <is>
          <t>Частка</t>
        </is>
      </c>
      <c r="D116" s="11" t="inlineStr">
        <is>
          <t>Власна ТМ за довідником</t>
        </is>
      </c>
    </row>
    <row r="117">
      <c r="A117" t="inlineStr">
        <is>
          <t>Intel</t>
        </is>
      </c>
      <c r="B117" s="5" t="n">
        <v>1</v>
      </c>
      <c r="C117" s="12" t="n">
        <v>1</v>
      </c>
      <c r="D117" t="inlineStr"/>
    </row>
    <row r="119">
      <c r="A119" s="2" t="inlineStr">
        <is>
          <t>Товари</t>
        </is>
      </c>
    </row>
    <row r="120">
      <c r="A120" s="11" t="inlineStr">
        <is>
          <t>Товар</t>
        </is>
      </c>
      <c r="B120" s="11" t="inlineStr">
        <is>
          <t>Позицій</t>
        </is>
      </c>
    </row>
    <row r="121">
      <c r="A121" t="inlineStr">
        <is>
          <t>Багатофункціональний пристрій (БФП)</t>
        </is>
      </c>
      <c r="B121" s="5" t="n">
        <v>13</v>
      </c>
    </row>
    <row r="122">
      <c r="A122" t="inlineStr">
        <is>
          <t>Планшет</t>
        </is>
      </c>
      <c r="B122" s="5" t="n">
        <v>9</v>
      </c>
    </row>
    <row r="123">
      <c r="A123" t="inlineStr">
        <is>
          <t>Ноутбук</t>
        </is>
      </c>
      <c r="B123" s="5" t="n">
        <v>7</v>
      </c>
    </row>
    <row r="124">
      <c r="A124" t="inlineStr">
        <is>
          <t>Клавіатура</t>
        </is>
      </c>
      <c r="B124" s="5" t="n">
        <v>6</v>
      </c>
    </row>
    <row r="125">
      <c r="A125" t="inlineStr">
        <is>
          <t>Монітор</t>
        </is>
      </c>
      <c r="B125" s="5" t="n">
        <v>5</v>
      </c>
    </row>
    <row r="126">
      <c r="A126" t="inlineStr">
        <is>
          <t>Персональний комп'ютер</t>
        </is>
      </c>
      <c r="B126" s="5" t="n">
        <v>5</v>
      </c>
    </row>
    <row r="127">
      <c r="A127" t="inlineStr">
        <is>
          <t>Миша</t>
        </is>
      </c>
      <c r="B127" s="5" t="n">
        <v>2</v>
      </c>
    </row>
    <row r="128">
      <c r="A128" t="inlineStr">
        <is>
          <t>Моноблок</t>
        </is>
      </c>
      <c r="B128" s="5" t="n">
        <v>2</v>
      </c>
    </row>
    <row r="129">
      <c r="A129" t="inlineStr">
        <is>
          <t>Накопичувач SSD</t>
        </is>
      </c>
      <c r="B129" s="5" t="n">
        <v>2</v>
      </c>
    </row>
    <row r="130">
      <c r="A130" t="inlineStr">
        <is>
          <t>Мережевий фільтр і подовжувач</t>
        </is>
      </c>
      <c r="B130" s="5" t="n">
        <v>1</v>
      </c>
    </row>
    <row r="131">
      <c r="A131" t="inlineStr">
        <is>
          <t>Навушники, гарнітура</t>
        </is>
      </c>
      <c r="B131" s="5" t="n">
        <v>1</v>
      </c>
    </row>
    <row r="132">
      <c r="A132" t="inlineStr">
        <is>
          <t>Принтер</t>
        </is>
      </c>
      <c r="B132" s="5" t="n">
        <v>1</v>
      </c>
    </row>
    <row r="134">
      <c r="A134" s="2" t="inlineStr">
        <is>
          <t>Документи</t>
        </is>
      </c>
    </row>
    <row r="135">
      <c r="A135" s="11" t="inlineStr">
        <is>
          <t>Тип документа</t>
        </is>
      </c>
      <c r="B135" s="11" t="inlineStr">
        <is>
          <t>Файлів</t>
        </is>
      </c>
    </row>
    <row r="136">
      <c r="A136" t="inlineStr">
        <is>
          <t>Підпис КЕП</t>
        </is>
      </c>
      <c r="B136" s="5" t="n">
        <v>82</v>
      </c>
    </row>
    <row r="137">
      <c r="A137" t="inlineStr">
        <is>
          <t>не класифіковано</t>
        </is>
      </c>
      <c r="B137" s="5" t="n">
        <v>6</v>
      </c>
    </row>
    <row r="138">
      <c r="A138" t="inlineStr">
        <is>
          <t>Установчі та реєстраційні</t>
        </is>
      </c>
      <c r="B138" s="5" t="n">
        <v>4</v>
      </c>
    </row>
    <row r="140">
      <c r="A140" s="2" t="inlineStr">
        <is>
          <t>Зірвані перемоги</t>
        </is>
      </c>
    </row>
    <row r="141">
      <c r="A141" s="11" t="inlineStr">
        <is>
          <t>Закупівля</t>
        </is>
      </c>
      <c r="B141" s="11" t="inlineStr">
        <is>
          <t>Дата</t>
        </is>
      </c>
      <c r="C141" s="11" t="inlineStr">
        <is>
          <t>Замовник</t>
        </is>
      </c>
      <c r="D141" s="11" t="inlineStr">
        <is>
          <t>Сума, грн</t>
        </is>
      </c>
      <c r="E141" s="11" t="inlineStr">
        <is>
          <t>Причина</t>
        </is>
      </c>
      <c r="F141" s="11" t="inlineStr">
        <is>
          <t>Формулювання замовника</t>
        </is>
      </c>
    </row>
    <row r="142">
      <c r="A142" s="4" t="inlineStr">
        <is>
          <t>UA-2026-02-06-003851-a</t>
        </is>
      </c>
      <c r="B142" t="inlineStr">
        <is>
          <t>2026-02-16</t>
        </is>
      </c>
      <c r="C142" t="inlineStr">
        <is>
          <t>ДЕПАРТАМЕНТ З ПИТАНЬ ВЕТЕРАНСЬКОЇ ПОЛІТИКИ ЛУЦЬКОЇ МІСЬКОЇ РАДИ</t>
        </is>
      </c>
      <c r="D142" s="5" t="n">
        <v>159300</v>
      </c>
      <c r="E142" t="inlineStr">
        <is>
          <t>Відмова від договору</t>
        </is>
      </c>
      <c r="F142" t="inlineStr">
        <is>
          <t>Переможець письмово відмовився від укладення договору на умовах, визначених замовником у запиті пропозицій постачальників, шляхом заповнення електронних форм з окремими полями та у проекті договору, що є складовою частиною запиту пропозицій постачальників</t>
        </is>
      </c>
    </row>
    <row r="143">
      <c r="A143" s="4" t="inlineStr">
        <is>
          <t>UA-2026-01-27-008052-a</t>
        </is>
      </c>
      <c r="B143" t="inlineStr">
        <is>
          <t>2026-02-02</t>
        </is>
      </c>
      <c r="C143" t="inlineStr">
        <is>
          <t>Виконавчий комітет Ратнівської селищної ради</t>
        </is>
      </c>
      <c r="D143" s="5" t="n">
        <v>81000</v>
      </c>
      <c r="E143" t="inlineStr">
        <is>
          <t>Відмова від договору</t>
        </is>
      </c>
      <c r="F143" t="inlineStr">
        <is>
          <t>Переможець письмово відмовився від укладення договору на умовах, визначених замовником у запиті пропозицій постачальників, шляхом заповнення електронних форм з окремими полями та у проекті договору, що є складовою частиною запиту пропозицій постачальників</t>
        </is>
      </c>
    </row>
    <row r="144">
      <c r="A144" s="4" t="inlineStr">
        <is>
          <t>UA-2026-05-18-012093-a</t>
        </is>
      </c>
      <c r="B144" t="inlineStr">
        <is>
          <t>2026-05-25</t>
        </is>
      </c>
      <c r="C144" t="inlineStr">
        <is>
          <t>ВИРОБНИЧЕ УПРАВЛІННЯ КОМУНАЛЬНОГО ГОСПОДАРСТВА НОВОВОЛИНСКОЇ МІСЬКОЇ РАДИ</t>
        </is>
      </c>
      <c r="D144" s="5" t="n">
        <v>53100</v>
      </c>
      <c r="E144" t="inlineStr">
        <is>
          <t>Відмова від договору</t>
        </is>
      </c>
      <c r="F144" t="inlineStr">
        <is>
          <t>Переможець письмово відмовився від укладення договору на умовах, визначених замовником у запиті пропозицій постачальників, шляхом заповнення електронних форм з окремими полями та у проекті договору, що є складовою частиною запиту пропозицій постачальників</t>
        </is>
      </c>
    </row>
    <row r="145">
      <c r="A145" s="4" t="inlineStr">
        <is>
          <t>UA-2026-02-09-016135-a</t>
        </is>
      </c>
      <c r="B145" t="inlineStr">
        <is>
          <t>2026-02-14</t>
        </is>
      </c>
      <c r="C145" t="inlineStr">
        <is>
          <t>ВІЙСЬКОВА ЧАСТИНА 1141 НАЦІОНАЛЬНОЇ ГВАРДІЇ УКРАЇНИ</t>
        </is>
      </c>
      <c r="D145" s="5" t="n">
        <v>45300</v>
      </c>
      <c r="E145" t="inlineStr">
        <is>
          <t>Відмова від договору</t>
        </is>
      </c>
      <c r="F145" t="inlineStr">
        <is>
          <t>Переможець письмово відмовився від укладення договору на умовах, визначених замовником у запиті пропозицій постачальників, шляхом заповнення електронних форм з окремими полями та у проекті договору, що є складовою частиною запиту пропозицій постачальників</t>
        </is>
      </c>
    </row>
    <row r="146">
      <c r="A146" s="4" t="inlineStr">
        <is>
          <t>UA-2026-06-04-010998-a</t>
        </is>
      </c>
      <c r="B146" t="inlineStr">
        <is>
          <t>2026-06-15</t>
        </is>
      </c>
      <c r="C146" t="inlineStr">
        <is>
          <t>Виконавчий комітет Ковельської міської ради</t>
        </is>
      </c>
      <c r="D146" s="5" t="n">
        <v>38700</v>
      </c>
      <c r="E146" t="inlineStr">
        <is>
          <t>Відмова від договору</t>
        </is>
      </c>
      <c r="F146" t="inlineStr">
        <is>
          <t>письмово відмовився від укладення договору на умовах, визначених замовником у запиті пропозицій постачальників, шляхом заповнення електронних форм з окремими полями та у проекті договору, що є складовою частиною запиту пропозицій постачальників.</t>
        </is>
      </c>
    </row>
    <row r="147">
      <c r="A147" s="4" t="inlineStr">
        <is>
          <t>UA-2026-08-14-011647-a</t>
        </is>
      </c>
      <c r="B147" t="inlineStr">
        <is>
          <t>2026-08-20</t>
        </is>
      </c>
      <c r="C147" t="inlineStr">
        <is>
          <t>ВІЙСЬКОВА ЧАСТИНА 1141 НАЦІОНАЛЬНОЇ ГВАРДІЇ УКРАЇНИ</t>
        </is>
      </c>
      <c r="D147" s="5" t="n">
        <v>15000</v>
      </c>
      <c r="E147" t="inlineStr">
        <is>
          <t>Відмова від договору</t>
        </is>
      </c>
      <c r="F147" t="inlineStr">
        <is>
          <t>Переможець письмово відмовився від укладення договору на умовах, визначених замовником у запиті пропозицій постачальників, шляхом заповнення електронних форм з окремими полями та у проекті договору, що є складовою частиною запиту пропозицій постачальників</t>
        </is>
      </c>
    </row>
    <row r="149">
      <c r="A149" s="2" t="inlineStr">
        <is>
          <t>Угоди</t>
        </is>
      </c>
    </row>
    <row r="150">
      <c r="A150" s="11" t="inlineStr">
        <is>
          <t>Закупівля</t>
        </is>
      </c>
      <c r="B150" s="11" t="inlineStr">
        <is>
          <t>Дата</t>
        </is>
      </c>
      <c r="C150" s="11" t="inlineStr">
        <is>
          <t>Замовник</t>
        </is>
      </c>
      <c r="D150" s="11" t="inlineStr">
        <is>
          <t>Регіон</t>
        </is>
      </c>
      <c r="E150" s="11" t="inlineStr">
        <is>
          <t>Сума, грн</t>
        </is>
      </c>
      <c r="F150" s="11" t="inlineStr">
        <is>
          <t>Очікувана, грн</t>
        </is>
      </c>
      <c r="G150" s="11" t="inlineStr">
        <is>
          <t>Процедура</t>
        </is>
      </c>
      <c r="H150" s="11" t="inlineStr">
        <is>
          <t>Галузь</t>
        </is>
      </c>
      <c r="I150" s="11" t="inlineStr">
        <is>
          <t>Джерело</t>
        </is>
      </c>
    </row>
    <row r="151">
      <c r="A151" s="4" t="inlineStr">
        <is>
          <t>UA-2026-03-09-011096-a</t>
        </is>
      </c>
      <c r="B151" t="inlineStr">
        <is>
          <t>2026-03-16</t>
        </is>
      </c>
      <c r="C151" t="inlineStr">
        <is>
          <t>Державний архів Волинської області</t>
        </is>
      </c>
      <c r="D151" t="inlineStr">
        <is>
          <t>Волинська область</t>
        </is>
      </c>
      <c r="E151" s="5" t="n">
        <v>200010</v>
      </c>
      <c r="F151" s="5" t="n">
        <v>290000</v>
      </c>
      <c r="G151" t="inlineStr">
        <is>
          <t>Запит пропозицій</t>
        </is>
      </c>
      <c r="H151" t="inlineStr">
        <is>
          <t>Машини для обробки даних (апаратна частина)</t>
        </is>
      </c>
      <c r="I151" t="inlineStr">
        <is>
          <t>договір</t>
        </is>
      </c>
    </row>
    <row r="152">
      <c r="A152" s="4" t="inlineStr">
        <is>
          <t>UA-2026-05-27-011873-a</t>
        </is>
      </c>
      <c r="B152" t="inlineStr">
        <is>
          <t>2026-06-08</t>
        </is>
      </c>
      <c r="C152" t="inlineStr">
        <is>
          <t>ВИКОНАВЧИЙ КОМІТЕТ НОВОВОЛИНСЬКОЇ МІСЬКОЇ РАДИ</t>
        </is>
      </c>
      <c r="D152" t="inlineStr">
        <is>
          <t>Волинська область</t>
        </is>
      </c>
      <c r="E152" s="5" t="n">
        <v>60000</v>
      </c>
      <c r="F152" s="5" t="n">
        <v>60000</v>
      </c>
      <c r="G152" t="inlineStr">
        <is>
          <t>Запит пропозицій</t>
        </is>
      </c>
      <c r="H152" t="inlineStr">
        <is>
          <t>Машини для обробки даних (апаратна частина)</t>
        </is>
      </c>
      <c r="I152" t="inlineStr">
        <is>
          <t>договір</t>
        </is>
      </c>
    </row>
    <row r="153">
      <c r="A153" s="4" t="inlineStr">
        <is>
          <t>UA-2026-05-18-003915-a</t>
        </is>
      </c>
      <c r="B153" t="inlineStr">
        <is>
          <t>2026-05-25</t>
        </is>
      </c>
      <c r="C153" t="inlineStr">
        <is>
          <t>Виконавчий комітет Луцької міської ради</t>
        </is>
      </c>
      <c r="D153" t="inlineStr">
        <is>
          <t>Волинська область</t>
        </is>
      </c>
      <c r="E153" s="5" t="n">
        <v>41850</v>
      </c>
      <c r="F153" s="5" t="n">
        <v>50000</v>
      </c>
      <c r="G153" t="inlineStr">
        <is>
          <t>Запит пропозицій</t>
        </is>
      </c>
      <c r="H153" t="inlineStr">
        <is>
          <t>Машини для обробки даних (апаратна частина)</t>
        </is>
      </c>
      <c r="I153" t="inlineStr">
        <is>
          <t>договір</t>
        </is>
      </c>
    </row>
    <row r="154">
      <c r="A154" s="4" t="inlineStr">
        <is>
          <t>UA-2026-06-05-005739-a</t>
        </is>
      </c>
      <c r="B154" t="inlineStr">
        <is>
          <t>2026-06-15</t>
        </is>
      </c>
      <c r="C154" t="inlineStr">
        <is>
          <t>Любомльська міська рада</t>
        </is>
      </c>
      <c r="D154" t="inlineStr">
        <is>
          <t>Волинська область</t>
        </is>
      </c>
      <c r="E154" s="5" t="n">
        <v>40000</v>
      </c>
      <c r="F154" s="5" t="n">
        <v>40000</v>
      </c>
      <c r="G154" t="inlineStr">
        <is>
          <t>Запит пропозицій</t>
        </is>
      </c>
      <c r="H154" t="inlineStr">
        <is>
          <t>Комп’ютерне обладнання</t>
        </is>
      </c>
      <c r="I154" t="inlineStr">
        <is>
          <t>договір</t>
        </is>
      </c>
    </row>
    <row r="155">
      <c r="A155" s="4" t="inlineStr">
        <is>
          <t>UA-2026-05-25-011070-a</t>
        </is>
      </c>
      <c r="B155" t="inlineStr">
        <is>
          <t>2026-06-01</t>
        </is>
      </c>
      <c r="C155" t="inlineStr">
        <is>
          <t>Вишнівська сільська рада</t>
        </is>
      </c>
      <c r="D155" t="inlineStr">
        <is>
          <t>Волинська область</t>
        </is>
      </c>
      <c r="E155" s="5" t="n">
        <v>39000</v>
      </c>
      <c r="F155" s="5" t="n">
        <v>63000</v>
      </c>
      <c r="G155" t="inlineStr">
        <is>
          <t>Запит пропозицій</t>
        </is>
      </c>
      <c r="H155" t="inlineStr">
        <is>
          <t>Комп’ютерне обладнання</t>
        </is>
      </c>
      <c r="I155" t="inlineStr">
        <is>
          <t>договір</t>
        </is>
      </c>
    </row>
    <row r="156">
      <c r="A156" s="4" t="inlineStr">
        <is>
          <t>UA-2026-05-18-003762-a</t>
        </is>
      </c>
      <c r="B156" t="inlineStr">
        <is>
          <t>2026-05-25</t>
        </is>
      </c>
      <c r="C156" t="inlineStr">
        <is>
          <t>Маневицька селищна рада</t>
        </is>
      </c>
      <c r="D156" t="inlineStr">
        <is>
          <t>Волинська область</t>
        </is>
      </c>
      <c r="E156" s="5" t="n">
        <v>33600</v>
      </c>
      <c r="F156" s="5" t="n">
        <v>36000</v>
      </c>
      <c r="G156" t="inlineStr">
        <is>
          <t>Запит пропозицій</t>
        </is>
      </c>
      <c r="H156" t="inlineStr">
        <is>
          <t>Машини для обробки даних (апаратна частина)</t>
        </is>
      </c>
      <c r="I156" t="inlineStr">
        <is>
          <t>договір</t>
        </is>
      </c>
    </row>
    <row r="157">
      <c r="A157" s="4" t="inlineStr">
        <is>
          <t>UA-2026-06-30-011927-a</t>
        </is>
      </c>
      <c r="B157" t="inlineStr">
        <is>
          <t>2026-07-10</t>
        </is>
      </c>
      <c r="C157" t="inlineStr">
        <is>
          <t>Виконавчий комітет Луцької міської ради</t>
        </is>
      </c>
      <c r="D157" t="inlineStr">
        <is>
          <t>Волинська область</t>
        </is>
      </c>
      <c r="E157" s="5" t="n">
        <v>29940</v>
      </c>
      <c r="F157" s="5" t="n">
        <v>30000</v>
      </c>
      <c r="G157" t="inlineStr">
        <is>
          <t>Запит пропозицій</t>
        </is>
      </c>
      <c r="H157" t="inlineStr">
        <is>
          <t>Машини для обробки даних (апаратна частина)</t>
        </is>
      </c>
      <c r="I157" t="inlineStr">
        <is>
          <t>договір</t>
        </is>
      </c>
    </row>
    <row r="158">
      <c r="A158" s="4" t="inlineStr">
        <is>
          <t>UA-2026-08-09-000562-a</t>
        </is>
      </c>
      <c r="B158" t="inlineStr">
        <is>
          <t>2026-08-21</t>
        </is>
      </c>
      <c r="C158" t="inlineStr">
        <is>
          <t>ВІЙСЬКОВА ЧАСТИНА 1141 НАЦІОНАЛЬНОЇ ГВАРДІЇ УКРАЇНИ</t>
        </is>
      </c>
      <c r="D158" t="inlineStr">
        <is>
          <t>Волинська область</t>
        </is>
      </c>
      <c r="E158" s="5" t="n">
        <v>15450</v>
      </c>
      <c r="F158" s="5" t="n">
        <v>16500</v>
      </c>
      <c r="G158" t="inlineStr">
        <is>
          <t>Запит пропозицій</t>
        </is>
      </c>
      <c r="H158" t="inlineStr">
        <is>
          <t>Машини для обробки даних (апаратна частина)</t>
        </is>
      </c>
      <c r="I158" t="inlineStr">
        <is>
          <t>договір</t>
        </is>
      </c>
    </row>
    <row r="159">
      <c r="A159" s="4" t="inlineStr">
        <is>
          <t>UA-2026-06-26-009211-a</t>
        </is>
      </c>
      <c r="B159" t="inlineStr">
        <is>
          <t>2026-07-07</t>
        </is>
      </c>
      <c r="C159" t="inlineStr">
        <is>
          <t>УПРАВЛІННЯ ГУМАНІТАРНОЇ ПОЛІТИКИ ЛЮБЕШІВСЬКОЇ СЕЛИЩНОЇ РАДИ</t>
        </is>
      </c>
      <c r="D159" t="inlineStr">
        <is>
          <t>Волинська область</t>
        </is>
      </c>
      <c r="E159" s="5" t="n">
        <v>11400</v>
      </c>
      <c r="F159" s="5" t="n">
        <v>11655</v>
      </c>
      <c r="G159" t="inlineStr">
        <is>
          <t>Запит пропозицій</t>
        </is>
      </c>
      <c r="H159" t="inlineStr">
        <is>
          <t>Комп’ютерне обладнання</t>
        </is>
      </c>
      <c r="I159" t="inlineStr">
        <is>
          <t>договір</t>
        </is>
      </c>
    </row>
    <row r="160">
      <c r="A160" s="4" t="inlineStr">
        <is>
          <t>UA-2025-09-05-002447-a</t>
        </is>
      </c>
      <c r="B160" t="inlineStr">
        <is>
          <t>2025-09-15</t>
        </is>
      </c>
      <c r="C160" t="inlineStr">
        <is>
          <t>Любомльська міська рада</t>
        </is>
      </c>
      <c r="D160" t="inlineStr">
        <is>
          <t>Волинська область</t>
        </is>
      </c>
      <c r="E160" s="5" t="n">
        <v>9900</v>
      </c>
      <c r="F160" s="5" t="n">
        <v>15000</v>
      </c>
      <c r="G160" t="inlineStr">
        <is>
          <t>Запит пропозицій</t>
        </is>
      </c>
      <c r="H160" t="inlineStr">
        <is>
          <t>Комп’ютерне обладнання</t>
        </is>
      </c>
      <c r="I160" t="inlineStr">
        <is>
          <t>договір</t>
        </is>
      </c>
    </row>
    <row r="161">
      <c r="A161" s="4" t="inlineStr">
        <is>
          <t>UA-2026-07-21-003188-a</t>
        </is>
      </c>
      <c r="B161" t="inlineStr">
        <is>
          <t>2026-08-10</t>
        </is>
      </c>
      <c r="C161" t="inlineStr">
        <is>
          <t>Виконавчий комітет Луцької міської ради</t>
        </is>
      </c>
      <c r="D161" t="inlineStr">
        <is>
          <t>Волинська область</t>
        </is>
      </c>
      <c r="E161" s="5" t="n">
        <v>4890</v>
      </c>
      <c r="F161" s="5" t="n">
        <v>5000</v>
      </c>
      <c r="G161" t="inlineStr">
        <is>
          <t>Запит пропозицій</t>
        </is>
      </c>
      <c r="H161" t="inlineStr">
        <is>
          <t>Комп’ютерне обладнання</t>
        </is>
      </c>
      <c r="I161" t="inlineStr">
        <is>
          <t>договір</t>
        </is>
      </c>
    </row>
    <row r="163">
      <c r="A163" s="2" t="inlineStr">
        <is>
          <t>Наші зустрічі</t>
        </is>
      </c>
    </row>
    <row r="164">
      <c r="A164" s="11" t="inlineStr">
        <is>
          <t>Закупівля</t>
        </is>
      </c>
      <c r="B164" s="11" t="inlineStr">
        <is>
          <t>Дата</t>
        </is>
      </c>
      <c r="C164" s="11" t="inlineStr">
        <is>
          <t>Замовник</t>
        </is>
      </c>
      <c r="D164" s="11" t="inlineStr">
        <is>
          <t>Предмет</t>
        </is>
      </c>
      <c r="E164" s="11" t="inlineStr">
        <is>
          <t>Сума переможця, грн</t>
        </is>
      </c>
      <c r="F164" s="11" t="inlineStr">
        <is>
          <t>Наша пропозиція, грн</t>
        </is>
      </c>
      <c r="G164" s="11" t="inlineStr">
        <is>
          <t>Розрив</t>
        </is>
      </c>
      <c r="H164" s="11" t="inlineStr">
        <is>
          <t>Що сталося</t>
        </is>
      </c>
    </row>
    <row r="165">
      <c r="A165" s="4" t="inlineStr">
        <is>
          <t>UA-2026-03-09-011096-a</t>
        </is>
      </c>
      <c r="B165" t="inlineStr">
        <is>
          <t>2026-03-09</t>
        </is>
      </c>
      <c r="C165" t="inlineStr">
        <is>
          <t>Державний архів Волинської області</t>
        </is>
      </c>
      <c r="D165" t="inlineStr">
        <is>
          <t>Комп'ютери настільні</t>
        </is>
      </c>
      <c r="E165" s="5" t="n">
        <v>200010</v>
      </c>
      <c r="F165" s="5" t="n">
        <v>244350</v>
      </c>
      <c r="G165" s="12" t="n">
        <v>0.2217</v>
      </c>
      <c r="H165" t="inlineStr">
        <is>
          <t>програли за ціною</t>
        </is>
      </c>
    </row>
    <row r="166">
      <c r="A166" s="4" t="inlineStr">
        <is>
          <t>UA-2026-05-27-011873-a</t>
        </is>
      </c>
      <c r="B166" t="inlineStr">
        <is>
          <t>2026-05-27</t>
        </is>
      </c>
      <c r="C166" t="inlineStr">
        <is>
          <t>ВИКОНАВЧИЙ КОМІТЕТ НОВОВОЛИНСЬКОЇ МІСЬКОЇ РАДИ</t>
        </is>
      </c>
      <c r="D166" t="inlineStr">
        <is>
          <t>Ноутбук Prologix M-15-725 (PLN725.I512.16.S2.N.069) Dark Grey</t>
        </is>
      </c>
      <c r="E166" s="5" t="n">
        <v>60000</v>
      </c>
      <c r="F166" s="5" t="n"/>
      <c r="G166" s="12" t="n"/>
      <c r="H166" t="inlineStr">
        <is>
          <t>ми не подавалися</t>
        </is>
      </c>
    </row>
    <row r="167">
      <c r="A167" s="4" t="inlineStr">
        <is>
          <t>UA-2026-05-18-003915-a</t>
        </is>
      </c>
      <c r="B167" t="inlineStr">
        <is>
          <t>2026-05-18</t>
        </is>
      </c>
      <c r="C167" t="inlineStr">
        <is>
          <t>Виконавчий комітет Луцької міської ради</t>
        </is>
      </c>
      <c r="D167" t="inlineStr">
        <is>
          <t>Планшети</t>
        </is>
      </c>
      <c r="E167" s="5" t="n">
        <v>41850</v>
      </c>
      <c r="F167" s="5" t="n"/>
      <c r="G167" s="12" t="n"/>
      <c r="H167" t="inlineStr">
        <is>
          <t>ми не подавалися</t>
        </is>
      </c>
    </row>
    <row r="168">
      <c r="A168" s="4" t="inlineStr">
        <is>
          <t>UA-2026-06-05-005739-a</t>
        </is>
      </c>
      <c r="B168" t="inlineStr">
        <is>
          <t>2026-06-05</t>
        </is>
      </c>
      <c r="C168" t="inlineStr">
        <is>
          <t>Любомльська міська рада</t>
        </is>
      </c>
      <c r="D168" t="inlineStr">
        <is>
          <t>БФП Canon i-SENSYS MF465dw</t>
        </is>
      </c>
      <c r="E168" s="5" t="n">
        <v>40000</v>
      </c>
      <c r="F168" s="5" t="n"/>
      <c r="G168" s="12" t="n"/>
      <c r="H168" t="inlineStr">
        <is>
          <t>ми не подавалися</t>
        </is>
      </c>
    </row>
    <row r="169">
      <c r="A169" s="4" t="inlineStr">
        <is>
          <t>UA-2026-05-25-011070-a</t>
        </is>
      </c>
      <c r="B169" t="inlineStr">
        <is>
          <t>2026-05-25</t>
        </is>
      </c>
      <c r="C169" t="inlineStr">
        <is>
          <t>Вишнівська сільська рада</t>
        </is>
      </c>
      <c r="D169" t="inlineStr">
        <is>
          <t>Принтери Brother DCP-L2640DN або аналог / еквівалент у кількості – 4 (чотири) шт</t>
        </is>
      </c>
      <c r="E169" s="5" t="n">
        <v>39000</v>
      </c>
      <c r="F169" s="5" t="n"/>
      <c r="G169" s="12" t="n"/>
      <c r="H169" t="inlineStr">
        <is>
          <t>ми не подавалися</t>
        </is>
      </c>
    </row>
    <row r="170">
      <c r="A170" s="4" t="inlineStr">
        <is>
          <t>UA-2026-05-18-003762-a</t>
        </is>
      </c>
      <c r="B170" t="inlineStr">
        <is>
          <t>2026-05-18</t>
        </is>
      </c>
      <c r="C170" t="inlineStr">
        <is>
          <t>Маневицька селищна рада</t>
        </is>
      </c>
      <c r="D170" t="inlineStr">
        <is>
          <t>Комп'ютери настільні</t>
        </is>
      </c>
      <c r="E170" s="5" t="n">
        <v>33600</v>
      </c>
      <c r="F170" s="5" t="n"/>
      <c r="G170" s="12" t="n"/>
      <c r="H170" t="inlineStr">
        <is>
          <t>ми не подавалися</t>
        </is>
      </c>
    </row>
    <row r="171">
      <c r="A171" s="4" t="inlineStr">
        <is>
          <t>UA-2026-06-30-011927-a</t>
        </is>
      </c>
      <c r="B171" t="inlineStr">
        <is>
          <t>2026-06-30</t>
        </is>
      </c>
      <c r="C171" t="inlineStr">
        <is>
          <t>Виконавчий комітет Луцької міської ради</t>
        </is>
      </c>
      <c r="D171" t="inlineStr">
        <is>
          <t>Планшети</t>
        </is>
      </c>
      <c r="E171" s="5" t="n">
        <v>29940</v>
      </c>
      <c r="F171" s="5" t="n"/>
      <c r="G171" s="12" t="n"/>
      <c r="H171" t="inlineStr">
        <is>
          <t>ми не подавалися</t>
        </is>
      </c>
    </row>
    <row r="172">
      <c r="A172" s="4" t="inlineStr">
        <is>
          <t>UA-2026-08-09-000562-a</t>
        </is>
      </c>
      <c r="B172" t="inlineStr">
        <is>
          <t>2026-08-09</t>
        </is>
      </c>
      <c r="C172" t="inlineStr">
        <is>
          <t>ВІЙСЬКОВА ЧАСТИНА 1141 НАЦІОНАЛЬНОЇ ГВАРДІЇ УКРАЇНИ</t>
        </is>
      </c>
      <c r="D172" t="inlineStr">
        <is>
          <t>Планшет Oukitel RT7 4G 8/256GB Black</t>
        </is>
      </c>
      <c r="E172" s="5" t="n">
        <v>15450</v>
      </c>
      <c r="F172" s="5" t="n"/>
      <c r="G172" s="12" t="n"/>
      <c r="H172" t="inlineStr">
        <is>
          <t>ми не подавалися</t>
        </is>
      </c>
    </row>
    <row r="173">
      <c r="A173" s="4" t="inlineStr">
        <is>
          <t>UA-2026-06-26-009211-a</t>
        </is>
      </c>
      <c r="B173" t="inlineStr">
        <is>
          <t>2026-06-26</t>
        </is>
      </c>
      <c r="C173" t="inlineStr">
        <is>
          <t>УПРАВЛІННЯ ГУМАНІТАРНОЇ ПОЛІТИКИ ЛЮБЕШІВСЬКОЇ СЕЛИЩНОЇ РАДИ</t>
        </is>
      </c>
      <c r="D173" t="inlineStr">
        <is>
          <t>Багатофункціональний пристрій</t>
        </is>
      </c>
      <c r="E173" s="5" t="n">
        <v>11400</v>
      </c>
      <c r="F173" s="5" t="n"/>
      <c r="G173" s="12" t="n"/>
      <c r="H173" t="inlineStr">
        <is>
          <t>ми не подавалися</t>
        </is>
      </c>
    </row>
    <row r="174">
      <c r="A174" s="4" t="inlineStr">
        <is>
          <t>UA-2025-09-05-002447-a</t>
        </is>
      </c>
      <c r="B174" t="inlineStr">
        <is>
          <t>2025-09-05</t>
        </is>
      </c>
      <c r="C174" t="inlineStr">
        <is>
          <t>Любомльська міська рада</t>
        </is>
      </c>
      <c r="D174" t="inlineStr">
        <is>
          <t>БФП ч/б друку Canon i-Sensys MF237w с Wi-Fi</t>
        </is>
      </c>
      <c r="E174" s="5" t="n">
        <v>9900</v>
      </c>
      <c r="F174" s="5" t="n"/>
      <c r="G174" s="12" t="n"/>
      <c r="H174" t="inlineStr">
        <is>
          <t>ми не подавалися</t>
        </is>
      </c>
    </row>
    <row r="175">
      <c r="A175" s="4" t="inlineStr">
        <is>
          <t>UA-2026-07-21-003188-a</t>
        </is>
      </c>
      <c r="B175" t="inlineStr">
        <is>
          <t>2026-07-21</t>
        </is>
      </c>
      <c r="C175" t="inlineStr">
        <is>
          <t>Виконавчий комітет Луцької міської ради</t>
        </is>
      </c>
      <c r="D175" t="inlineStr">
        <is>
          <t>Монітори</t>
        </is>
      </c>
      <c r="E175" s="5" t="n">
        <v>4890</v>
      </c>
      <c r="F175" s="5" t="n"/>
      <c r="G175" s="12" t="n"/>
      <c r="H175" t="inlineStr">
        <is>
          <t>ми не подавалися</t>
        </is>
      </c>
    </row>
    <row r="177">
      <c r="A177" s="8" t="inlineStr">
        <is>
          <t>Сильні сторони</t>
        </is>
      </c>
    </row>
    <row r="178">
      <c r="A178" t="inlineStr">
        <is>
          <t>+  уміє вигравати у відкритих торгах</t>
        </is>
      </c>
    </row>
    <row r="180">
      <c r="A180" s="8" t="inlineStr">
        <is>
          <t>Слабкі сторони</t>
        </is>
      </c>
    </row>
    <row r="181">
      <c r="A181" t="inlineStr">
        <is>
          <t>−  сертифікатів у поданих файлах не знайдено</t>
        </is>
      </c>
    </row>
    <row r="182">
      <c r="A182" t="inlineStr">
        <is>
          <t>−  низька результативність на торгах (22,4%)</t>
        </is>
      </c>
    </row>
    <row r="183">
      <c r="A183" t="inlineStr">
        <is>
          <t>−  спад (-50% у другій половині періоду)</t>
        </is>
      </c>
    </row>
  </sheetData>
  <hyperlinks>
    <hyperlink xmlns:r="http://schemas.openxmlformats.org/officeDocument/2006/relationships" ref="A142" r:id="rId1"/>
    <hyperlink xmlns:r="http://schemas.openxmlformats.org/officeDocument/2006/relationships" ref="A143" r:id="rId2"/>
    <hyperlink xmlns:r="http://schemas.openxmlformats.org/officeDocument/2006/relationships" ref="A144" r:id="rId3"/>
    <hyperlink xmlns:r="http://schemas.openxmlformats.org/officeDocument/2006/relationships" ref="A145" r:id="rId4"/>
    <hyperlink xmlns:r="http://schemas.openxmlformats.org/officeDocument/2006/relationships" ref="A146" r:id="rId5"/>
    <hyperlink xmlns:r="http://schemas.openxmlformats.org/officeDocument/2006/relationships" ref="A147" r:id="rId6"/>
    <hyperlink xmlns:r="http://schemas.openxmlformats.org/officeDocument/2006/relationships" ref="A151" r:id="rId7"/>
    <hyperlink xmlns:r="http://schemas.openxmlformats.org/officeDocument/2006/relationships" ref="A152" r:id="rId8"/>
    <hyperlink xmlns:r="http://schemas.openxmlformats.org/officeDocument/2006/relationships" ref="A153" r:id="rId9"/>
    <hyperlink xmlns:r="http://schemas.openxmlformats.org/officeDocument/2006/relationships" ref="A154" r:id="rId10"/>
    <hyperlink xmlns:r="http://schemas.openxmlformats.org/officeDocument/2006/relationships" ref="A155" r:id="rId11"/>
    <hyperlink xmlns:r="http://schemas.openxmlformats.org/officeDocument/2006/relationships" ref="A156" r:id="rId12"/>
    <hyperlink xmlns:r="http://schemas.openxmlformats.org/officeDocument/2006/relationships" ref="A157" r:id="rId13"/>
    <hyperlink xmlns:r="http://schemas.openxmlformats.org/officeDocument/2006/relationships" ref="A158" r:id="rId14"/>
    <hyperlink xmlns:r="http://schemas.openxmlformats.org/officeDocument/2006/relationships" ref="A159" r:id="rId15"/>
    <hyperlink xmlns:r="http://schemas.openxmlformats.org/officeDocument/2006/relationships" ref="A160" r:id="rId16"/>
    <hyperlink xmlns:r="http://schemas.openxmlformats.org/officeDocument/2006/relationships" ref="A161" r:id="rId17"/>
    <hyperlink xmlns:r="http://schemas.openxmlformats.org/officeDocument/2006/relationships" ref="A165" r:id="rId18"/>
    <hyperlink xmlns:r="http://schemas.openxmlformats.org/officeDocument/2006/relationships" ref="A166" r:id="rId19"/>
    <hyperlink xmlns:r="http://schemas.openxmlformats.org/officeDocument/2006/relationships" ref="A167" r:id="rId20"/>
    <hyperlink xmlns:r="http://schemas.openxmlformats.org/officeDocument/2006/relationships" ref="A168" r:id="rId21"/>
    <hyperlink xmlns:r="http://schemas.openxmlformats.org/officeDocument/2006/relationships" ref="A169" r:id="rId22"/>
    <hyperlink xmlns:r="http://schemas.openxmlformats.org/officeDocument/2006/relationships" ref="A170" r:id="rId23"/>
    <hyperlink xmlns:r="http://schemas.openxmlformats.org/officeDocument/2006/relationships" ref="A171" r:id="rId24"/>
    <hyperlink xmlns:r="http://schemas.openxmlformats.org/officeDocument/2006/relationships" ref="A172" r:id="rId25"/>
    <hyperlink xmlns:r="http://schemas.openxmlformats.org/officeDocument/2006/relationships" ref="A173" r:id="rId26"/>
    <hyperlink xmlns:r="http://schemas.openxmlformats.org/officeDocument/2006/relationships" ref="A174" r:id="rId27"/>
    <hyperlink xmlns:r="http://schemas.openxmlformats.org/officeDocument/2006/relationships" ref="A175" r:id="rId28"/>
  </hyperlinks>
  <pageMargins left="0.75" right="0.75" top="1" bottom="1" header="0.5" footer="0.5"/>
  <drawing xmlns:r="http://schemas.openxmlformats.org/officeDocument/2006/relationships" r:id="rId29"/>
  <tableParts count="6">
    <tablePart xmlns:r="http://schemas.openxmlformats.org/officeDocument/2006/relationships" r:id="rId30"/>
    <tablePart xmlns:r="http://schemas.openxmlformats.org/officeDocument/2006/relationships" r:id="rId31"/>
    <tablePart xmlns:r="http://schemas.openxmlformats.org/officeDocument/2006/relationships" r:id="rId32"/>
    <tablePart xmlns:r="http://schemas.openxmlformats.org/officeDocument/2006/relationships" r:id="rId33"/>
    <tablePart xmlns:r="http://schemas.openxmlformats.org/officeDocument/2006/relationships" r:id="rId34"/>
    <tablePart xmlns:r="http://schemas.openxmlformats.org/officeDocument/2006/relationships" r:id="rId35"/>
  </tableParts>
</worksheet>
</file>

<file path=xl/worksheets/sheet40.xml><?xml version="1.0" encoding="utf-8"?>
<worksheet xmlns="http://schemas.openxmlformats.org/spreadsheetml/2006/main">
  <sheetPr>
    <outlinePr summaryBelow="1" summaryRight="1"/>
    <pageSetUpPr/>
  </sheetPr>
  <dimension ref="A1:F116"/>
  <sheetViews>
    <sheetView showGridLines="0" workbookViewId="0">
      <selection activeCell="A1" sqref="A1"/>
    </sheetView>
  </sheetViews>
  <sheetFormatPr baseColWidth="8" defaultRowHeight="15"/>
  <cols>
    <col width="37" customWidth="1" min="1" max="1"/>
    <col width="22" customWidth="1" min="2" max="2"/>
    <col width="60" customWidth="1" min="3" max="3"/>
    <col width="25" customWidth="1" min="4" max="4"/>
    <col width="29" customWidth="1" min="5" max="5"/>
    <col width="60" customWidth="1" min="6" max="6"/>
  </cols>
  <sheetData>
    <row r="1">
      <c r="A1" s="1" t="inlineStr">
        <is>
          <t>ФОП "СРИВКІН СЕРГІЙ БОРИСОВИЧ"</t>
        </is>
      </c>
    </row>
    <row r="2">
      <c r="A2" s="6" t="inlineStr">
        <is>
          <t>ЄДРПОУ 2874302850  ·  конкурент  ·  поза рейтингом</t>
        </is>
      </c>
    </row>
    <row r="4">
      <c r="A4" s="7" t="inlineStr">
        <is>
          <t>ФОП "СРИВКІН СЕРГІЙ БОРИСОВИЧ" (2874302850)</t>
        </is>
      </c>
    </row>
    <row r="6">
      <c r="A6" s="8" t="inlineStr">
        <is>
          <t>Показники</t>
        </is>
      </c>
    </row>
    <row r="7">
      <c r="A7" s="9" t="inlineStr">
        <is>
          <t>Місце на ринку</t>
        </is>
      </c>
      <c r="B7" s="10" t="inlineStr">
        <is>
          <t>поза рейтингом</t>
        </is>
      </c>
    </row>
    <row r="8">
      <c r="A8" s="9" t="inlineStr">
        <is>
          <t>Сума угод</t>
        </is>
      </c>
      <c r="B8" s="10" t="inlineStr">
        <is>
          <t>0 грн</t>
        </is>
      </c>
    </row>
    <row r="9">
      <c r="A9" s="9" t="inlineStr">
        <is>
          <t>Частка ринку</t>
        </is>
      </c>
      <c r="B9" s="10" t="inlineStr">
        <is>
          <t>0,0%</t>
        </is>
      </c>
    </row>
    <row r="10">
      <c r="A10" s="9" t="inlineStr">
        <is>
          <t>Угод</t>
        </is>
      </c>
      <c r="B10" s="10" t="inlineStr">
        <is>
          <t>0</t>
        </is>
      </c>
    </row>
    <row r="11">
      <c r="A11" s="9" t="inlineStr">
        <is>
          <t>Закупівель виграно</t>
        </is>
      </c>
      <c r="B11" s="10" t="inlineStr">
        <is>
          <t>0</t>
        </is>
      </c>
    </row>
    <row r="12">
      <c r="A12" s="9" t="inlineStr">
        <is>
          <t>Подань (де видно)</t>
        </is>
      </c>
      <c r="B12" s="10" t="inlineStr">
        <is>
          <t>44</t>
        </is>
      </c>
    </row>
    <row r="13">
      <c r="A13" s="9" t="inlineStr">
        <is>
          <t>Виграно з поданих</t>
        </is>
      </c>
      <c r="B13" s="10" t="inlineStr">
        <is>
          <t>0 з 44</t>
        </is>
      </c>
    </row>
    <row r="14">
      <c r="A14" s="9" t="inlineStr">
        <is>
          <t>Результативність</t>
        </is>
      </c>
      <c r="B14" s="10" t="inlineStr">
        <is>
          <t>0,0%</t>
        </is>
      </c>
    </row>
    <row r="15">
      <c r="A15" s="9" t="inlineStr">
        <is>
          <t>Середня угода</t>
        </is>
      </c>
      <c r="B15" s="10" t="inlineStr">
        <is>
          <t>0 грн</t>
        </is>
      </c>
    </row>
    <row r="16">
      <c r="A16" s="9" t="inlineStr">
        <is>
          <t>Медіанна угода</t>
        </is>
      </c>
      <c r="B16" s="10" t="inlineStr">
        <is>
          <t>0 грн</t>
        </is>
      </c>
    </row>
    <row r="17">
      <c r="A17" s="9" t="inlineStr">
        <is>
          <t>Замовників</t>
        </is>
      </c>
      <c r="B17" s="10" t="inlineStr">
        <is>
          <t>0</t>
        </is>
      </c>
    </row>
    <row r="18">
      <c r="A18" s="9" t="inlineStr">
        <is>
          <t>Областей</t>
        </is>
      </c>
      <c r="B18" s="10" t="inlineStr">
        <is>
          <t>0</t>
        </is>
      </c>
    </row>
    <row r="19">
      <c r="A19" s="9" t="inlineStr">
        <is>
          <t>Основна ТМ</t>
        </is>
      </c>
      <c r="B19" s="10" t="inlineStr">
        <is>
          <t>Intel</t>
        </is>
      </c>
    </row>
    <row r="20">
      <c r="A20" s="9" t="inlineStr">
        <is>
          <t>Основний товар</t>
        </is>
      </c>
      <c r="B20" s="10" t="inlineStr">
        <is>
          <t>Ноутбук</t>
        </is>
      </c>
    </row>
    <row r="21">
      <c r="A21" s="9" t="inlineStr">
        <is>
          <t>Дисконт (медіана)</t>
        </is>
      </c>
      <c r="B21" s="10" t="inlineStr">
        <is>
          <t>—</t>
        </is>
      </c>
    </row>
    <row r="22">
      <c r="A22" s="9" t="inlineStr">
        <is>
          <t>Повторні замовники</t>
        </is>
      </c>
      <c r="B22" s="10" t="inlineStr">
        <is>
          <t>0,0%</t>
        </is>
      </c>
    </row>
    <row r="23">
      <c r="A23" s="9" t="inlineStr">
        <is>
          <t>Активність</t>
        </is>
      </c>
      <c r="B23" s="10" t="inlineStr">
        <is>
          <t>— — —</t>
        </is>
      </c>
    </row>
    <row r="24">
      <c r="A24" s="9" t="inlineStr">
        <is>
          <t>Зірвано перемог</t>
        </is>
      </c>
      <c r="B24" s="10" t="inlineStr">
        <is>
          <t>9 на 878,5 тис. грн</t>
        </is>
      </c>
    </row>
    <row r="25">
      <c r="A25" s="9" t="inlineStr">
        <is>
          <t>Причина зривів</t>
        </is>
      </c>
      <c r="B25" s="10" t="inlineStr">
        <is>
          <t>Відмова від договору</t>
        </is>
      </c>
    </row>
    <row r="27">
      <c r="A27" s="8" t="inlineStr">
        <is>
          <t>Висновки</t>
        </is>
      </c>
    </row>
    <row r="28">
      <c r="A28" t="inlineStr">
        <is>
          <t>•  Основний товар: ноутбук</t>
        </is>
      </c>
    </row>
    <row r="29">
      <c r="A29" t="inlineStr">
        <is>
          <t>•  ТМ Intel у 39,1% позицій</t>
        </is>
      </c>
    </row>
    <row r="30">
      <c r="A30" t="inlineStr">
        <is>
          <t>•  Результативність на торгах: 0,0% (0 з 44)</t>
        </is>
      </c>
    </row>
    <row r="31">
      <c r="A31" t="inlineStr">
        <is>
          <t>•  Зривається 100,0% виграшів: 9 з 9 на 878,5 тис. грн, найчастіше — відмова від договору</t>
        </is>
      </c>
    </row>
    <row r="33">
      <c r="A33" s="8" t="inlineStr">
        <is>
          <t>Графіки</t>
        </is>
      </c>
    </row>
    <row r="35">
      <c r="A35" s="2" t="inlineStr">
        <is>
          <t>Торгові марки у позиціях</t>
        </is>
      </c>
    </row>
    <row r="36">
      <c r="A36" s="3" t="inlineStr">
        <is>
          <t>Категорія</t>
        </is>
      </c>
      <c r="B36" s="3" t="inlineStr">
        <is>
          <t>Позицій, шт</t>
        </is>
      </c>
    </row>
    <row r="37">
      <c r="A37" t="inlineStr">
        <is>
          <t>Intel</t>
        </is>
      </c>
      <c r="B37" s="5" t="n">
        <v>9</v>
      </c>
    </row>
    <row r="38">
      <c r="A38" t="inlineStr">
        <is>
          <t>AMD</t>
        </is>
      </c>
      <c r="B38" s="5" t="n">
        <v>7</v>
      </c>
    </row>
    <row r="39">
      <c r="A39" t="inlineStr">
        <is>
          <t>Microsoft</t>
        </is>
      </c>
      <c r="B39" s="5" t="n">
        <v>7</v>
      </c>
    </row>
    <row r="55">
      <c r="A55" s="2" t="inlineStr">
        <is>
          <t>Що саме продає</t>
        </is>
      </c>
    </row>
    <row r="56">
      <c r="A56" s="3" t="inlineStr">
        <is>
          <t>Категорія</t>
        </is>
      </c>
      <c r="B56" s="3" t="inlineStr">
        <is>
          <t>Позицій, шт</t>
        </is>
      </c>
    </row>
    <row r="57">
      <c r="A57" t="inlineStr">
        <is>
          <t>Ноутбук</t>
        </is>
      </c>
      <c r="B57" s="5" t="n">
        <v>12</v>
      </c>
    </row>
    <row r="58">
      <c r="A58" t="inlineStr">
        <is>
          <t>Багатофункціональний пристрій (БФП)</t>
        </is>
      </c>
      <c r="B58" s="5" t="n">
        <v>11</v>
      </c>
    </row>
    <row r="59">
      <c r="A59" t="inlineStr">
        <is>
          <t>Персональний комп'ютер</t>
        </is>
      </c>
      <c r="B59" s="5" t="n">
        <v>5</v>
      </c>
    </row>
    <row r="60">
      <c r="A60" t="inlineStr">
        <is>
          <t>Планшет</t>
        </is>
      </c>
      <c r="B60" s="5" t="n">
        <v>4</v>
      </c>
    </row>
    <row r="61">
      <c r="A61" t="inlineStr">
        <is>
          <t>Клавіатура</t>
        </is>
      </c>
      <c r="B61" s="5" t="n">
        <v>3</v>
      </c>
    </row>
    <row r="62">
      <c r="A62" t="inlineStr">
        <is>
          <t>3D-принтер і витратні матеріали</t>
        </is>
      </c>
      <c r="B62" s="5" t="n">
        <v>3</v>
      </c>
    </row>
    <row r="63">
      <c r="A63" t="inlineStr">
        <is>
          <t>Джерело безперебійного живлення</t>
        </is>
      </c>
      <c r="B63" s="5" t="n">
        <v>2</v>
      </c>
    </row>
    <row r="64">
      <c r="A64" t="inlineStr">
        <is>
          <t>Миша</t>
        </is>
      </c>
      <c r="B64" s="5" t="n">
        <v>2</v>
      </c>
    </row>
    <row r="65">
      <c r="A65" t="inlineStr">
        <is>
          <t>Монітор</t>
        </is>
      </c>
      <c r="B65" s="5" t="n">
        <v>2</v>
      </c>
    </row>
    <row r="66">
      <c r="A66" t="inlineStr">
        <is>
          <t>Вебкамера</t>
        </is>
      </c>
      <c r="B66" s="5" t="n">
        <v>1</v>
      </c>
    </row>
    <row r="73">
      <c r="A73" s="8" t="inlineStr">
        <is>
          <t>Таблиці</t>
        </is>
      </c>
    </row>
    <row r="75">
      <c r="A75" s="2" t="inlineStr">
        <is>
          <t>ТМ</t>
        </is>
      </c>
    </row>
    <row r="76">
      <c r="A76" s="11" t="inlineStr">
        <is>
          <t>Торгова марка</t>
        </is>
      </c>
      <c r="B76" s="11" t="inlineStr">
        <is>
          <t>Позицій</t>
        </is>
      </c>
      <c r="C76" s="11" t="inlineStr">
        <is>
          <t>Частка</t>
        </is>
      </c>
      <c r="D76" s="11" t="inlineStr">
        <is>
          <t>Власна ТМ за довідником</t>
        </is>
      </c>
    </row>
    <row r="77">
      <c r="A77" t="inlineStr">
        <is>
          <t>Intel</t>
        </is>
      </c>
      <c r="B77" s="5" t="n">
        <v>9</v>
      </c>
      <c r="C77" s="12" t="n">
        <v>0.3913</v>
      </c>
      <c r="D77" t="inlineStr"/>
    </row>
    <row r="78">
      <c r="A78" t="inlineStr">
        <is>
          <t>AMD</t>
        </is>
      </c>
      <c r="B78" s="5" t="n">
        <v>7</v>
      </c>
      <c r="C78" s="12" t="n">
        <v>0.3043</v>
      </c>
      <c r="D78" t="inlineStr"/>
    </row>
    <row r="79">
      <c r="A79" t="inlineStr">
        <is>
          <t>Microsoft</t>
        </is>
      </c>
      <c r="B79" s="5" t="n">
        <v>7</v>
      </c>
      <c r="C79" s="12" t="n">
        <v>0.3043</v>
      </c>
      <c r="D79" t="inlineStr"/>
    </row>
    <row r="81">
      <c r="A81" s="2" t="inlineStr">
        <is>
          <t>Товари</t>
        </is>
      </c>
    </row>
    <row r="82">
      <c r="A82" s="11" t="inlineStr">
        <is>
          <t>Товар</t>
        </is>
      </c>
      <c r="B82" s="11" t="inlineStr">
        <is>
          <t>Позицій</t>
        </is>
      </c>
    </row>
    <row r="83">
      <c r="A83" t="inlineStr">
        <is>
          <t>Ноутбук</t>
        </is>
      </c>
      <c r="B83" s="5" t="n">
        <v>12</v>
      </c>
    </row>
    <row r="84">
      <c r="A84" t="inlineStr">
        <is>
          <t>Багатофункціональний пристрій (БФП)</t>
        </is>
      </c>
      <c r="B84" s="5" t="n">
        <v>11</v>
      </c>
    </row>
    <row r="85">
      <c r="A85" t="inlineStr">
        <is>
          <t>Персональний комп'ютер</t>
        </is>
      </c>
      <c r="B85" s="5" t="n">
        <v>5</v>
      </c>
    </row>
    <row r="86">
      <c r="A86" t="inlineStr">
        <is>
          <t>Планшет</t>
        </is>
      </c>
      <c r="B86" s="5" t="n">
        <v>4</v>
      </c>
    </row>
    <row r="87">
      <c r="A87" t="inlineStr">
        <is>
          <t>Клавіатура</t>
        </is>
      </c>
      <c r="B87" s="5" t="n">
        <v>3</v>
      </c>
    </row>
    <row r="88">
      <c r="A88" t="inlineStr">
        <is>
          <t>3D-принтер і витратні матеріали</t>
        </is>
      </c>
      <c r="B88" s="5" t="n">
        <v>3</v>
      </c>
    </row>
    <row r="89">
      <c r="A89" t="inlineStr">
        <is>
          <t>Джерело безперебійного живлення</t>
        </is>
      </c>
      <c r="B89" s="5" t="n">
        <v>2</v>
      </c>
    </row>
    <row r="90">
      <c r="A90" t="inlineStr">
        <is>
          <t>Миша</t>
        </is>
      </c>
      <c r="B90" s="5" t="n">
        <v>2</v>
      </c>
    </row>
    <row r="91">
      <c r="A91" t="inlineStr">
        <is>
          <t>Монітор</t>
        </is>
      </c>
      <c r="B91" s="5" t="n">
        <v>2</v>
      </c>
    </row>
    <row r="92">
      <c r="A92" t="inlineStr">
        <is>
          <t>Вебкамера</t>
        </is>
      </c>
      <c r="B92" s="5" t="n">
        <v>1</v>
      </c>
    </row>
    <row r="93">
      <c r="A93" t="inlineStr">
        <is>
          <t>Навушники, гарнітура</t>
        </is>
      </c>
      <c r="B93" s="5" t="n">
        <v>1</v>
      </c>
    </row>
    <row r="95">
      <c r="A95" s="2" t="inlineStr">
        <is>
          <t>Документи</t>
        </is>
      </c>
    </row>
    <row r="96">
      <c r="A96" s="11" t="inlineStr">
        <is>
          <t>Тип документа</t>
        </is>
      </c>
      <c r="B96" s="11" t="inlineStr">
        <is>
          <t>Файлів</t>
        </is>
      </c>
    </row>
    <row r="97">
      <c r="A97" t="inlineStr">
        <is>
          <t>Підпис КЕП</t>
        </is>
      </c>
      <c r="B97" s="5" t="n">
        <v>81</v>
      </c>
    </row>
    <row r="98">
      <c r="A98" t="inlineStr">
        <is>
          <t>не класифіковано</t>
        </is>
      </c>
      <c r="B98" s="5" t="n">
        <v>6</v>
      </c>
    </row>
    <row r="99">
      <c r="A99" t="inlineStr">
        <is>
          <t>Установчі та реєстраційні</t>
        </is>
      </c>
      <c r="B99" s="5" t="n">
        <v>4</v>
      </c>
    </row>
    <row r="100">
      <c r="A100" t="inlineStr">
        <is>
          <t>Договір</t>
        </is>
      </c>
      <c r="B100" s="5" t="n">
        <v>1</v>
      </c>
    </row>
    <row r="102">
      <c r="A102" s="2" t="inlineStr">
        <is>
          <t>Зірвані перемоги</t>
        </is>
      </c>
    </row>
    <row r="103">
      <c r="A103" s="11" t="inlineStr">
        <is>
          <t>Закупівля</t>
        </is>
      </c>
      <c r="B103" s="11" t="inlineStr">
        <is>
          <t>Дата</t>
        </is>
      </c>
      <c r="C103" s="11" t="inlineStr">
        <is>
          <t>Замовник</t>
        </is>
      </c>
      <c r="D103" s="11" t="inlineStr">
        <is>
          <t>Сума, грн</t>
        </is>
      </c>
      <c r="E103" s="11" t="inlineStr">
        <is>
          <t>Причина</t>
        </is>
      </c>
      <c r="F103" s="11" t="inlineStr">
        <is>
          <t>Формулювання замовника</t>
        </is>
      </c>
    </row>
    <row r="104">
      <c r="A104" s="4" t="inlineStr">
        <is>
          <t>UA-2025-11-11-016296-a</t>
        </is>
      </c>
      <c r="B104" t="inlineStr">
        <is>
          <t>2025-12-01</t>
        </is>
      </c>
      <c r="C104" t="inlineStr">
        <is>
          <t>ЛІЦЕЙ ІМЕНІ ОЛЕКСАНДРА ЦИНКАЛОВСЬКОГО ВОЛОДИМИРСЬКОЇ МІСЬКОЇ РАДИ</t>
        </is>
      </c>
      <c r="D104" s="5" t="n">
        <v>184800</v>
      </c>
      <c r="E104" t="inlineStr">
        <is>
          <t>Відмова від договору</t>
        </is>
      </c>
      <c r="F104" t="inlineStr">
        <is>
          <t>Переможець письмово відмовився від укладання договору на умовах, визначених у запиті пропозицій постачальників</t>
        </is>
      </c>
    </row>
    <row r="105">
      <c r="A105" s="4" t="inlineStr">
        <is>
          <t>UA-2025-11-11-014988-a</t>
        </is>
      </c>
      <c r="B105" t="inlineStr">
        <is>
          <t>2025-11-17</t>
        </is>
      </c>
      <c r="C105" t="inlineStr">
        <is>
          <t>ЛІЦЕЙ ІМЕНІ ОЛЕКСАНДРА ЦИНКАЛОВСЬКОГО ВОЛОДИМИРСЬКОЇ МІСЬКОЇ РАДИ</t>
        </is>
      </c>
      <c r="D105" s="5" t="n">
        <v>180000</v>
      </c>
      <c r="E105" t="inlineStr">
        <is>
          <t>Відмова від договору</t>
        </is>
      </c>
      <c r="F105" t="inlineStr">
        <is>
          <t>Переможець письмово відмовився від укладання договору на умовах, визначених у запиті пропозицій постачальників</t>
        </is>
      </c>
    </row>
    <row r="106">
      <c r="A106" s="4" t="inlineStr">
        <is>
          <t>UA-2025-10-01-005167-a</t>
        </is>
      </c>
      <c r="B106" t="inlineStr">
        <is>
          <t>2025-10-13</t>
        </is>
      </c>
      <c r="C106" t="inlineStr">
        <is>
          <t>УПРАВЛІННЯ ГУМАНІТАРНОЇ ПОЛІТИКИ ЛОКАЧИНСЬКОЇ СЕЛИЩНОЇ РАДИ</t>
        </is>
      </c>
      <c r="D106" s="5" t="n">
        <v>137250</v>
      </c>
      <c r="E106" t="inlineStr">
        <is>
          <t>Відмова від договору</t>
        </is>
      </c>
      <c r="F106" t="inlineStr">
        <is>
          <t>письмово відмовився від укладання договору на умовах, визначених у запиті пропозицій постачальників</t>
        </is>
      </c>
    </row>
    <row r="107">
      <c r="A107" s="4" t="inlineStr">
        <is>
          <t>UA-2026-08-18-002713-a</t>
        </is>
      </c>
      <c r="B107" t="inlineStr">
        <is>
          <t>2026-08-26</t>
        </is>
      </c>
      <c r="C107" t="inlineStr">
        <is>
          <t>Виконавчий комітет Луцької міської ради</t>
        </is>
      </c>
      <c r="D107" s="5" t="n">
        <v>98400</v>
      </c>
      <c r="E107" t="inlineStr">
        <is>
          <t>Відмова від договору</t>
        </is>
      </c>
      <c r="F107" t="inlineStr">
        <is>
          <t>Переможець письмово відмовився від укладення договору на умовах, визначених замовником у запиті пропозицій постачальників, шляхом заповнення електронних форм з окремими полями та у проекті договору, що є складовою частиною запиту пропозицій постачальників</t>
        </is>
      </c>
    </row>
    <row r="108">
      <c r="A108" s="4" t="inlineStr">
        <is>
          <t>UA-2026-04-17-005811-a</t>
        </is>
      </c>
      <c r="B108" t="inlineStr">
        <is>
          <t>2026-04-23</t>
        </is>
      </c>
      <c r="C108" t="inlineStr">
        <is>
          <t>Любомльська міська рада</t>
        </is>
      </c>
      <c r="D108" s="5" t="n">
        <v>98400</v>
      </c>
      <c r="E108" t="inlineStr">
        <is>
          <t>Відмова від договору</t>
        </is>
      </c>
      <c r="F108" t="inlineStr">
        <is>
          <t>Письмово відмовився від укладення договору на умовах, визначених замовником у запиті пропозицій постачальників, шляхом заповнення електронних форм з окремими полями та у проекті договору, що є складовою частиною запиту пропозицій постачальників</t>
        </is>
      </c>
    </row>
    <row r="109">
      <c r="A109" s="4" t="inlineStr">
        <is>
          <t>UA-2026-08-19-010837-a</t>
        </is>
      </c>
      <c r="B109" t="inlineStr">
        <is>
          <t>2026-08-26</t>
        </is>
      </c>
      <c r="C109" t="inlineStr">
        <is>
          <t>Любомльська міська рада</t>
        </is>
      </c>
      <c r="D109" s="5" t="n">
        <v>81900</v>
      </c>
      <c r="E109" t="inlineStr">
        <is>
          <t>Відмова від договору</t>
        </is>
      </c>
      <c r="F109" t="inlineStr">
        <is>
          <t>Письмово відмовився від укладення договору на умовах, визначених замовником у запиті пропозицій постачальників, шляхом заповнення електронних форм з окремими полями та у проекті договору, що є складовою частиною запиту пропозицій постачальників</t>
        </is>
      </c>
    </row>
    <row r="110">
      <c r="A110" s="4" t="inlineStr">
        <is>
          <t>UA-2026-06-24-009852-a</t>
        </is>
      </c>
      <c r="B110" t="inlineStr">
        <is>
          <t>2026-07-14</t>
        </is>
      </c>
      <c r="C110" t="inlineStr">
        <is>
          <t>Гуманітарний відділ Рожищенської міської ради</t>
        </is>
      </c>
      <c r="D110" s="5" t="n">
        <v>39000</v>
      </c>
      <c r="E110" t="inlineStr">
        <is>
          <t>Не підписав договір у строк</t>
        </is>
      </c>
      <c r="F110" t="inlineStr">
        <is>
          <t>не підписав договір, на умовах, визначених замовником у запиті пропозицій постачальників шляхом заповнення електронних форм із окремими полями та у проекті договору, що є складовою частиною запиту пропозицій постачальників у строк, визначений пунктом 66 цього Порядку; письмово відмовився від укладен</t>
        </is>
      </c>
    </row>
    <row r="111">
      <c r="A111" s="4" t="inlineStr">
        <is>
          <t>UA-2025-10-17-008340-a</t>
        </is>
      </c>
      <c r="B111" t="inlineStr">
        <is>
          <t>2025-10-29</t>
        </is>
      </c>
      <c r="C111" t="inlineStr">
        <is>
          <t>Департамент "Центр надання адміністративних послуг у місті Луцьку" Луцької міської ради</t>
        </is>
      </c>
      <c r="D111" s="5" t="n">
        <v>37500</v>
      </c>
      <c r="E111" t="inlineStr">
        <is>
          <t>Не підписав договір у строк</t>
        </is>
      </c>
      <c r="F111" t="inlineStr">
        <is>
          <t>Переможець не підписав договір у строк, визначений абзацом першим пункту 66 цього Порядку</t>
        </is>
      </c>
    </row>
    <row r="112">
      <c r="A112" s="4" t="inlineStr">
        <is>
          <t>UA-2025-10-10-006331-a</t>
        </is>
      </c>
      <c r="B112" t="inlineStr">
        <is>
          <t>2025-10-17</t>
        </is>
      </c>
      <c r="C112" t="inlineStr">
        <is>
          <t>ЛЮБЛИНЕЦЬКИЙ ЛІЦЕЙ ВОЛИНСЬКОЇ ОБЛАСНОЇ РАДИ</t>
        </is>
      </c>
      <c r="D112" s="5" t="n">
        <v>21300</v>
      </c>
      <c r="E112" t="inlineStr">
        <is>
          <t>Відмова від договору</t>
        </is>
      </c>
      <c r="F112" t="inlineStr">
        <is>
          <t>письмово відмовився від укладання договору на умовах, визначених у запиті пропозицій постачальників</t>
        </is>
      </c>
    </row>
    <row r="114">
      <c r="A114" s="8" t="inlineStr">
        <is>
          <t>Слабкі сторони</t>
        </is>
      </c>
    </row>
    <row r="115">
      <c r="A115" t="inlineStr">
        <is>
          <t>−  сертифікатів у поданих файлах не знайдено</t>
        </is>
      </c>
    </row>
    <row r="116">
      <c r="A116" t="inlineStr">
        <is>
          <t>−  низька результативність на торгах (0,0%)</t>
        </is>
      </c>
    </row>
  </sheetData>
  <hyperlinks>
    <hyperlink xmlns:r="http://schemas.openxmlformats.org/officeDocument/2006/relationships" ref="A104" r:id="rId1"/>
    <hyperlink xmlns:r="http://schemas.openxmlformats.org/officeDocument/2006/relationships" ref="A105" r:id="rId2"/>
    <hyperlink xmlns:r="http://schemas.openxmlformats.org/officeDocument/2006/relationships" ref="A106" r:id="rId3"/>
    <hyperlink xmlns:r="http://schemas.openxmlformats.org/officeDocument/2006/relationships" ref="A107" r:id="rId4"/>
    <hyperlink xmlns:r="http://schemas.openxmlformats.org/officeDocument/2006/relationships" ref="A108" r:id="rId5"/>
    <hyperlink xmlns:r="http://schemas.openxmlformats.org/officeDocument/2006/relationships" ref="A109" r:id="rId6"/>
    <hyperlink xmlns:r="http://schemas.openxmlformats.org/officeDocument/2006/relationships" ref="A110" r:id="rId7"/>
    <hyperlink xmlns:r="http://schemas.openxmlformats.org/officeDocument/2006/relationships" ref="A111" r:id="rId8"/>
    <hyperlink xmlns:r="http://schemas.openxmlformats.org/officeDocument/2006/relationships" ref="A112" r:id="rId9"/>
  </hyperlinks>
  <pageMargins left="0.75" right="0.75" top="1" bottom="1" header="0.5" footer="0.5"/>
  <drawing xmlns:r="http://schemas.openxmlformats.org/officeDocument/2006/relationships" r:id="rId10"/>
  <tableParts count="4">
    <tablePart xmlns:r="http://schemas.openxmlformats.org/officeDocument/2006/relationships" r:id="rId11"/>
    <tablePart xmlns:r="http://schemas.openxmlformats.org/officeDocument/2006/relationships" r:id="rId12"/>
    <tablePart xmlns:r="http://schemas.openxmlformats.org/officeDocument/2006/relationships" r:id="rId13"/>
    <tablePart xmlns:r="http://schemas.openxmlformats.org/officeDocument/2006/relationships" r:id="rId14"/>
  </tableParts>
</worksheet>
</file>

<file path=xl/worksheets/sheet41.xml><?xml version="1.0" encoding="utf-8"?>
<worksheet xmlns="http://schemas.openxmlformats.org/spreadsheetml/2006/main">
  <sheetPr>
    <outlinePr summaryBelow="1" summaryRight="1"/>
    <pageSetUpPr/>
  </sheetPr>
  <dimension ref="A1:I130"/>
  <sheetViews>
    <sheetView showGridLines="0" workbookViewId="0">
      <selection activeCell="A1" sqref="A1"/>
    </sheetView>
  </sheetViews>
  <sheetFormatPr baseColWidth="8" defaultRowHeight="15"/>
  <cols>
    <col width="42" customWidth="1" min="1" max="1"/>
    <col width="37" customWidth="1" min="2" max="2"/>
    <col width="60" customWidth="1" min="3" max="3"/>
    <col width="60" customWidth="1" min="4" max="4"/>
    <col width="21" customWidth="1" min="5" max="5"/>
    <col width="22" customWidth="1" min="6" max="6"/>
    <col width="18" customWidth="1" min="7" max="7"/>
    <col width="24" customWidth="1" min="8" max="8"/>
    <col width="10" customWidth="1" min="9" max="9"/>
  </cols>
  <sheetData>
    <row r="1">
      <c r="A1" s="1" t="inlineStr">
        <is>
          <t>ФОП СІНЬКЕВИЧ ОЛЕКСАНДР АНАТОЛІЙОВИЧ</t>
        </is>
      </c>
    </row>
    <row r="2">
      <c r="A2" s="6" t="inlineStr">
        <is>
          <t>ЄДРПОУ 3395906995  ·  конкурент  ·  місце №155</t>
        </is>
      </c>
    </row>
    <row r="4">
      <c r="A4" s="7" t="inlineStr">
        <is>
          <t>ФОП СІНЬКЕВИЧ ОЛЕКСАНДР АНАТОЛІЙОВИЧ (3395906995)</t>
        </is>
      </c>
    </row>
    <row r="6">
      <c r="A6" s="8" t="inlineStr">
        <is>
          <t>Показники</t>
        </is>
      </c>
    </row>
    <row r="7">
      <c r="A7" s="9" t="inlineStr">
        <is>
          <t>Місце на ринку</t>
        </is>
      </c>
      <c r="B7" s="10" t="inlineStr">
        <is>
          <t>№155</t>
        </is>
      </c>
    </row>
    <row r="8">
      <c r="A8" s="9" t="inlineStr">
        <is>
          <t>Сума угод</t>
        </is>
      </c>
      <c r="B8" s="10" t="inlineStr">
        <is>
          <t>123,6 тис. грн</t>
        </is>
      </c>
    </row>
    <row r="9">
      <c r="A9" s="9" t="inlineStr">
        <is>
          <t>Частка ринку</t>
        </is>
      </c>
      <c r="B9" s="10" t="inlineStr">
        <is>
          <t>0,1%</t>
        </is>
      </c>
    </row>
    <row r="10">
      <c r="A10" s="9" t="inlineStr">
        <is>
          <t>Угод</t>
        </is>
      </c>
      <c r="B10" s="10" t="inlineStr">
        <is>
          <t>5</t>
        </is>
      </c>
    </row>
    <row r="11">
      <c r="A11" s="9" t="inlineStr">
        <is>
          <t>Закупівель виграно</t>
        </is>
      </c>
      <c r="B11" s="10" t="inlineStr">
        <is>
          <t>5</t>
        </is>
      </c>
    </row>
    <row r="12">
      <c r="A12" s="9" t="inlineStr">
        <is>
          <t>Подань (де видно)</t>
        </is>
      </c>
      <c r="B12" s="10" t="inlineStr">
        <is>
          <t>39</t>
        </is>
      </c>
    </row>
    <row r="13">
      <c r="A13" s="9" t="inlineStr">
        <is>
          <t>Виграно з поданих</t>
        </is>
      </c>
      <c r="B13" s="10" t="inlineStr">
        <is>
          <t>5 з 39</t>
        </is>
      </c>
    </row>
    <row r="14">
      <c r="A14" s="9" t="inlineStr">
        <is>
          <t>Результативність</t>
        </is>
      </c>
      <c r="B14" s="10" t="inlineStr">
        <is>
          <t>12,8%</t>
        </is>
      </c>
    </row>
    <row r="15">
      <c r="A15" s="9" t="inlineStr">
        <is>
          <t>Середня угода</t>
        </is>
      </c>
      <c r="B15" s="10" t="inlineStr">
        <is>
          <t>24,7 тис. грн</t>
        </is>
      </c>
    </row>
    <row r="16">
      <c r="A16" s="9" t="inlineStr">
        <is>
          <t>Медіанна угода</t>
        </is>
      </c>
      <c r="B16" s="10" t="inlineStr">
        <is>
          <t>26,4 тис. грн</t>
        </is>
      </c>
    </row>
    <row r="17">
      <c r="A17" s="9" t="inlineStr">
        <is>
          <t>Замовників</t>
        </is>
      </c>
      <c r="B17" s="10" t="inlineStr">
        <is>
          <t>5</t>
        </is>
      </c>
    </row>
    <row r="18">
      <c r="A18" s="9" t="inlineStr">
        <is>
          <t>Областей</t>
        </is>
      </c>
      <c r="B18" s="10" t="inlineStr">
        <is>
          <t>1</t>
        </is>
      </c>
    </row>
    <row r="19">
      <c r="A19" s="9" t="inlineStr">
        <is>
          <t>Основна ТМ</t>
        </is>
      </c>
      <c r="B19" s="10" t="inlineStr">
        <is>
          <t>не визначено</t>
        </is>
      </c>
    </row>
    <row r="20">
      <c r="A20" s="9" t="inlineStr">
        <is>
          <t>Основний товар</t>
        </is>
      </c>
      <c r="B20" s="10" t="inlineStr">
        <is>
          <t>Багатофункціональний пристрій (БФП)</t>
        </is>
      </c>
    </row>
    <row r="21">
      <c r="A21" s="9" t="inlineStr">
        <is>
          <t>Дисконт (медіана)</t>
        </is>
      </c>
      <c r="B21" s="10" t="inlineStr">
        <is>
          <t>9,0%</t>
        </is>
      </c>
    </row>
    <row r="22">
      <c r="A22" s="9" t="inlineStr">
        <is>
          <t>Повторні замовники</t>
        </is>
      </c>
      <c r="B22" s="10" t="inlineStr">
        <is>
          <t>0,0%</t>
        </is>
      </c>
    </row>
    <row r="23">
      <c r="A23" s="9" t="inlineStr">
        <is>
          <t>Активність</t>
        </is>
      </c>
      <c r="B23" s="10" t="inlineStr">
        <is>
          <t>2025-09-12 — 2025-12-17</t>
        </is>
      </c>
    </row>
    <row r="24">
      <c r="A24" s="9" t="inlineStr">
        <is>
          <t>Зірвано перемог</t>
        </is>
      </c>
      <c r="B24" s="10" t="inlineStr">
        <is>
          <t>—</t>
        </is>
      </c>
    </row>
    <row r="25">
      <c r="A25" s="9" t="inlineStr">
        <is>
          <t>Причина зривів</t>
        </is>
      </c>
      <c r="B25" s="10" t="inlineStr">
        <is>
          <t>—</t>
        </is>
      </c>
    </row>
    <row r="27">
      <c r="A27" s="8" t="inlineStr">
        <is>
          <t>Висновки</t>
        </is>
      </c>
    </row>
    <row r="28">
      <c r="A28" t="inlineStr">
        <is>
          <t>•  155-е місце на ринку: 123,6 тис. грн (0,1% обороту)</t>
        </is>
      </c>
    </row>
    <row r="29">
      <c r="A29" t="inlineStr">
        <is>
          <t>•  Основний товар: багатофункціональний пристрій (бфп)</t>
        </is>
      </c>
    </row>
    <row r="30">
      <c r="A30" t="inlineStr">
        <is>
          <t>•  Грає у відкритих процедурах: лише 0,0% угод без торгів</t>
        </is>
      </c>
    </row>
    <row r="31">
      <c r="A31" t="inlineStr">
        <is>
          <t>•  Географічно сфокусований: Волинська область (100,0% угод)</t>
        </is>
      </c>
    </row>
    <row r="32">
      <c r="A32" t="inlineStr">
        <is>
          <t>•  Результативність на торгах: 12,8% (5 з 39)</t>
        </is>
      </c>
    </row>
    <row r="33">
      <c r="A33" t="inlineStr">
        <is>
          <t>•  Динаміка: зростає (30% у другій половині періоду)</t>
        </is>
      </c>
    </row>
    <row r="35">
      <c r="A35" s="8" t="inlineStr">
        <is>
          <t>Графіки</t>
        </is>
      </c>
    </row>
    <row r="37">
      <c r="A37" s="2" t="inlineStr">
        <is>
          <t>Динаміка по місяцях</t>
        </is>
      </c>
    </row>
    <row r="38">
      <c r="A38" s="3" t="inlineStr">
        <is>
          <t>Період</t>
        </is>
      </c>
      <c r="B38" s="3" t="inlineStr">
        <is>
          <t>Сума угод, грн</t>
        </is>
      </c>
    </row>
    <row r="39">
      <c r="A39" t="inlineStr">
        <is>
          <t>2025-09</t>
        </is>
      </c>
      <c r="B39" s="5" t="n">
        <v>26400</v>
      </c>
    </row>
    <row r="40">
      <c r="A40" t="inlineStr">
        <is>
          <t>2025-10</t>
        </is>
      </c>
      <c r="B40" s="5" t="n">
        <v>27400</v>
      </c>
    </row>
    <row r="41">
      <c r="A41" t="inlineStr">
        <is>
          <t>2025-12</t>
        </is>
      </c>
      <c r="B41" s="5" t="n">
        <v>69800</v>
      </c>
    </row>
    <row r="57">
      <c r="A57" s="2" t="inlineStr">
        <is>
          <t>Що саме продає</t>
        </is>
      </c>
    </row>
    <row r="58">
      <c r="A58" s="3" t="inlineStr">
        <is>
          <t>Категорія</t>
        </is>
      </c>
      <c r="B58" s="3" t="inlineStr">
        <is>
          <t>Позицій, шт</t>
        </is>
      </c>
    </row>
    <row r="59">
      <c r="A59" t="inlineStr">
        <is>
          <t>Багатофункціональний пристрій (БФП)</t>
        </is>
      </c>
      <c r="B59" s="5" t="n">
        <v>29</v>
      </c>
    </row>
    <row r="60">
      <c r="A60" t="inlineStr">
        <is>
          <t>Принтер</t>
        </is>
      </c>
      <c r="B60" s="5" t="n">
        <v>3</v>
      </c>
    </row>
    <row r="61">
      <c r="A61" t="inlineStr">
        <is>
          <t>Клавіатура</t>
        </is>
      </c>
      <c r="B61" s="5" t="n">
        <v>3</v>
      </c>
    </row>
    <row r="62">
      <c r="A62" t="inlineStr">
        <is>
          <t>Монітор</t>
        </is>
      </c>
      <c r="B62" s="5" t="n">
        <v>2</v>
      </c>
    </row>
    <row r="63">
      <c r="A63" t="inlineStr">
        <is>
          <t>3D-принтер і витратні матеріали</t>
        </is>
      </c>
      <c r="B63" s="5" t="n">
        <v>1</v>
      </c>
    </row>
    <row r="64">
      <c r="A64" t="inlineStr">
        <is>
          <t>Миша</t>
        </is>
      </c>
      <c r="B64" s="5" t="n">
        <v>1</v>
      </c>
    </row>
    <row r="65">
      <c r="A65" t="inlineStr">
        <is>
          <t>Накопичувач SSD</t>
        </is>
      </c>
      <c r="B65" s="5" t="n">
        <v>1</v>
      </c>
    </row>
    <row r="66">
      <c r="A66" t="inlineStr">
        <is>
          <t>Вебкамера</t>
        </is>
      </c>
      <c r="B66" s="5" t="n">
        <v>1</v>
      </c>
    </row>
    <row r="67">
      <c r="A67" t="inlineStr">
        <is>
          <t>Навушники, гарнітура</t>
        </is>
      </c>
      <c r="B67" s="5" t="n">
        <v>1</v>
      </c>
    </row>
    <row r="74">
      <c r="A74" s="2" t="inlineStr">
        <is>
          <t>Ключові замовники</t>
        </is>
      </c>
    </row>
    <row r="75">
      <c r="A75" s="3" t="inlineStr">
        <is>
          <t>Категорія</t>
        </is>
      </c>
      <c r="B75" s="3" t="inlineStr">
        <is>
          <t>Сума, грн</t>
        </is>
      </c>
    </row>
    <row r="76">
      <c r="A76" t="inlineStr">
        <is>
          <t>УПРАВЛІННЯ ГУМАНІТАРНОЇ ПОЛІТИКИ РАТНІВС</t>
        </is>
      </c>
      <c r="B76" s="5" t="n">
        <v>28800</v>
      </c>
    </row>
    <row r="77">
      <c r="A77" t="inlineStr">
        <is>
          <t>Заклад професійної (професійно-технічної</t>
        </is>
      </c>
      <c r="B77" s="5" t="n">
        <v>27400</v>
      </c>
    </row>
    <row r="78">
      <c r="A78" t="inlineStr">
        <is>
          <t>ЗАБРОДІВСЬКА СІЛЬСЬКА РАДА</t>
        </is>
      </c>
      <c r="B78" s="5" t="n">
        <v>26400</v>
      </c>
    </row>
    <row r="79">
      <c r="A79" t="inlineStr">
        <is>
          <t>Управління освіти виконавчого комітету К</t>
        </is>
      </c>
      <c r="B79" s="5" t="n">
        <v>21900</v>
      </c>
    </row>
    <row r="80">
      <c r="A80" t="inlineStr">
        <is>
          <t>Департамент житлово-комунального господа</t>
        </is>
      </c>
      <c r="B80" s="5" t="n">
        <v>19100</v>
      </c>
    </row>
    <row r="90">
      <c r="A90" s="8" t="inlineStr">
        <is>
          <t>Таблиці</t>
        </is>
      </c>
    </row>
    <row r="92">
      <c r="A92" s="2" t="inlineStr">
        <is>
          <t>Товари</t>
        </is>
      </c>
    </row>
    <row r="93">
      <c r="A93" s="11" t="inlineStr">
        <is>
          <t>Товар</t>
        </is>
      </c>
      <c r="B93" s="11" t="inlineStr">
        <is>
          <t>Позицій</t>
        </is>
      </c>
    </row>
    <row r="94">
      <c r="A94" t="inlineStr">
        <is>
          <t>Багатофункціональний пристрій (БФП)</t>
        </is>
      </c>
      <c r="B94" s="5" t="n">
        <v>29</v>
      </c>
    </row>
    <row r="95">
      <c r="A95" t="inlineStr">
        <is>
          <t>Принтер</t>
        </is>
      </c>
      <c r="B95" s="5" t="n">
        <v>3</v>
      </c>
    </row>
    <row r="96">
      <c r="A96" t="inlineStr">
        <is>
          <t>Клавіатура</t>
        </is>
      </c>
      <c r="B96" s="5" t="n">
        <v>3</v>
      </c>
    </row>
    <row r="97">
      <c r="A97" t="inlineStr">
        <is>
          <t>Монітор</t>
        </is>
      </c>
      <c r="B97" s="5" t="n">
        <v>2</v>
      </c>
    </row>
    <row r="98">
      <c r="A98" t="inlineStr">
        <is>
          <t>3D-принтер і витратні матеріали</t>
        </is>
      </c>
      <c r="B98" s="5" t="n">
        <v>1</v>
      </c>
    </row>
    <row r="99">
      <c r="A99" t="inlineStr">
        <is>
          <t>Миша</t>
        </is>
      </c>
      <c r="B99" s="5" t="n">
        <v>1</v>
      </c>
    </row>
    <row r="100">
      <c r="A100" t="inlineStr">
        <is>
          <t>Накопичувач SSD</t>
        </is>
      </c>
      <c r="B100" s="5" t="n">
        <v>1</v>
      </c>
    </row>
    <row r="101">
      <c r="A101" t="inlineStr">
        <is>
          <t>Вебкамера</t>
        </is>
      </c>
      <c r="B101" s="5" t="n">
        <v>1</v>
      </c>
    </row>
    <row r="102">
      <c r="A102" t="inlineStr">
        <is>
          <t>Навушники, гарнітура</t>
        </is>
      </c>
      <c r="B102" s="5" t="n">
        <v>1</v>
      </c>
    </row>
    <row r="104">
      <c r="A104" s="2" t="inlineStr">
        <is>
          <t>Документи</t>
        </is>
      </c>
    </row>
    <row r="105">
      <c r="A105" s="11" t="inlineStr">
        <is>
          <t>Тип документа</t>
        </is>
      </c>
      <c r="B105" s="11" t="inlineStr">
        <is>
          <t>Файлів</t>
        </is>
      </c>
    </row>
    <row r="106">
      <c r="A106" t="inlineStr">
        <is>
          <t>Підпис КЕП</t>
        </is>
      </c>
      <c r="B106" s="5" t="n">
        <v>40</v>
      </c>
    </row>
    <row r="107">
      <c r="A107" t="inlineStr">
        <is>
          <t>Установчі та реєстраційні</t>
        </is>
      </c>
      <c r="B107" s="5" t="n">
        <v>1</v>
      </c>
    </row>
    <row r="109">
      <c r="A109" s="2" t="inlineStr">
        <is>
          <t>Угоди</t>
        </is>
      </c>
    </row>
    <row r="110">
      <c r="A110" s="11" t="inlineStr">
        <is>
          <t>Закупівля</t>
        </is>
      </c>
      <c r="B110" s="11" t="inlineStr">
        <is>
          <t>Дата</t>
        </is>
      </c>
      <c r="C110" s="11" t="inlineStr">
        <is>
          <t>Замовник</t>
        </is>
      </c>
      <c r="D110" s="11" t="inlineStr">
        <is>
          <t>Регіон</t>
        </is>
      </c>
      <c r="E110" s="11" t="inlineStr">
        <is>
          <t>Сума, грн</t>
        </is>
      </c>
      <c r="F110" s="11" t="inlineStr">
        <is>
          <t>Очікувана, грн</t>
        </is>
      </c>
      <c r="G110" s="11" t="inlineStr">
        <is>
          <t>Процедура</t>
        </is>
      </c>
      <c r="H110" s="11" t="inlineStr">
        <is>
          <t>Галузь</t>
        </is>
      </c>
      <c r="I110" s="11" t="inlineStr">
        <is>
          <t>Джерело</t>
        </is>
      </c>
    </row>
    <row r="111">
      <c r="A111" s="4" t="inlineStr">
        <is>
          <t>UA-2025-12-02-009458-a</t>
        </is>
      </c>
      <c r="B111" t="inlineStr">
        <is>
          <t>2025-12-09</t>
        </is>
      </c>
      <c r="C111" t="inlineStr">
        <is>
          <t>УПРАВЛІННЯ ГУМАНІТАРНОЇ ПОЛІТИКИ РАТНІВСЬКОЇ СЕЛИЩНОЇ РАДИ</t>
        </is>
      </c>
      <c r="D111" t="inlineStr">
        <is>
          <t>Волинська область</t>
        </is>
      </c>
      <c r="E111" s="5" t="n">
        <v>28800</v>
      </c>
      <c r="F111" s="5" t="n">
        <v>30000</v>
      </c>
      <c r="G111" t="inlineStr">
        <is>
          <t>Запит пропозицій</t>
        </is>
      </c>
      <c r="H111" t="inlineStr">
        <is>
          <t>Комп’ютерне обладнання</t>
        </is>
      </c>
      <c r="I111" t="inlineStr">
        <is>
          <t>договір</t>
        </is>
      </c>
    </row>
    <row r="112">
      <c r="A112" s="4" t="inlineStr">
        <is>
          <t>UA-2025-10-13-003016-a</t>
        </is>
      </c>
      <c r="B112" t="inlineStr">
        <is>
          <t>2025-10-21</t>
        </is>
      </c>
      <c r="C112" t="inlineStr">
        <is>
          <t>Заклад професійної (професійно-технічної) освіти "Регіональний професійний коледж м. Володимир"</t>
        </is>
      </c>
      <c r="D112" t="inlineStr">
        <is>
          <t>Волинська область</t>
        </is>
      </c>
      <c r="E112" s="5" t="n">
        <v>27400</v>
      </c>
      <c r="F112" s="5" t="n">
        <v>28500</v>
      </c>
      <c r="G112" t="inlineStr">
        <is>
          <t>Запит пропозицій</t>
        </is>
      </c>
      <c r="H112" t="inlineStr">
        <is>
          <t>Комп’ютерне обладнання</t>
        </is>
      </c>
      <c r="I112" t="inlineStr">
        <is>
          <t>договір</t>
        </is>
      </c>
    </row>
    <row r="113">
      <c r="A113" s="4" t="inlineStr">
        <is>
          <t>UA-2025-09-03-009264-a</t>
        </is>
      </c>
      <c r="B113" t="inlineStr">
        <is>
          <t>2025-09-12</t>
        </is>
      </c>
      <c r="C113" t="inlineStr">
        <is>
          <t>ЗАБРОДІВСЬКА СІЛЬСЬКА РАДА</t>
        </is>
      </c>
      <c r="D113" t="inlineStr">
        <is>
          <t>Волинська область</t>
        </is>
      </c>
      <c r="E113" s="5" t="n">
        <v>26400</v>
      </c>
      <c r="F113" s="5" t="n">
        <v>32000</v>
      </c>
      <c r="G113" t="inlineStr">
        <is>
          <t>Запит пропозицій</t>
        </is>
      </c>
      <c r="H113" t="inlineStr">
        <is>
          <t>Комп’ютерне обладнання</t>
        </is>
      </c>
      <c r="I113" t="inlineStr">
        <is>
          <t>договір</t>
        </is>
      </c>
    </row>
    <row r="114">
      <c r="A114" s="4" t="inlineStr">
        <is>
          <t>UA-2025-12-12-018968-a</t>
        </is>
      </c>
      <c r="B114" t="inlineStr">
        <is>
          <t>2025-12-17</t>
        </is>
      </c>
      <c r="C114" t="inlineStr">
        <is>
          <t>Управління освіти виконавчого комітету Ковельської міської ради</t>
        </is>
      </c>
      <c r="D114" t="inlineStr">
        <is>
          <t>Волинська область</t>
        </is>
      </c>
      <c r="E114" s="5" t="n">
        <v>21900</v>
      </c>
      <c r="F114" s="5" t="n">
        <v>25000</v>
      </c>
      <c r="G114" t="inlineStr">
        <is>
          <t>Запит пропозицій</t>
        </is>
      </c>
      <c r="H114" t="inlineStr">
        <is>
          <t>Комп’ютерне обладнання</t>
        </is>
      </c>
      <c r="I114" t="inlineStr">
        <is>
          <t>договір</t>
        </is>
      </c>
    </row>
    <row r="115">
      <c r="A115" s="4" t="inlineStr">
        <is>
          <t>UA-2025-12-02-018883-a</t>
        </is>
      </c>
      <c r="B115" t="inlineStr">
        <is>
          <t>2025-12-16</t>
        </is>
      </c>
      <c r="C115" t="inlineStr">
        <is>
          <t>Департамент житлово-комунального господарства Луцької міської ради</t>
        </is>
      </c>
      <c r="D115" t="inlineStr">
        <is>
          <t>Волинська область</t>
        </is>
      </c>
      <c r="E115" s="5" t="n">
        <v>19100</v>
      </c>
      <c r="F115" s="5" t="n">
        <v>21000</v>
      </c>
      <c r="G115" t="inlineStr">
        <is>
          <t>Запит пропозицій</t>
        </is>
      </c>
      <c r="H115" t="inlineStr">
        <is>
          <t>Комп’ютерне обладнання</t>
        </is>
      </c>
      <c r="I115" t="inlineStr">
        <is>
          <t>договір</t>
        </is>
      </c>
    </row>
    <row r="117">
      <c r="A117" s="2" t="inlineStr">
        <is>
          <t>Наші зустрічі</t>
        </is>
      </c>
    </row>
    <row r="118">
      <c r="A118" s="11" t="inlineStr">
        <is>
          <t>Закупівля</t>
        </is>
      </c>
      <c r="B118" s="11" t="inlineStr">
        <is>
          <t>Дата</t>
        </is>
      </c>
      <c r="C118" s="11" t="inlineStr">
        <is>
          <t>Замовник</t>
        </is>
      </c>
      <c r="D118" s="11" t="inlineStr">
        <is>
          <t>Предмет</t>
        </is>
      </c>
      <c r="E118" s="11" t="inlineStr">
        <is>
          <t>Сума переможця, грн</t>
        </is>
      </c>
      <c r="F118" s="11" t="inlineStr">
        <is>
          <t>Наша пропозиція, грн</t>
        </is>
      </c>
      <c r="G118" s="11" t="inlineStr">
        <is>
          <t>Розрив</t>
        </is>
      </c>
      <c r="H118" s="11" t="inlineStr">
        <is>
          <t>Що сталося</t>
        </is>
      </c>
    </row>
    <row r="119">
      <c r="A119" s="4" t="inlineStr">
        <is>
          <t>UA-2025-12-02-009458-a</t>
        </is>
      </c>
      <c r="B119" t="inlineStr">
        <is>
          <t>2025-12-02</t>
        </is>
      </c>
      <c r="C119" t="inlineStr">
        <is>
          <t>УПРАВЛІННЯ ГУМАНІТАРНОЇ ПОЛІТИКИ РАТНІВСЬКОЇ СЕЛИЩНОЇ РАДИ</t>
        </is>
      </c>
      <c r="D119" t="inlineStr">
        <is>
          <t>Багатофункціональний пристрій (БФП) (ДК 021:2015: 30230000-0 Комп’ютерне обладна</t>
        </is>
      </c>
      <c r="E119" s="5" t="n">
        <v>28800</v>
      </c>
      <c r="H119" t="inlineStr">
        <is>
          <t>ми не подавалися</t>
        </is>
      </c>
    </row>
    <row r="120">
      <c r="A120" s="4" t="inlineStr">
        <is>
          <t>UA-2025-10-13-003016-a</t>
        </is>
      </c>
      <c r="B120" t="inlineStr">
        <is>
          <t>2025-10-13</t>
        </is>
      </c>
      <c r="C120" t="inlineStr">
        <is>
          <t>Заклад професійної (професійно-технічної) освіти "Регіональний професійний коледж м. Володимир"</t>
        </is>
      </c>
      <c r="D120" t="inlineStr">
        <is>
          <t>30230000-0 Комп’ютерне обладнання - 3D-принтер Bambu Lab A1 Combo</t>
        </is>
      </c>
      <c r="E120" s="5" t="n">
        <v>27400</v>
      </c>
      <c r="H120" t="inlineStr">
        <is>
          <t>ми не подавалися</t>
        </is>
      </c>
    </row>
    <row r="121">
      <c r="A121" s="4" t="inlineStr">
        <is>
          <t>UA-2025-09-03-009264-a</t>
        </is>
      </c>
      <c r="B121" t="inlineStr">
        <is>
          <t>2025-09-03</t>
        </is>
      </c>
      <c r="C121" t="inlineStr">
        <is>
          <t>ЗАБРОДІВСЬКА СІЛЬСЬКА РАДА</t>
        </is>
      </c>
      <c r="D121" t="inlineStr">
        <is>
          <t>Комп’ютерне обладнання</t>
        </is>
      </c>
      <c r="E121" s="5" t="n">
        <v>26400</v>
      </c>
      <c r="H121" t="inlineStr">
        <is>
          <t>ми не подавалися</t>
        </is>
      </c>
    </row>
    <row r="122">
      <c r="A122" s="4" t="inlineStr">
        <is>
          <t>UA-2025-12-12-018968-a</t>
        </is>
      </c>
      <c r="B122" t="inlineStr">
        <is>
          <t>2025-12-12</t>
        </is>
      </c>
      <c r="C122" t="inlineStr">
        <is>
          <t>Управління освіти виконавчого комітету Ковельської міської ради</t>
        </is>
      </c>
      <c r="D122" t="inlineStr">
        <is>
          <t>Принтери</t>
        </is>
      </c>
      <c r="E122" s="5" t="n">
        <v>21900</v>
      </c>
      <c r="H122" t="inlineStr">
        <is>
          <t>ми не подавалися</t>
        </is>
      </c>
    </row>
    <row r="123">
      <c r="A123" s="4" t="inlineStr">
        <is>
          <t>UA-2025-12-02-018883-a</t>
        </is>
      </c>
      <c r="B123" t="inlineStr">
        <is>
          <t>2025-12-02</t>
        </is>
      </c>
      <c r="C123" t="inlineStr">
        <is>
          <t>Департамент житлово-комунального господарства Луцької міської ради</t>
        </is>
      </c>
      <c r="D123" t="inlineStr">
        <is>
          <t>Багатофункціональні пристрої (2 шт.)</t>
        </is>
      </c>
      <c r="E123" s="5" t="n">
        <v>19100</v>
      </c>
      <c r="H123" t="inlineStr">
        <is>
          <t>ми не подавалися</t>
        </is>
      </c>
    </row>
    <row r="125">
      <c r="A125" s="8" t="inlineStr">
        <is>
          <t>Сильні сторони</t>
        </is>
      </c>
    </row>
    <row r="126">
      <c r="A126" t="inlineStr">
        <is>
          <t>+  уміє вигравати у відкритих торгах</t>
        </is>
      </c>
    </row>
    <row r="128">
      <c r="A128" s="8" t="inlineStr">
        <is>
          <t>Слабкі сторони</t>
        </is>
      </c>
    </row>
    <row r="129">
      <c r="A129" t="inlineStr">
        <is>
          <t>−  сертифікатів у поданих файлах не знайдено</t>
        </is>
      </c>
    </row>
    <row r="130">
      <c r="A130" t="inlineStr">
        <is>
          <t>−  низька результативність на торгах (12,8%)</t>
        </is>
      </c>
    </row>
  </sheetData>
  <hyperlinks>
    <hyperlink xmlns:r="http://schemas.openxmlformats.org/officeDocument/2006/relationships" ref="A111" r:id="rId1"/>
    <hyperlink xmlns:r="http://schemas.openxmlformats.org/officeDocument/2006/relationships" ref="A112" r:id="rId2"/>
    <hyperlink xmlns:r="http://schemas.openxmlformats.org/officeDocument/2006/relationships" ref="A113" r:id="rId3"/>
    <hyperlink xmlns:r="http://schemas.openxmlformats.org/officeDocument/2006/relationships" ref="A114" r:id="rId4"/>
    <hyperlink xmlns:r="http://schemas.openxmlformats.org/officeDocument/2006/relationships" ref="A115" r:id="rId5"/>
    <hyperlink xmlns:r="http://schemas.openxmlformats.org/officeDocument/2006/relationships" ref="A119" r:id="rId6"/>
    <hyperlink xmlns:r="http://schemas.openxmlformats.org/officeDocument/2006/relationships" ref="A120" r:id="rId7"/>
    <hyperlink xmlns:r="http://schemas.openxmlformats.org/officeDocument/2006/relationships" ref="A121" r:id="rId8"/>
    <hyperlink xmlns:r="http://schemas.openxmlformats.org/officeDocument/2006/relationships" ref="A122" r:id="rId9"/>
    <hyperlink xmlns:r="http://schemas.openxmlformats.org/officeDocument/2006/relationships" ref="A123" r:id="rId10"/>
  </hyperlinks>
  <pageMargins left="0.75" right="0.75" top="1" bottom="1" header="0.5" footer="0.5"/>
  <drawing xmlns:r="http://schemas.openxmlformats.org/officeDocument/2006/relationships" r:id="rId11"/>
  <tableParts count="4">
    <tablePart xmlns:r="http://schemas.openxmlformats.org/officeDocument/2006/relationships" r:id="rId12"/>
    <tablePart xmlns:r="http://schemas.openxmlformats.org/officeDocument/2006/relationships" r:id="rId13"/>
    <tablePart xmlns:r="http://schemas.openxmlformats.org/officeDocument/2006/relationships" r:id="rId14"/>
    <tablePart xmlns:r="http://schemas.openxmlformats.org/officeDocument/2006/relationships" r:id="rId15"/>
  </tableParts>
</worksheet>
</file>

<file path=xl/worksheets/sheet42.xml><?xml version="1.0" encoding="utf-8"?>
<worksheet xmlns="http://schemas.openxmlformats.org/spreadsheetml/2006/main">
  <sheetPr>
    <outlinePr summaryBelow="1" summaryRight="1"/>
    <pageSetUpPr/>
  </sheetPr>
  <dimension ref="A1:I186"/>
  <sheetViews>
    <sheetView showGridLines="0" workbookViewId="0">
      <selection activeCell="A1" sqref="A1"/>
    </sheetView>
  </sheetViews>
  <sheetFormatPr baseColWidth="8" defaultRowHeight="15"/>
  <cols>
    <col width="42" customWidth="1" min="1" max="1"/>
    <col width="37" customWidth="1" min="2" max="2"/>
    <col width="60" customWidth="1" min="3" max="3"/>
    <col width="60" customWidth="1" min="4" max="4"/>
    <col width="29" customWidth="1" min="5" max="5"/>
    <col width="60" customWidth="1" min="6" max="6"/>
    <col width="18" customWidth="1" min="7" max="7"/>
    <col width="24" customWidth="1" min="8" max="8"/>
    <col width="10" customWidth="1" min="9" max="9"/>
  </cols>
  <sheetData>
    <row r="1">
      <c r="A1" s="1" t="inlineStr">
        <is>
          <t>ТОВ "Епіцентр К"</t>
        </is>
      </c>
    </row>
    <row r="2">
      <c r="A2" s="6" t="inlineStr">
        <is>
          <t>ЄДРПОУ 32490244  ·  конкурент  ·  місце №125</t>
        </is>
      </c>
    </row>
    <row r="4">
      <c r="A4" s="7" t="inlineStr">
        <is>
          <t>ТОВ "Епіцентр К" (32490244)</t>
        </is>
      </c>
    </row>
    <row r="6">
      <c r="A6" s="8" t="inlineStr">
        <is>
          <t>Показники</t>
        </is>
      </c>
    </row>
    <row r="7">
      <c r="A7" s="9" t="inlineStr">
        <is>
          <t>Місце на ринку</t>
        </is>
      </c>
      <c r="B7" s="10" t="inlineStr">
        <is>
          <t>№125</t>
        </is>
      </c>
    </row>
    <row r="8">
      <c r="A8" s="9" t="inlineStr">
        <is>
          <t>Сума угод</t>
        </is>
      </c>
      <c r="B8" s="10" t="inlineStr">
        <is>
          <t>202,2 тис. грн</t>
        </is>
      </c>
    </row>
    <row r="9">
      <c r="A9" s="9" t="inlineStr">
        <is>
          <t>Частка ринку</t>
        </is>
      </c>
      <c r="B9" s="10" t="inlineStr">
        <is>
          <t>0,2%</t>
        </is>
      </c>
    </row>
    <row r="10">
      <c r="A10" s="9" t="inlineStr">
        <is>
          <t>Угод</t>
        </is>
      </c>
      <c r="B10" s="10" t="inlineStr">
        <is>
          <t>7</t>
        </is>
      </c>
    </row>
    <row r="11">
      <c r="A11" s="9" t="inlineStr">
        <is>
          <t>Закупівель виграно</t>
        </is>
      </c>
      <c r="B11" s="10" t="inlineStr">
        <is>
          <t>7</t>
        </is>
      </c>
    </row>
    <row r="12">
      <c r="A12" s="9" t="inlineStr">
        <is>
          <t>Подань (де видно)</t>
        </is>
      </c>
      <c r="B12" s="10" t="inlineStr">
        <is>
          <t>38</t>
        </is>
      </c>
    </row>
    <row r="13">
      <c r="A13" s="9" t="inlineStr">
        <is>
          <t>Виграно з поданих</t>
        </is>
      </c>
      <c r="B13" s="10" t="inlineStr">
        <is>
          <t>5 з 38</t>
        </is>
      </c>
    </row>
    <row r="14">
      <c r="A14" s="9" t="inlineStr">
        <is>
          <t>Результативність</t>
        </is>
      </c>
      <c r="B14" s="10" t="inlineStr">
        <is>
          <t>13,2%</t>
        </is>
      </c>
    </row>
    <row r="15">
      <c r="A15" s="9" t="inlineStr">
        <is>
          <t>Середня угода</t>
        </is>
      </c>
      <c r="B15" s="10" t="inlineStr">
        <is>
          <t>28,9 тис. грн</t>
        </is>
      </c>
    </row>
    <row r="16">
      <c r="A16" s="9" t="inlineStr">
        <is>
          <t>Медіанна угода</t>
        </is>
      </c>
      <c r="B16" s="10" t="inlineStr">
        <is>
          <t>11,0 тис. грн</t>
        </is>
      </c>
    </row>
    <row r="17">
      <c r="A17" s="9" t="inlineStr">
        <is>
          <t>Замовників</t>
        </is>
      </c>
      <c r="B17" s="10" t="inlineStr">
        <is>
          <t>7</t>
        </is>
      </c>
    </row>
    <row r="18">
      <c r="A18" s="9" t="inlineStr">
        <is>
          <t>Областей</t>
        </is>
      </c>
      <c r="B18" s="10" t="inlineStr">
        <is>
          <t>1</t>
        </is>
      </c>
    </row>
    <row r="19">
      <c r="A19" s="9" t="inlineStr">
        <is>
          <t>Основна ТМ</t>
        </is>
      </c>
      <c r="B19" s="10" t="inlineStr">
        <is>
          <t>Epson</t>
        </is>
      </c>
    </row>
    <row r="20">
      <c r="A20" s="9" t="inlineStr">
        <is>
          <t>Основний товар</t>
        </is>
      </c>
      <c r="B20" s="10" t="inlineStr">
        <is>
          <t>Багатофункціональний пристрій (БФП)</t>
        </is>
      </c>
    </row>
    <row r="21">
      <c r="A21" s="9" t="inlineStr">
        <is>
          <t>Дисконт (медіана)</t>
        </is>
      </c>
      <c r="B21" s="10" t="inlineStr">
        <is>
          <t>8,1%</t>
        </is>
      </c>
    </row>
    <row r="22">
      <c r="A22" s="9" t="inlineStr">
        <is>
          <t>Повторні замовники</t>
        </is>
      </c>
      <c r="B22" s="10" t="inlineStr">
        <is>
          <t>0,0%</t>
        </is>
      </c>
    </row>
    <row r="23">
      <c r="A23" s="9" t="inlineStr">
        <is>
          <t>Активність</t>
        </is>
      </c>
      <c r="B23" s="10" t="inlineStr">
        <is>
          <t>2025-09-29 — 2026-07-13</t>
        </is>
      </c>
    </row>
    <row r="24">
      <c r="A24" s="9" t="inlineStr">
        <is>
          <t>Зірвано перемог</t>
        </is>
      </c>
      <c r="B24" s="10" t="inlineStr">
        <is>
          <t>3 на 814,8 тис. грн</t>
        </is>
      </c>
    </row>
    <row r="25">
      <c r="A25" s="9" t="inlineStr">
        <is>
          <t>Причина зривів</t>
        </is>
      </c>
      <c r="B25" s="10" t="inlineStr">
        <is>
          <t>Відмова від договору</t>
        </is>
      </c>
    </row>
    <row r="27">
      <c r="A27" s="8" t="inlineStr">
        <is>
          <t>Висновки</t>
        </is>
      </c>
    </row>
    <row r="28">
      <c r="A28" t="inlineStr">
        <is>
          <t>•  125-е місце на ринку: 202,2 тис. грн (0,2% обороту)</t>
        </is>
      </c>
    </row>
    <row r="29">
      <c r="A29" t="inlineStr">
        <is>
          <t>•  Основний товар: багатофункціональний пристрій (бфп)</t>
        </is>
      </c>
    </row>
    <row r="30">
      <c r="A30" t="inlineStr">
        <is>
          <t>•  Помічена ТМ: Epson (замало позицій для висновку)</t>
        </is>
      </c>
    </row>
    <row r="31">
      <c r="A31" t="inlineStr">
        <is>
          <t>•  Географічно сфокусований: Волинська область (100,0% угод)</t>
        </is>
      </c>
    </row>
    <row r="32">
      <c r="A32" t="inlineStr">
        <is>
          <t>•  Результативність на торгах: 13,2% (5 з 38)</t>
        </is>
      </c>
    </row>
    <row r="33">
      <c r="A33" t="inlineStr">
        <is>
          <t>•  Динаміка: зростає (385% у другій половині періоду)</t>
        </is>
      </c>
    </row>
    <row r="34">
      <c r="A34" t="inlineStr">
        <is>
          <t>•  Зривається 30,0% виграшів: 3 з 10 на 814,8 тис. грн, найчастіше — відмова від договору</t>
        </is>
      </c>
    </row>
    <row r="36">
      <c r="A36" s="8" t="inlineStr">
        <is>
          <t>Графіки</t>
        </is>
      </c>
    </row>
    <row r="38">
      <c r="A38" s="2" t="inlineStr">
        <is>
          <t>Динаміка по місяцях</t>
        </is>
      </c>
    </row>
    <row r="39">
      <c r="A39" s="3" t="inlineStr">
        <is>
          <t>Період</t>
        </is>
      </c>
      <c r="B39" s="3" t="inlineStr">
        <is>
          <t>Сума угод, грн</t>
        </is>
      </c>
    </row>
    <row r="40">
      <c r="A40" t="inlineStr">
        <is>
          <t>2025-09</t>
        </is>
      </c>
      <c r="B40" s="5" t="n">
        <v>16665</v>
      </c>
    </row>
    <row r="41">
      <c r="A41" t="inlineStr">
        <is>
          <t>2025-10</t>
        </is>
      </c>
      <c r="B41" s="5" t="n">
        <v>9012.959999999999</v>
      </c>
    </row>
    <row r="42">
      <c r="A42" t="inlineStr">
        <is>
          <t>2025-11</t>
        </is>
      </c>
      <c r="B42" s="5" t="n">
        <v>92936.81999999999</v>
      </c>
    </row>
    <row r="43">
      <c r="A43" t="inlineStr">
        <is>
          <t>2026-06</t>
        </is>
      </c>
      <c r="B43" s="5" t="n">
        <v>10999</v>
      </c>
    </row>
    <row r="44">
      <c r="A44" t="inlineStr">
        <is>
          <t>2026-07</t>
        </is>
      </c>
      <c r="B44" s="5" t="n">
        <v>72604.34</v>
      </c>
    </row>
    <row r="58">
      <c r="A58" s="2" t="inlineStr">
        <is>
          <t>Торгові марки у позиціях</t>
        </is>
      </c>
    </row>
    <row r="59">
      <c r="A59" s="3" t="inlineStr">
        <is>
          <t>Категорія</t>
        </is>
      </c>
      <c r="B59" s="3" t="inlineStr">
        <is>
          <t>Позицій, шт</t>
        </is>
      </c>
    </row>
    <row r="60">
      <c r="A60" t="inlineStr">
        <is>
          <t>Epson</t>
        </is>
      </c>
      <c r="B60" s="5" t="n">
        <v>1</v>
      </c>
    </row>
    <row r="78">
      <c r="A78" s="2" t="inlineStr">
        <is>
          <t>Що саме продає</t>
        </is>
      </c>
    </row>
    <row r="79">
      <c r="A79" s="3" t="inlineStr">
        <is>
          <t>Категорія</t>
        </is>
      </c>
      <c r="B79" s="3" t="inlineStr">
        <is>
          <t>Позицій, шт</t>
        </is>
      </c>
    </row>
    <row r="80">
      <c r="A80" t="inlineStr">
        <is>
          <t>Багатофункціональний пристрій (БФП)</t>
        </is>
      </c>
      <c r="B80" s="5" t="n">
        <v>20</v>
      </c>
    </row>
    <row r="81">
      <c r="A81" t="inlineStr">
        <is>
          <t>Монітор</t>
        </is>
      </c>
      <c r="B81" s="5" t="n">
        <v>7</v>
      </c>
    </row>
    <row r="82">
      <c r="A82" t="inlineStr">
        <is>
          <t>Клавіатура</t>
        </is>
      </c>
      <c r="B82" s="5" t="n">
        <v>6</v>
      </c>
    </row>
    <row r="83">
      <c r="A83" t="inlineStr">
        <is>
          <t>Принтер</t>
        </is>
      </c>
      <c r="B83" s="5" t="n">
        <v>2</v>
      </c>
    </row>
    <row r="84">
      <c r="A84" t="inlineStr">
        <is>
          <t>Миша</t>
        </is>
      </c>
      <c r="B84" s="5" t="n">
        <v>2</v>
      </c>
    </row>
    <row r="85">
      <c r="A85" t="inlineStr">
        <is>
          <t>Вебкамера</t>
        </is>
      </c>
      <c r="B85" s="5" t="n">
        <v>2</v>
      </c>
    </row>
    <row r="86">
      <c r="A86" t="inlineStr">
        <is>
          <t>Накопичувач (тип не вказано)</t>
        </is>
      </c>
      <c r="B86" s="5" t="n">
        <v>1</v>
      </c>
    </row>
    <row r="87">
      <c r="A87" t="inlineStr">
        <is>
          <t>Джерело безперебійного живлення</t>
        </is>
      </c>
      <c r="B87" s="5" t="n">
        <v>1</v>
      </c>
    </row>
    <row r="88">
      <c r="A88" t="inlineStr">
        <is>
          <t>Мережевий фільтр і подовжувач</t>
        </is>
      </c>
      <c r="B88" s="5" t="n">
        <v>1</v>
      </c>
    </row>
    <row r="95">
      <c r="A95" s="2" t="inlineStr">
        <is>
          <t>Ключові замовники</t>
        </is>
      </c>
    </row>
    <row r="96">
      <c r="A96" s="3" t="inlineStr">
        <is>
          <t>Категорія</t>
        </is>
      </c>
      <c r="B96" s="3" t="inlineStr">
        <is>
          <t>Сума, грн</t>
        </is>
      </c>
    </row>
    <row r="97">
      <c r="A97" t="inlineStr">
        <is>
          <t>Територіальне управління Державної судов</t>
        </is>
      </c>
      <c r="B97" s="5" t="n">
        <v>84066.84</v>
      </c>
    </row>
    <row r="98">
      <c r="A98" t="inlineStr">
        <is>
          <t>Виконавчий комітет Ковельської міської р</t>
        </is>
      </c>
      <c r="B98" s="5" t="n">
        <v>63299.34</v>
      </c>
    </row>
    <row r="99">
      <c r="A99" t="inlineStr">
        <is>
          <t>Гуманітарний відділ Городищенської сільс</t>
        </is>
      </c>
      <c r="B99" s="5" t="n">
        <v>16665</v>
      </c>
    </row>
    <row r="100">
      <c r="A100" t="inlineStr">
        <is>
          <t>КП " ЛІКАРНЯ СВЯТОГО ПАНТЕЛЕЙМОНА КІВЕРЦ</t>
        </is>
      </c>
      <c r="B100" s="5" t="n">
        <v>10999</v>
      </c>
    </row>
    <row r="101">
      <c r="A101" t="inlineStr">
        <is>
          <t>КП “Цуманська лікарня Цуманської селищно</t>
        </is>
      </c>
      <c r="B101" s="5" t="n">
        <v>9305</v>
      </c>
    </row>
    <row r="102">
      <c r="A102" t="inlineStr">
        <is>
          <t>ЛЮБЛИНЕЦЬКИЙ ЛІЦЕЙ ВОЛИНСЬКОЇ ОБЛАСНОЇ Р</t>
        </is>
      </c>
      <c r="B102" s="5" t="n">
        <v>9012.959999999999</v>
      </c>
    </row>
    <row r="103">
      <c r="A103" t="inlineStr">
        <is>
          <t>Виконавчий комітет Луцької міської ради</t>
        </is>
      </c>
      <c r="B103" s="5" t="n">
        <v>8869.98</v>
      </c>
    </row>
    <row r="111">
      <c r="A111" s="2" t="inlineStr">
        <is>
          <t>Процедури</t>
        </is>
      </c>
    </row>
    <row r="112">
      <c r="A112" s="3" t="inlineStr">
        <is>
          <t>Категорія</t>
        </is>
      </c>
      <c r="B112" s="3" t="inlineStr">
        <is>
          <t>Угод, шт</t>
        </is>
      </c>
    </row>
    <row r="113">
      <c r="A113" t="inlineStr">
        <is>
          <t>Запит пропозицій</t>
        </is>
      </c>
      <c r="B113" s="5" t="n">
        <v>5</v>
      </c>
    </row>
    <row r="114">
      <c r="A114" t="inlineStr">
        <is>
          <t>Звіт про договір</t>
        </is>
      </c>
      <c r="B114" s="5" t="n">
        <v>2</v>
      </c>
    </row>
    <row r="131">
      <c r="A131" s="8" t="inlineStr">
        <is>
          <t>Таблиці</t>
        </is>
      </c>
    </row>
    <row r="133">
      <c r="A133" s="2" t="inlineStr">
        <is>
          <t>ТМ</t>
        </is>
      </c>
    </row>
    <row r="134">
      <c r="A134" s="11" t="inlineStr">
        <is>
          <t>Торгова марка</t>
        </is>
      </c>
      <c r="B134" s="11" t="inlineStr">
        <is>
          <t>Позицій</t>
        </is>
      </c>
      <c r="C134" s="11" t="inlineStr">
        <is>
          <t>Частка</t>
        </is>
      </c>
      <c r="D134" s="11" t="inlineStr">
        <is>
          <t>Власна ТМ за довідником</t>
        </is>
      </c>
    </row>
    <row r="135">
      <c r="A135" t="inlineStr">
        <is>
          <t>Epson</t>
        </is>
      </c>
      <c r="B135" s="5" t="n">
        <v>1</v>
      </c>
      <c r="C135" s="12" t="n">
        <v>1</v>
      </c>
      <c r="D135" t="inlineStr"/>
    </row>
    <row r="137">
      <c r="A137" s="2" t="inlineStr">
        <is>
          <t>Товари</t>
        </is>
      </c>
    </row>
    <row r="138">
      <c r="A138" s="11" t="inlineStr">
        <is>
          <t>Товар</t>
        </is>
      </c>
      <c r="B138" s="11" t="inlineStr">
        <is>
          <t>Позицій</t>
        </is>
      </c>
    </row>
    <row r="139">
      <c r="A139" t="inlineStr">
        <is>
          <t>Багатофункціональний пристрій (БФП)</t>
        </is>
      </c>
      <c r="B139" s="5" t="n">
        <v>20</v>
      </c>
    </row>
    <row r="140">
      <c r="A140" t="inlineStr">
        <is>
          <t>Монітор</t>
        </is>
      </c>
      <c r="B140" s="5" t="n">
        <v>7</v>
      </c>
    </row>
    <row r="141">
      <c r="A141" t="inlineStr">
        <is>
          <t>Клавіатура</t>
        </is>
      </c>
      <c r="B141" s="5" t="n">
        <v>6</v>
      </c>
    </row>
    <row r="142">
      <c r="A142" t="inlineStr">
        <is>
          <t>Принтер</t>
        </is>
      </c>
      <c r="B142" s="5" t="n">
        <v>2</v>
      </c>
    </row>
    <row r="143">
      <c r="A143" t="inlineStr">
        <is>
          <t>Миша</t>
        </is>
      </c>
      <c r="B143" s="5" t="n">
        <v>2</v>
      </c>
    </row>
    <row r="144">
      <c r="A144" t="inlineStr">
        <is>
          <t>Вебкамера</t>
        </is>
      </c>
      <c r="B144" s="5" t="n">
        <v>2</v>
      </c>
    </row>
    <row r="145">
      <c r="A145" t="inlineStr">
        <is>
          <t>Накопичувач (тип не вказано)</t>
        </is>
      </c>
      <c r="B145" s="5" t="n">
        <v>1</v>
      </c>
    </row>
    <row r="146">
      <c r="A146" t="inlineStr">
        <is>
          <t>Джерело безперебійного живлення</t>
        </is>
      </c>
      <c r="B146" s="5" t="n">
        <v>1</v>
      </c>
    </row>
    <row r="147">
      <c r="A147" t="inlineStr">
        <is>
          <t>Мережевий фільтр і подовжувач</t>
        </is>
      </c>
      <c r="B147" s="5" t="n">
        <v>1</v>
      </c>
    </row>
    <row r="149">
      <c r="A149" s="2" t="inlineStr">
        <is>
          <t>Документи</t>
        </is>
      </c>
    </row>
    <row r="150">
      <c r="A150" s="11" t="inlineStr">
        <is>
          <t>Тип документа</t>
        </is>
      </c>
      <c r="B150" s="11" t="inlineStr">
        <is>
          <t>Файлів</t>
        </is>
      </c>
    </row>
    <row r="151">
      <c r="A151" t="inlineStr">
        <is>
          <t>Підпис КЕП</t>
        </is>
      </c>
      <c r="B151" s="5" t="n">
        <v>47</v>
      </c>
    </row>
    <row r="152">
      <c r="A152" t="inlineStr">
        <is>
          <t>Установчі та реєстраційні</t>
        </is>
      </c>
      <c r="B152" s="5" t="n">
        <v>2</v>
      </c>
    </row>
    <row r="153">
      <c r="A153" t="inlineStr">
        <is>
          <t>не класифіковано</t>
        </is>
      </c>
      <c r="B153" s="5" t="n">
        <v>2</v>
      </c>
    </row>
    <row r="155">
      <c r="A155" s="2" t="inlineStr">
        <is>
          <t>Зірвані перемоги</t>
        </is>
      </c>
    </row>
    <row r="156">
      <c r="A156" s="11" t="inlineStr">
        <is>
          <t>Закупівля</t>
        </is>
      </c>
      <c r="B156" s="11" t="inlineStr">
        <is>
          <t>Дата</t>
        </is>
      </c>
      <c r="C156" s="11" t="inlineStr">
        <is>
          <t>Замовник</t>
        </is>
      </c>
      <c r="D156" s="11" t="inlineStr">
        <is>
          <t>Сума, грн</t>
        </is>
      </c>
      <c r="E156" s="11" t="inlineStr">
        <is>
          <t>Причина</t>
        </is>
      </c>
      <c r="F156" s="11" t="inlineStr">
        <is>
          <t>Формулювання замовника</t>
        </is>
      </c>
    </row>
    <row r="157">
      <c r="A157" s="4" t="inlineStr">
        <is>
          <t>UA-2025-09-16-005057-a</t>
        </is>
      </c>
      <c r="B157" t="inlineStr">
        <is>
          <t>2025-09-22</t>
        </is>
      </c>
      <c r="C157" t="inlineStr">
        <is>
          <t>Територіальне управління Державної судової адміністрації України в Волинській області</t>
        </is>
      </c>
      <c r="D157" s="13" t="n">
        <v>667689.6</v>
      </c>
      <c r="E157" t="inlineStr">
        <is>
          <t>Відмова від договору</t>
        </is>
      </c>
      <c r="F157" t="inlineStr">
        <is>
          <t>Переможець письмово відмовився від укладання договору на умовах, визначених у запиті пропозицій постачальників</t>
        </is>
      </c>
    </row>
    <row r="158">
      <c r="A158" s="4" t="inlineStr">
        <is>
          <t>UA-2025-10-24-012403-a</t>
        </is>
      </c>
      <c r="B158" t="inlineStr">
        <is>
          <t>2025-11-04</t>
        </is>
      </c>
      <c r="C158" t="inlineStr">
        <is>
          <t>Територіальне управління Державної судової адміністрації України в Волинській області</t>
        </is>
      </c>
      <c r="D158" s="13" t="n">
        <v>138000</v>
      </c>
      <c r="E158" t="inlineStr">
        <is>
          <t>Не підписав договір у строк</t>
        </is>
      </c>
      <c r="F158" t="inlineStr">
        <is>
          <t>Переможець не підписав договір у строк, визначений абзацом першим пункту 66 цього Порядку</t>
        </is>
      </c>
    </row>
    <row r="159">
      <c r="A159" s="4" t="inlineStr">
        <is>
          <t>UA-2025-10-22-010976-a</t>
        </is>
      </c>
      <c r="B159" t="inlineStr">
        <is>
          <t>2025-10-27</t>
        </is>
      </c>
      <c r="C159" t="inlineStr">
        <is>
          <t>Виконавчий комітет Луцької міської ради</t>
        </is>
      </c>
      <c r="D159" s="13" t="n">
        <v>9123</v>
      </c>
      <c r="E159" t="inlineStr">
        <is>
          <t>Відмова від договору</t>
        </is>
      </c>
      <c r="F159" t="inlineStr">
        <is>
          <t>Переможець письмово відмовився від укладання договору на умовах, визначених у запиті пропозицій постачальників</t>
        </is>
      </c>
    </row>
    <row r="161">
      <c r="A161" s="2" t="inlineStr">
        <is>
          <t>Угоди</t>
        </is>
      </c>
    </row>
    <row r="162">
      <c r="A162" s="11" t="inlineStr">
        <is>
          <t>Закупівля</t>
        </is>
      </c>
      <c r="B162" s="11" t="inlineStr">
        <is>
          <t>Дата</t>
        </is>
      </c>
      <c r="C162" s="11" t="inlineStr">
        <is>
          <t>Замовник</t>
        </is>
      </c>
      <c r="D162" s="11" t="inlineStr">
        <is>
          <t>Регіон</t>
        </is>
      </c>
      <c r="E162" s="11" t="inlineStr">
        <is>
          <t>Сума, грн</t>
        </is>
      </c>
      <c r="F162" s="11" t="inlineStr">
        <is>
          <t>Очікувана, грн</t>
        </is>
      </c>
      <c r="G162" s="11" t="inlineStr">
        <is>
          <t>Процедура</t>
        </is>
      </c>
      <c r="H162" s="11" t="inlineStr">
        <is>
          <t>Галузь</t>
        </is>
      </c>
      <c r="I162" s="11" t="inlineStr">
        <is>
          <t>Джерело</t>
        </is>
      </c>
    </row>
    <row r="163">
      <c r="A163" s="4" t="inlineStr">
        <is>
          <t>UA-2025-10-24-010296-a</t>
        </is>
      </c>
      <c r="B163" t="inlineStr">
        <is>
          <t>2025-11-20</t>
        </is>
      </c>
      <c r="C163" t="inlineStr">
        <is>
          <t>Територіальне управління Державної судової адміністрації України в Волинській області</t>
        </is>
      </c>
      <c r="D163" t="inlineStr">
        <is>
          <t>Волинська область</t>
        </is>
      </c>
      <c r="E163" s="13" t="n">
        <v>84066.84</v>
      </c>
      <c r="F163" s="5" t="n">
        <v>95637</v>
      </c>
      <c r="G163" t="inlineStr">
        <is>
          <t>Запит пропозицій</t>
        </is>
      </c>
      <c r="H163" t="inlineStr">
        <is>
          <t>Комп’ютерне обладнання</t>
        </is>
      </c>
      <c r="I163" t="inlineStr">
        <is>
          <t>договір</t>
        </is>
      </c>
    </row>
    <row r="164">
      <c r="A164" s="4" t="inlineStr">
        <is>
          <t>UA-2026-06-16-011580-a</t>
        </is>
      </c>
      <c r="B164" t="inlineStr">
        <is>
          <t>2026-07-01</t>
        </is>
      </c>
      <c r="C164" t="inlineStr">
        <is>
          <t>Виконавчий комітет Ковельської міської ради</t>
        </is>
      </c>
      <c r="D164" t="inlineStr">
        <is>
          <t>Волинська область</t>
        </is>
      </c>
      <c r="E164" s="13" t="n">
        <v>63299.34</v>
      </c>
      <c r="F164" s="5" t="n">
        <v>68900</v>
      </c>
      <c r="G164" t="inlineStr">
        <is>
          <t>Запит пропозицій</t>
        </is>
      </c>
      <c r="H164" t="inlineStr">
        <is>
          <t>Комп’ютерне обладнання</t>
        </is>
      </c>
      <c r="I164" t="inlineStr">
        <is>
          <t>договір</t>
        </is>
      </c>
    </row>
    <row r="165">
      <c r="A165" s="4" t="inlineStr">
        <is>
          <t>UA-2025-09-23-010940-a</t>
        </is>
      </c>
      <c r="B165" t="inlineStr">
        <is>
          <t>2025-09-29</t>
        </is>
      </c>
      <c r="C165" t="inlineStr">
        <is>
          <t>Гуманітарний відділ Городищенської сільської ради</t>
        </is>
      </c>
      <c r="D165" t="inlineStr">
        <is>
          <t>Волинська область</t>
        </is>
      </c>
      <c r="E165" s="13" t="n">
        <v>16665</v>
      </c>
      <c r="F165" s="5" t="n">
        <v>21250</v>
      </c>
      <c r="G165" t="inlineStr">
        <is>
          <t>Запит пропозицій</t>
        </is>
      </c>
      <c r="H165" t="inlineStr">
        <is>
          <t>Комп’ютерне обладнання</t>
        </is>
      </c>
      <c r="I165" t="inlineStr">
        <is>
          <t>договір</t>
        </is>
      </c>
    </row>
    <row r="166">
      <c r="A166" s="4" t="inlineStr">
        <is>
          <t>UA-2026-06-15-012072-a</t>
        </is>
      </c>
      <c r="B166" t="inlineStr">
        <is>
          <t>2026-06-15</t>
        </is>
      </c>
      <c r="C166" t="inlineStr">
        <is>
          <t>КП " ЛІКАРНЯ СВЯТОГО ПАНТЕЛЕЙМОНА КІВЕРЦІВСЬКОЇ МІСЬКОЇ РАДИ"</t>
        </is>
      </c>
      <c r="D166" t="inlineStr">
        <is>
          <t>Волинська область</t>
        </is>
      </c>
      <c r="E166" s="13" t="n">
        <v>10999</v>
      </c>
      <c r="F166" s="5" t="n">
        <v>10999</v>
      </c>
      <c r="G166" t="inlineStr">
        <is>
          <t>Звіт про договір</t>
        </is>
      </c>
      <c r="H166" t="inlineStr">
        <is>
          <t>Комп’ютерне обладнання</t>
        </is>
      </c>
      <c r="I166" t="inlineStr">
        <is>
          <t>договір</t>
        </is>
      </c>
    </row>
    <row r="167">
      <c r="A167" s="4" t="inlineStr">
        <is>
          <t>UA-2026-07-13-003979-a</t>
        </is>
      </c>
      <c r="B167" t="inlineStr">
        <is>
          <t>2026-07-13</t>
        </is>
      </c>
      <c r="C167" t="inlineStr">
        <is>
          <t>КП “Цуманська лікарня Цуманської селищної ради”</t>
        </is>
      </c>
      <c r="D167" t="inlineStr">
        <is>
          <t>Волинська область</t>
        </is>
      </c>
      <c r="E167" s="13" t="n">
        <v>9305</v>
      </c>
      <c r="F167" s="5" t="n">
        <v>9305</v>
      </c>
      <c r="G167" t="inlineStr">
        <is>
          <t>Звіт про договір</t>
        </is>
      </c>
      <c r="H167" t="inlineStr">
        <is>
          <t>Комп’ютерне обладнання</t>
        </is>
      </c>
      <c r="I167" t="inlineStr">
        <is>
          <t>договір</t>
        </is>
      </c>
    </row>
    <row r="168">
      <c r="A168" s="4" t="inlineStr">
        <is>
          <t>UA-2025-10-09-014125-a</t>
        </is>
      </c>
      <c r="B168" t="inlineStr">
        <is>
          <t>2025-10-20</t>
        </is>
      </c>
      <c r="C168" t="inlineStr">
        <is>
          <t>ЛЮБЛИНЕЦЬКИЙ ЛІЦЕЙ ВОЛИНСЬКОЇ ОБЛАСНОЇ РАДИ</t>
        </is>
      </c>
      <c r="D168" t="inlineStr">
        <is>
          <t>Волинська область</t>
        </is>
      </c>
      <c r="E168" s="13" t="n">
        <v>9012.959999999999</v>
      </c>
      <c r="F168" s="5" t="n">
        <v>12500</v>
      </c>
      <c r="G168" t="inlineStr">
        <is>
          <t>Запит пропозицій</t>
        </is>
      </c>
      <c r="H168" t="inlineStr">
        <is>
          <t>Комп’ютерне обладнання</t>
        </is>
      </c>
      <c r="I168" t="inlineStr">
        <is>
          <t>договір</t>
        </is>
      </c>
    </row>
    <row r="169">
      <c r="A169" s="4" t="inlineStr">
        <is>
          <t>UA-2025-10-27-002344-a</t>
        </is>
      </c>
      <c r="B169" t="inlineStr">
        <is>
          <t>2025-11-04</t>
        </is>
      </c>
      <c r="C169" t="inlineStr">
        <is>
          <t>Виконавчий комітет Луцької міської ради</t>
        </is>
      </c>
      <c r="D169" t="inlineStr">
        <is>
          <t>Волинська область</t>
        </is>
      </c>
      <c r="E169" s="13" t="n">
        <v>8869.98</v>
      </c>
      <c r="F169" s="5" t="n">
        <v>9500</v>
      </c>
      <c r="G169" t="inlineStr">
        <is>
          <t>Запит пропозицій</t>
        </is>
      </c>
      <c r="H169" t="inlineStr">
        <is>
          <t>Комп’ютерне обладнання</t>
        </is>
      </c>
      <c r="I169" t="inlineStr">
        <is>
          <t>договір</t>
        </is>
      </c>
    </row>
    <row r="171">
      <c r="A171" s="2" t="inlineStr">
        <is>
          <t>Наші зустрічі</t>
        </is>
      </c>
    </row>
    <row r="172">
      <c r="A172" s="11" t="inlineStr">
        <is>
          <t>Закупівля</t>
        </is>
      </c>
      <c r="B172" s="11" t="inlineStr">
        <is>
          <t>Дата</t>
        </is>
      </c>
      <c r="C172" s="11" t="inlineStr">
        <is>
          <t>Замовник</t>
        </is>
      </c>
      <c r="D172" s="11" t="inlineStr">
        <is>
          <t>Предмет</t>
        </is>
      </c>
      <c r="E172" s="11" t="inlineStr">
        <is>
          <t>Сума переможця, грн</t>
        </is>
      </c>
      <c r="F172" s="11" t="inlineStr">
        <is>
          <t>Наша пропозиція, грн</t>
        </is>
      </c>
      <c r="G172" s="11" t="inlineStr">
        <is>
          <t>Розрив</t>
        </is>
      </c>
      <c r="H172" s="11" t="inlineStr">
        <is>
          <t>Що сталося</t>
        </is>
      </c>
    </row>
    <row r="173">
      <c r="A173" s="4" t="inlineStr">
        <is>
          <t>UA-2025-10-24-010296-a</t>
        </is>
      </c>
      <c r="B173" t="inlineStr">
        <is>
          <t>2025-10-24</t>
        </is>
      </c>
      <c r="C173" t="inlineStr">
        <is>
          <t>Територіальне управління Державної судової адміністрації України в Волинській області</t>
        </is>
      </c>
      <c r="D173" t="inlineStr">
        <is>
          <t>код ДК 021:2015 30230000-0 «Комп’ютерне обладнання» (A4Tech KRS-83 USB (Black) К</t>
        </is>
      </c>
      <c r="E173" s="13" t="n">
        <v>84066.84</v>
      </c>
      <c r="H173" t="inlineStr">
        <is>
          <t>ми не подавалися</t>
        </is>
      </c>
    </row>
    <row r="174">
      <c r="A174" s="4" t="inlineStr">
        <is>
          <t>UA-2026-06-16-011580-a</t>
        </is>
      </c>
      <c r="B174" t="inlineStr">
        <is>
          <t>2026-06-16</t>
        </is>
      </c>
      <c r="C174" t="inlineStr">
        <is>
          <t>Виконавчий комітет Ковельської міської ради</t>
        </is>
      </c>
      <c r="D174" t="inlineStr">
        <is>
          <t>Монітор Samsung 27 (LS27F320GAIXUA)</t>
        </is>
      </c>
      <c r="E174" s="13" t="n">
        <v>63299.34</v>
      </c>
      <c r="H174" t="inlineStr">
        <is>
          <t>ми не подавалися</t>
        </is>
      </c>
    </row>
    <row r="175">
      <c r="A175" s="4" t="inlineStr">
        <is>
          <t>UA-2025-09-23-010940-a</t>
        </is>
      </c>
      <c r="B175" t="inlineStr">
        <is>
          <t>2025-09-23</t>
        </is>
      </c>
      <c r="C175" t="inlineStr">
        <is>
          <t>Гуманітарний відділ Городищенської сільської ради</t>
        </is>
      </c>
      <c r="D175" t="inlineStr">
        <is>
          <t>БФП Epson EcoTank L3251 (C11CJ67413) - ДК 021:2015:30230000-0 Комп’ютерне обладн</t>
        </is>
      </c>
      <c r="E175" s="13" t="n">
        <v>16665</v>
      </c>
      <c r="H175" t="inlineStr">
        <is>
          <t>ми не подавалися</t>
        </is>
      </c>
    </row>
    <row r="176">
      <c r="A176" s="4" t="inlineStr">
        <is>
          <t>UA-2026-06-15-012072-a</t>
        </is>
      </c>
      <c r="B176" t="inlineStr">
        <is>
          <t>2026-06-15</t>
        </is>
      </c>
      <c r="C176" t="inlineStr">
        <is>
          <t>КП " ЛІКАРНЯ СВЯТОГО ПАНТЕЛЕЙМОНА КІВЕРЦІВСЬКОЇ МІСЬКОЇ РАДИ"</t>
        </is>
      </c>
      <c r="D176" t="inlineStr">
        <is>
          <t>Лазерний принтер</t>
        </is>
      </c>
      <c r="E176" s="13" t="n">
        <v>10999</v>
      </c>
      <c r="H176" t="inlineStr">
        <is>
          <t>ми не подавалися</t>
        </is>
      </c>
    </row>
    <row r="177">
      <c r="A177" s="4" t="inlineStr">
        <is>
          <t>UA-2026-07-13-003979-a</t>
        </is>
      </c>
      <c r="B177" t="inlineStr">
        <is>
          <t>2026-07-13</t>
        </is>
      </c>
      <c r="C177" t="inlineStr">
        <is>
          <t>КП “Цуманська лікарня Цуманської селищної ради”</t>
        </is>
      </c>
      <c r="D177" t="inlineStr">
        <is>
          <t>БФП А4 струменевий EPSON L 3201 (код ДК 021-2015 : 30230000-0 - Комп’ютерне обла</t>
        </is>
      </c>
      <c r="E177" s="13" t="n">
        <v>9305</v>
      </c>
      <c r="H177" t="inlineStr">
        <is>
          <t>ми не подавалися</t>
        </is>
      </c>
    </row>
    <row r="178">
      <c r="A178" s="4" t="inlineStr">
        <is>
          <t>UA-2025-10-09-014125-a</t>
        </is>
      </c>
      <c r="B178" t="inlineStr">
        <is>
          <t>2025-10-09</t>
        </is>
      </c>
      <c r="C178" t="inlineStr">
        <is>
          <t>ЛЮБЛИНЕЦЬКИЙ ЛІЦЕЙ ВОЛИНСЬКОЇ ОБЛАСНОЇ РАДИ</t>
        </is>
      </c>
      <c r="D178" t="inlineStr">
        <is>
          <t>Багатофункціональні пристрої</t>
        </is>
      </c>
      <c r="E178" s="13" t="n">
        <v>9012.959999999999</v>
      </c>
      <c r="H178" t="inlineStr">
        <is>
          <t>ми не подавалися</t>
        </is>
      </c>
    </row>
    <row r="179">
      <c r="A179" s="4" t="inlineStr">
        <is>
          <t>UA-2025-10-27-002344-a</t>
        </is>
      </c>
      <c r="B179" t="inlineStr">
        <is>
          <t>2025-10-27</t>
        </is>
      </c>
      <c r="C179" t="inlineStr">
        <is>
          <t>Виконавчий комітет Луцької міської ради</t>
        </is>
      </c>
      <c r="D179" t="inlineStr">
        <is>
          <t>БФП Epson EcoTank L3251 (C11CJ67413)</t>
        </is>
      </c>
      <c r="E179" s="13" t="n">
        <v>8869.98</v>
      </c>
      <c r="H179" t="inlineStr">
        <is>
          <t>ми не подавалися</t>
        </is>
      </c>
    </row>
    <row r="181">
      <c r="A181" s="8" t="inlineStr">
        <is>
          <t>Сильні сторони</t>
        </is>
      </c>
    </row>
    <row r="182">
      <c r="A182" t="inlineStr">
        <is>
          <t>+  зростання (385% у другій половині періоду)</t>
        </is>
      </c>
    </row>
    <row r="184">
      <c r="A184" s="8" t="inlineStr">
        <is>
          <t>Слабкі сторони</t>
        </is>
      </c>
    </row>
    <row r="185">
      <c r="A185" t="inlineStr">
        <is>
          <t>−  сертифікатів у поданих файлах не знайдено</t>
        </is>
      </c>
    </row>
    <row r="186">
      <c r="A186" t="inlineStr">
        <is>
          <t>−  низька результативність на торгах (13,2%)</t>
        </is>
      </c>
    </row>
  </sheetData>
  <hyperlinks>
    <hyperlink xmlns:r="http://schemas.openxmlformats.org/officeDocument/2006/relationships" ref="A157" r:id="rId1"/>
    <hyperlink xmlns:r="http://schemas.openxmlformats.org/officeDocument/2006/relationships" ref="A158" r:id="rId2"/>
    <hyperlink xmlns:r="http://schemas.openxmlformats.org/officeDocument/2006/relationships" ref="A159" r:id="rId3"/>
    <hyperlink xmlns:r="http://schemas.openxmlformats.org/officeDocument/2006/relationships" ref="A163" r:id="rId4"/>
    <hyperlink xmlns:r="http://schemas.openxmlformats.org/officeDocument/2006/relationships" ref="A164" r:id="rId5"/>
    <hyperlink xmlns:r="http://schemas.openxmlformats.org/officeDocument/2006/relationships" ref="A165" r:id="rId6"/>
    <hyperlink xmlns:r="http://schemas.openxmlformats.org/officeDocument/2006/relationships" ref="A166" r:id="rId7"/>
    <hyperlink xmlns:r="http://schemas.openxmlformats.org/officeDocument/2006/relationships" ref="A167" r:id="rId8"/>
    <hyperlink xmlns:r="http://schemas.openxmlformats.org/officeDocument/2006/relationships" ref="A168" r:id="rId9"/>
    <hyperlink xmlns:r="http://schemas.openxmlformats.org/officeDocument/2006/relationships" ref="A169" r:id="rId10"/>
    <hyperlink xmlns:r="http://schemas.openxmlformats.org/officeDocument/2006/relationships" ref="A173" r:id="rId11"/>
    <hyperlink xmlns:r="http://schemas.openxmlformats.org/officeDocument/2006/relationships" ref="A174" r:id="rId12"/>
    <hyperlink xmlns:r="http://schemas.openxmlformats.org/officeDocument/2006/relationships" ref="A175" r:id="rId13"/>
    <hyperlink xmlns:r="http://schemas.openxmlformats.org/officeDocument/2006/relationships" ref="A176" r:id="rId14"/>
    <hyperlink xmlns:r="http://schemas.openxmlformats.org/officeDocument/2006/relationships" ref="A177" r:id="rId15"/>
    <hyperlink xmlns:r="http://schemas.openxmlformats.org/officeDocument/2006/relationships" ref="A178" r:id="rId16"/>
    <hyperlink xmlns:r="http://schemas.openxmlformats.org/officeDocument/2006/relationships" ref="A179" r:id="rId17"/>
  </hyperlinks>
  <pageMargins left="0.75" right="0.75" top="1" bottom="1" header="0.5" footer="0.5"/>
  <drawing xmlns:r="http://schemas.openxmlformats.org/officeDocument/2006/relationships" r:id="rId18"/>
  <tableParts count="6">
    <tablePart xmlns:r="http://schemas.openxmlformats.org/officeDocument/2006/relationships" r:id="rId19"/>
    <tablePart xmlns:r="http://schemas.openxmlformats.org/officeDocument/2006/relationships" r:id="rId20"/>
    <tablePart xmlns:r="http://schemas.openxmlformats.org/officeDocument/2006/relationships" r:id="rId21"/>
    <tablePart xmlns:r="http://schemas.openxmlformats.org/officeDocument/2006/relationships" r:id="rId22"/>
    <tablePart xmlns:r="http://schemas.openxmlformats.org/officeDocument/2006/relationships" r:id="rId23"/>
    <tablePart xmlns:r="http://schemas.openxmlformats.org/officeDocument/2006/relationships" r:id="rId24"/>
  </tableParts>
</worksheet>
</file>

<file path=xl/worksheets/sheet43.xml><?xml version="1.0" encoding="utf-8"?>
<worksheet xmlns="http://schemas.openxmlformats.org/spreadsheetml/2006/main">
  <sheetPr>
    <outlinePr summaryBelow="1" summaryRight="1"/>
    <pageSetUpPr/>
  </sheetPr>
  <dimension ref="A1:I230"/>
  <sheetViews>
    <sheetView showGridLines="0" workbookViewId="0">
      <selection activeCell="A1" sqref="A1"/>
    </sheetView>
  </sheetViews>
  <sheetFormatPr baseColWidth="8" defaultRowHeight="15"/>
  <cols>
    <col width="42" customWidth="1" min="1" max="1"/>
    <col width="35" customWidth="1" min="2" max="2"/>
    <col width="60" customWidth="1" min="3" max="3"/>
    <col width="60" customWidth="1" min="4" max="4"/>
    <col width="35" customWidth="1" min="5" max="5"/>
    <col width="60" customWidth="1" min="6" max="6"/>
    <col width="23" customWidth="1" min="7" max="7"/>
    <col width="45" customWidth="1" min="8" max="8"/>
    <col width="10" customWidth="1" min="9" max="9"/>
  </cols>
  <sheetData>
    <row r="1">
      <c r="A1" s="1" t="inlineStr">
        <is>
          <t>ТОВ "ДІАВЕСТЕНД КОМПЛЕКСНІ РІШЕННЯ"</t>
        </is>
      </c>
    </row>
    <row r="2">
      <c r="A2" s="6" t="inlineStr">
        <is>
          <t>ЄДРПОУ 30256061  ·  конкурент  ·  місце №65</t>
        </is>
      </c>
    </row>
    <row r="4">
      <c r="A4" s="7" t="inlineStr">
        <is>
          <t>ТОВ "ДІАВЕСТЕНД КОМПЛЕКСНІ РІШЕННЯ" (30256061)</t>
        </is>
      </c>
    </row>
    <row r="6">
      <c r="A6" s="8" t="inlineStr">
        <is>
          <t>Показники</t>
        </is>
      </c>
    </row>
    <row r="7">
      <c r="A7" s="9" t="inlineStr">
        <is>
          <t>Місце на ринку</t>
        </is>
      </c>
      <c r="B7" s="10" t="inlineStr">
        <is>
          <t>№65</t>
        </is>
      </c>
    </row>
    <row r="8">
      <c r="A8" s="9" t="inlineStr">
        <is>
          <t>Сума угод</t>
        </is>
      </c>
      <c r="B8" s="10" t="inlineStr">
        <is>
          <t>428,7 тис. грн</t>
        </is>
      </c>
    </row>
    <row r="9">
      <c r="A9" s="9" t="inlineStr">
        <is>
          <t>Частка ринку</t>
        </is>
      </c>
      <c r="B9" s="10" t="inlineStr">
        <is>
          <t>0,4%</t>
        </is>
      </c>
    </row>
    <row r="10">
      <c r="A10" s="9" t="inlineStr">
        <is>
          <t>Угод</t>
        </is>
      </c>
      <c r="B10" s="10" t="inlineStr">
        <is>
          <t>6</t>
        </is>
      </c>
    </row>
    <row r="11">
      <c r="A11" s="9" t="inlineStr">
        <is>
          <t>Закупівель виграно</t>
        </is>
      </c>
      <c r="B11" s="10" t="inlineStr">
        <is>
          <t>5</t>
        </is>
      </c>
    </row>
    <row r="12">
      <c r="A12" s="9" t="inlineStr">
        <is>
          <t>Подань (де видно)</t>
        </is>
      </c>
      <c r="B12" s="10" t="inlineStr">
        <is>
          <t>33</t>
        </is>
      </c>
    </row>
    <row r="13">
      <c r="A13" s="9" t="inlineStr">
        <is>
          <t>Виграно з поданих</t>
        </is>
      </c>
      <c r="B13" s="10" t="inlineStr">
        <is>
          <t>5 з 33</t>
        </is>
      </c>
    </row>
    <row r="14">
      <c r="A14" s="9" t="inlineStr">
        <is>
          <t>Результативність</t>
        </is>
      </c>
      <c r="B14" s="10" t="inlineStr">
        <is>
          <t>15,2%</t>
        </is>
      </c>
    </row>
    <row r="15">
      <c r="A15" s="9" t="inlineStr">
        <is>
          <t>Середня угода</t>
        </is>
      </c>
      <c r="B15" s="10" t="inlineStr">
        <is>
          <t>71,5 тис. грн</t>
        </is>
      </c>
    </row>
    <row r="16">
      <c r="A16" s="9" t="inlineStr">
        <is>
          <t>Медіанна угода</t>
        </is>
      </c>
      <c r="B16" s="10" t="inlineStr">
        <is>
          <t>64,7 тис. грн</t>
        </is>
      </c>
    </row>
    <row r="17">
      <c r="A17" s="9" t="inlineStr">
        <is>
          <t>Замовників</t>
        </is>
      </c>
      <c r="B17" s="10" t="inlineStr">
        <is>
          <t>5</t>
        </is>
      </c>
    </row>
    <row r="18">
      <c r="A18" s="9" t="inlineStr">
        <is>
          <t>Областей</t>
        </is>
      </c>
      <c r="B18" s="10" t="inlineStr">
        <is>
          <t>1</t>
        </is>
      </c>
    </row>
    <row r="19">
      <c r="A19" s="9" t="inlineStr">
        <is>
          <t>Основна ТМ</t>
        </is>
      </c>
      <c r="B19" s="10" t="inlineStr">
        <is>
          <t>Intel</t>
        </is>
      </c>
    </row>
    <row r="20">
      <c r="A20" s="9" t="inlineStr">
        <is>
          <t>Основний товар</t>
        </is>
      </c>
      <c r="B20" s="10" t="inlineStr">
        <is>
          <t>Ноутбук</t>
        </is>
      </c>
    </row>
    <row r="21">
      <c r="A21" s="9" t="inlineStr">
        <is>
          <t>Дисконт (медіана)</t>
        </is>
      </c>
      <c r="B21" s="10" t="inlineStr">
        <is>
          <t>6,0%</t>
        </is>
      </c>
    </row>
    <row r="22">
      <c r="A22" s="9" t="inlineStr">
        <is>
          <t>Повторні замовники</t>
        </is>
      </c>
      <c r="B22" s="10" t="inlineStr">
        <is>
          <t>16,7%</t>
        </is>
      </c>
    </row>
    <row r="23">
      <c r="A23" s="9" t="inlineStr">
        <is>
          <t>Активність</t>
        </is>
      </c>
      <c r="B23" s="10" t="inlineStr">
        <is>
          <t>2026-02-25 — 2026-08-12</t>
        </is>
      </c>
    </row>
    <row r="24">
      <c r="A24" s="9" t="inlineStr">
        <is>
          <t>Зірвано перемог</t>
        </is>
      </c>
      <c r="B24" s="10" t="inlineStr">
        <is>
          <t>3 на 815,2 тис. грн</t>
        </is>
      </c>
    </row>
    <row r="25">
      <c r="A25" s="9" t="inlineStr">
        <is>
          <t>Причина зривів</t>
        </is>
      </c>
      <c r="B25" s="10" t="inlineStr">
        <is>
          <t>Невідповідність технічним вимогам</t>
        </is>
      </c>
    </row>
    <row r="27">
      <c r="A27" s="8" t="inlineStr">
        <is>
          <t>Висновки</t>
        </is>
      </c>
    </row>
    <row r="28">
      <c r="A28" t="inlineStr">
        <is>
          <t>•  65-е місце на ринку: 428,7 тис. грн (0,4% обороту)</t>
        </is>
      </c>
    </row>
    <row r="29">
      <c r="A29" t="inlineStr">
        <is>
          <t>•  Основний товар: ноутбук</t>
        </is>
      </c>
    </row>
    <row r="30">
      <c r="A30" t="inlineStr">
        <is>
          <t>•  ТМ Intel у 12,8% позицій</t>
        </is>
      </c>
    </row>
    <row r="31">
      <c r="A31" t="inlineStr">
        <is>
          <t>•  Портфель із 19 ТМ</t>
        </is>
      </c>
    </row>
    <row r="32">
      <c r="A32" t="inlineStr">
        <is>
          <t>•  Грає у відкритих процедурах: лише 0,0% угод без торгів</t>
        </is>
      </c>
    </row>
    <row r="33">
      <c r="A33" t="inlineStr">
        <is>
          <t>•  Тримає ціну: дисконт 6,0% проти 8,3% по ринку</t>
        </is>
      </c>
    </row>
    <row r="34">
      <c r="A34" t="inlineStr">
        <is>
          <t>•  Географічно сфокусований: Волинська область (100,0% угод)</t>
        </is>
      </c>
    </row>
    <row r="35">
      <c r="A35" t="inlineStr">
        <is>
          <t>•  Результативність на торгах: 15,2% (5 з 33)</t>
        </is>
      </c>
    </row>
    <row r="36">
      <c r="A36" t="inlineStr">
        <is>
          <t>•  Динаміка: спадає (-36% у другій половині періоду)</t>
        </is>
      </c>
    </row>
    <row r="37">
      <c r="A37" t="inlineStr">
        <is>
          <t>•  У поданих файлах — сертифікатів: 9, авторизаційних листів: 6</t>
        </is>
      </c>
    </row>
    <row r="38">
      <c r="A38" t="inlineStr">
        <is>
          <t>•  Зривається 37,5% виграшів: 3 з 8 на 815,2 тис. грн, найчастіше — невідповідність технічним вимогам</t>
        </is>
      </c>
    </row>
    <row r="40">
      <c r="A40" s="8" t="inlineStr">
        <is>
          <t>Графіки</t>
        </is>
      </c>
    </row>
    <row r="42">
      <c r="A42" s="2" t="inlineStr">
        <is>
          <t>Динаміка по місяцях</t>
        </is>
      </c>
    </row>
    <row r="43">
      <c r="A43" s="3" t="inlineStr">
        <is>
          <t>Період</t>
        </is>
      </c>
      <c r="B43" s="3" t="inlineStr">
        <is>
          <t>Сума угод, грн</t>
        </is>
      </c>
    </row>
    <row r="44">
      <c r="A44" t="inlineStr">
        <is>
          <t>2026-02</t>
        </is>
      </c>
      <c r="B44" s="5" t="n">
        <v>93330</v>
      </c>
    </row>
    <row r="45">
      <c r="A45" t="inlineStr">
        <is>
          <t>2026-04</t>
        </is>
      </c>
      <c r="B45" s="5" t="n">
        <v>145680</v>
      </c>
    </row>
    <row r="46">
      <c r="A46" t="inlineStr">
        <is>
          <t>2026-07</t>
        </is>
      </c>
      <c r="B46" s="5" t="n">
        <v>22698</v>
      </c>
    </row>
    <row r="47">
      <c r="A47" t="inlineStr">
        <is>
          <t>2026-08</t>
        </is>
      </c>
      <c r="B47" s="5" t="n">
        <v>167034</v>
      </c>
    </row>
    <row r="62">
      <c r="A62" s="2" t="inlineStr">
        <is>
          <t>Торгові марки у позиціях</t>
        </is>
      </c>
    </row>
    <row r="63">
      <c r="A63" s="3" t="inlineStr">
        <is>
          <t>Категорія</t>
        </is>
      </c>
      <c r="B63" s="3" t="inlineStr">
        <is>
          <t>Позицій, шт</t>
        </is>
      </c>
    </row>
    <row r="64">
      <c r="A64" t="inlineStr">
        <is>
          <t>Intel</t>
        </is>
      </c>
      <c r="B64" s="5" t="n">
        <v>5</v>
      </c>
    </row>
    <row r="65">
      <c r="A65" t="inlineStr">
        <is>
          <t>Artline</t>
        </is>
      </c>
      <c r="B65" s="5" t="n">
        <v>4</v>
      </c>
    </row>
    <row r="66">
      <c r="A66" t="inlineStr">
        <is>
          <t>MSI</t>
        </is>
      </c>
      <c r="B66" s="5" t="n">
        <v>4</v>
      </c>
    </row>
    <row r="67">
      <c r="A67" t="inlineStr">
        <is>
          <t>HP</t>
        </is>
      </c>
      <c r="B67" s="5" t="n">
        <v>4</v>
      </c>
    </row>
    <row r="68">
      <c r="A68" t="inlineStr">
        <is>
          <t>Vinga</t>
        </is>
      </c>
      <c r="B68" s="5" t="n">
        <v>3</v>
      </c>
    </row>
    <row r="69">
      <c r="A69" t="inlineStr">
        <is>
          <t>Acer</t>
        </is>
      </c>
      <c r="B69" s="5" t="n">
        <v>2</v>
      </c>
    </row>
    <row r="70">
      <c r="A70" t="inlineStr">
        <is>
          <t>Kingston</t>
        </is>
      </c>
      <c r="B70" s="5" t="n">
        <v>2</v>
      </c>
    </row>
    <row r="71">
      <c r="A71" t="inlineStr">
        <is>
          <t>Logitech</t>
        </is>
      </c>
      <c r="B71" s="5" t="n">
        <v>2</v>
      </c>
    </row>
    <row r="82">
      <c r="A82" s="2" t="inlineStr">
        <is>
          <t>Що саме продає</t>
        </is>
      </c>
    </row>
    <row r="83">
      <c r="A83" s="3" t="inlineStr">
        <is>
          <t>Категорія</t>
        </is>
      </c>
      <c r="B83" s="3" t="inlineStr">
        <is>
          <t>Позицій, шт</t>
        </is>
      </c>
    </row>
    <row r="84">
      <c r="A84" t="inlineStr">
        <is>
          <t>Ноутбук</t>
        </is>
      </c>
      <c r="B84" s="5" t="n">
        <v>11</v>
      </c>
    </row>
    <row r="85">
      <c r="A85" t="inlineStr">
        <is>
          <t>Персональний комп'ютер</t>
        </is>
      </c>
      <c r="B85" s="5" t="n">
        <v>10</v>
      </c>
    </row>
    <row r="86">
      <c r="A86" t="inlineStr">
        <is>
          <t>Монітор</t>
        </is>
      </c>
      <c r="B86" s="5" t="n">
        <v>6</v>
      </c>
    </row>
    <row r="87">
      <c r="A87" t="inlineStr">
        <is>
          <t>Багатофункціональний пристрій (БФП)</t>
        </is>
      </c>
      <c r="B87" s="5" t="n">
        <v>5</v>
      </c>
    </row>
    <row r="88">
      <c r="A88" t="inlineStr">
        <is>
          <t>Накопичувач (тип не вказано)</t>
        </is>
      </c>
      <c r="B88" s="5" t="n">
        <v>3</v>
      </c>
    </row>
    <row r="89">
      <c r="A89" t="inlineStr">
        <is>
          <t>Планшет</t>
        </is>
      </c>
      <c r="B89" s="5" t="n">
        <v>2</v>
      </c>
    </row>
    <row r="90">
      <c r="A90" t="inlineStr">
        <is>
          <t>Жорсткий диск (HDD)</t>
        </is>
      </c>
      <c r="B90" s="5" t="n">
        <v>2</v>
      </c>
    </row>
    <row r="91">
      <c r="A91" t="inlineStr">
        <is>
          <t>Системний блок</t>
        </is>
      </c>
      <c r="B91" s="5" t="n">
        <v>2</v>
      </c>
    </row>
    <row r="92">
      <c r="A92" t="inlineStr">
        <is>
          <t>Джерело безперебійного живлення</t>
        </is>
      </c>
      <c r="B92" s="5" t="n">
        <v>1</v>
      </c>
    </row>
    <row r="93">
      <c r="A93" t="inlineStr">
        <is>
          <t>Диск</t>
        </is>
      </c>
      <c r="B93" s="5" t="n">
        <v>1</v>
      </c>
    </row>
    <row r="100">
      <c r="A100" s="2" t="inlineStr">
        <is>
          <t>Ключові замовники</t>
        </is>
      </c>
    </row>
    <row r="101">
      <c r="A101" s="3" t="inlineStr">
        <is>
          <t>Категорія</t>
        </is>
      </c>
      <c r="B101" s="3" t="inlineStr">
        <is>
          <t>Сума, грн</t>
        </is>
      </c>
    </row>
    <row r="102">
      <c r="A102" t="inlineStr">
        <is>
          <t>Військова частина 9971</t>
        </is>
      </c>
      <c r="B102" s="5" t="n">
        <v>145680</v>
      </c>
    </row>
    <row r="103">
      <c r="A103" t="inlineStr">
        <is>
          <t>УПРАВЛІННЯ СЛУЖБИ БЕЗПЕКИ УКРАЇНИ У ВОЛИ</t>
        </is>
      </c>
      <c r="B103" s="5" t="n">
        <v>129336</v>
      </c>
    </row>
    <row r="104">
      <c r="A104" t="inlineStr">
        <is>
          <t xml:space="preserve">Управління Держспецзв'язку у Волинській </t>
        </is>
      </c>
      <c r="B104" s="5" t="n">
        <v>93330</v>
      </c>
    </row>
    <row r="105">
      <c r="A105" t="inlineStr">
        <is>
          <t>ВИКОНАВЧИЙ КОМІТЕТ НОВОВОЛИНСЬКОЇ МІСЬКО</t>
        </is>
      </c>
      <c r="B105" s="5" t="n">
        <v>37698</v>
      </c>
    </row>
    <row r="106">
      <c r="A106" t="inlineStr">
        <is>
          <t>ВІЙСЬКОВА ЧАСТИНА 1141 НАЦІОНАЛЬНОЇ ГВАР</t>
        </is>
      </c>
      <c r="B106" s="5" t="n">
        <v>22698</v>
      </c>
    </row>
    <row r="116">
      <c r="A116" s="2" t="inlineStr">
        <is>
          <t>Процедури</t>
        </is>
      </c>
    </row>
    <row r="117">
      <c r="A117" s="3" t="inlineStr">
        <is>
          <t>Категорія</t>
        </is>
      </c>
      <c r="B117" s="3" t="inlineStr">
        <is>
          <t>Угод, шт</t>
        </is>
      </c>
    </row>
    <row r="118">
      <c r="A118" t="inlineStr">
        <is>
          <t>Відкриті торги (нові)</t>
        </is>
      </c>
      <c r="B118" s="5" t="n">
        <v>4</v>
      </c>
    </row>
    <row r="119">
      <c r="A119" t="inlineStr">
        <is>
          <t>Запит пропозицій</t>
        </is>
      </c>
      <c r="B119" s="5" t="n">
        <v>1</v>
      </c>
    </row>
    <row r="120">
      <c r="A120" t="inlineStr">
        <is>
          <t>Допорогова</t>
        </is>
      </c>
      <c r="B120" s="5" t="n">
        <v>1</v>
      </c>
    </row>
    <row r="136">
      <c r="A136" s="8" t="inlineStr">
        <is>
          <t>Таблиці</t>
        </is>
      </c>
    </row>
    <row r="138">
      <c r="A138" s="2" t="inlineStr">
        <is>
          <t>ТМ</t>
        </is>
      </c>
    </row>
    <row r="139">
      <c r="A139" s="11" t="inlineStr">
        <is>
          <t>Торгова марка</t>
        </is>
      </c>
      <c r="B139" s="11" t="inlineStr">
        <is>
          <t>Позицій</t>
        </is>
      </c>
      <c r="C139" s="11" t="inlineStr">
        <is>
          <t>Частка</t>
        </is>
      </c>
      <c r="D139" s="11" t="inlineStr">
        <is>
          <t>Власна ТМ за довідником</t>
        </is>
      </c>
    </row>
    <row r="140">
      <c r="A140" t="inlineStr">
        <is>
          <t>Intel</t>
        </is>
      </c>
      <c r="B140" s="5" t="n">
        <v>5</v>
      </c>
      <c r="C140" s="12" t="n">
        <v>0.1282</v>
      </c>
      <c r="D140" t="inlineStr"/>
    </row>
    <row r="141">
      <c r="A141" t="inlineStr">
        <is>
          <t>Artline</t>
        </is>
      </c>
      <c r="B141" s="5" t="n">
        <v>4</v>
      </c>
      <c r="C141" s="12" t="n">
        <v>0.1026</v>
      </c>
      <c r="D141" t="inlineStr">
        <is>
          <t>АРТЛАЙН ІНТЕГРАЦІЯ</t>
        </is>
      </c>
    </row>
    <row r="142">
      <c r="A142" t="inlineStr">
        <is>
          <t>MSI</t>
        </is>
      </c>
      <c r="B142" s="5" t="n">
        <v>4</v>
      </c>
      <c r="C142" s="12" t="n">
        <v>0.1026</v>
      </c>
      <c r="D142" t="inlineStr"/>
    </row>
    <row r="143">
      <c r="A143" t="inlineStr">
        <is>
          <t>HP</t>
        </is>
      </c>
      <c r="B143" s="5" t="n">
        <v>4</v>
      </c>
      <c r="C143" s="12" t="n">
        <v>0.1026</v>
      </c>
      <c r="D143" t="inlineStr"/>
    </row>
    <row r="144">
      <c r="A144" t="inlineStr">
        <is>
          <t>Vinga</t>
        </is>
      </c>
      <c r="B144" s="5" t="n">
        <v>3</v>
      </c>
      <c r="C144" s="12" t="n">
        <v>0.0769</v>
      </c>
      <c r="D144" t="inlineStr">
        <is>
          <t>КОМЕЛ</t>
        </is>
      </c>
    </row>
    <row r="145">
      <c r="A145" t="inlineStr">
        <is>
          <t>Acer</t>
        </is>
      </c>
      <c r="B145" s="5" t="n">
        <v>2</v>
      </c>
      <c r="C145" s="12" t="n">
        <v>0.0513</v>
      </c>
      <c r="D145" t="inlineStr"/>
    </row>
    <row r="146">
      <c r="A146" t="inlineStr">
        <is>
          <t>Kingston</t>
        </is>
      </c>
      <c r="B146" s="5" t="n">
        <v>2</v>
      </c>
      <c r="C146" s="12" t="n">
        <v>0.0513</v>
      </c>
      <c r="D146" t="inlineStr"/>
    </row>
    <row r="147">
      <c r="A147" t="inlineStr">
        <is>
          <t>Logitech</t>
        </is>
      </c>
      <c r="B147" s="5" t="n">
        <v>2</v>
      </c>
      <c r="C147" s="12" t="n">
        <v>0.0513</v>
      </c>
      <c r="D147" t="inlineStr"/>
    </row>
    <row r="148">
      <c r="A148" t="inlineStr">
        <is>
          <t>Western Digital</t>
        </is>
      </c>
      <c r="B148" s="5" t="n">
        <v>2</v>
      </c>
      <c r="C148" s="12" t="n">
        <v>0.0513</v>
      </c>
      <c r="D148" t="inlineStr"/>
    </row>
    <row r="149">
      <c r="A149" t="inlineStr">
        <is>
          <t>ASUS</t>
        </is>
      </c>
      <c r="B149" s="5" t="n">
        <v>2</v>
      </c>
      <c r="C149" s="12" t="n">
        <v>0.0513</v>
      </c>
      <c r="D149" t="inlineStr"/>
    </row>
    <row r="150">
      <c r="A150" t="inlineStr">
        <is>
          <t>Deepcool</t>
        </is>
      </c>
      <c r="B150" s="5" t="n">
        <v>1</v>
      </c>
      <c r="C150" s="12" t="n">
        <v>0.0256</v>
      </c>
      <c r="D150" t="inlineStr"/>
    </row>
    <row r="151">
      <c r="A151" t="inlineStr">
        <is>
          <t>Gigabyte</t>
        </is>
      </c>
      <c r="B151" s="5" t="n">
        <v>1</v>
      </c>
      <c r="C151" s="12" t="n">
        <v>0.0256</v>
      </c>
      <c r="D151" t="inlineStr"/>
    </row>
    <row r="152">
      <c r="A152" t="inlineStr">
        <is>
          <t>GOODRAM</t>
        </is>
      </c>
      <c r="B152" s="5" t="n">
        <v>1</v>
      </c>
      <c r="C152" s="12" t="n">
        <v>0.0256</v>
      </c>
      <c r="D152" t="inlineStr"/>
    </row>
    <row r="153">
      <c r="A153" t="inlineStr">
        <is>
          <t>Chieftec</t>
        </is>
      </c>
      <c r="B153" s="5" t="n">
        <v>1</v>
      </c>
      <c r="C153" s="12" t="n">
        <v>0.0256</v>
      </c>
      <c r="D153" t="inlineStr"/>
    </row>
    <row r="154">
      <c r="A154" t="inlineStr">
        <is>
          <t>GAMEMAX</t>
        </is>
      </c>
      <c r="B154" s="5" t="n">
        <v>1</v>
      </c>
      <c r="C154" s="12" t="n">
        <v>0.0256</v>
      </c>
      <c r="D154" t="inlineStr"/>
    </row>
    <row r="155">
      <c r="A155" t="inlineStr">
        <is>
          <t>Microsoft</t>
        </is>
      </c>
      <c r="B155" s="5" t="n">
        <v>1</v>
      </c>
      <c r="C155" s="12" t="n">
        <v>0.0256</v>
      </c>
      <c r="D155" t="inlineStr"/>
    </row>
    <row r="156">
      <c r="A156" t="inlineStr">
        <is>
          <t>Dell</t>
        </is>
      </c>
      <c r="B156" s="5" t="n">
        <v>1</v>
      </c>
      <c r="C156" s="12" t="n">
        <v>0.0256</v>
      </c>
      <c r="D156" t="inlineStr"/>
    </row>
    <row r="157">
      <c r="A157" t="inlineStr">
        <is>
          <t>Samsung</t>
        </is>
      </c>
      <c r="B157" s="5" t="n">
        <v>1</v>
      </c>
      <c r="C157" s="12" t="n">
        <v>0.0256</v>
      </c>
      <c r="D157" t="inlineStr"/>
    </row>
    <row r="158">
      <c r="A158" t="inlineStr">
        <is>
          <t>2E</t>
        </is>
      </c>
      <c r="B158" s="5" t="n">
        <v>1</v>
      </c>
      <c r="C158" s="12" t="n">
        <v>0.0256</v>
      </c>
      <c r="D158" t="inlineStr"/>
    </row>
    <row r="160">
      <c r="A160" s="2" t="inlineStr">
        <is>
          <t>Товари</t>
        </is>
      </c>
    </row>
    <row r="161">
      <c r="A161" s="11" t="inlineStr">
        <is>
          <t>Товар</t>
        </is>
      </c>
      <c r="B161" s="11" t="inlineStr">
        <is>
          <t>Позицій</t>
        </is>
      </c>
    </row>
    <row r="162">
      <c r="A162" t="inlineStr">
        <is>
          <t>Ноутбук</t>
        </is>
      </c>
      <c r="B162" s="5" t="n">
        <v>11</v>
      </c>
    </row>
    <row r="163">
      <c r="A163" t="inlineStr">
        <is>
          <t>Персональний комп'ютер</t>
        </is>
      </c>
      <c r="B163" s="5" t="n">
        <v>10</v>
      </c>
    </row>
    <row r="164">
      <c r="A164" t="inlineStr">
        <is>
          <t>Монітор</t>
        </is>
      </c>
      <c r="B164" s="5" t="n">
        <v>6</v>
      </c>
    </row>
    <row r="165">
      <c r="A165" t="inlineStr">
        <is>
          <t>Багатофункціональний пристрій (БФП)</t>
        </is>
      </c>
      <c r="B165" s="5" t="n">
        <v>5</v>
      </c>
    </row>
    <row r="166">
      <c r="A166" t="inlineStr">
        <is>
          <t>Накопичувач (тип не вказано)</t>
        </is>
      </c>
      <c r="B166" s="5" t="n">
        <v>3</v>
      </c>
    </row>
    <row r="167">
      <c r="A167" t="inlineStr">
        <is>
          <t>Планшет</t>
        </is>
      </c>
      <c r="B167" s="5" t="n">
        <v>2</v>
      </c>
    </row>
    <row r="168">
      <c r="A168" t="inlineStr">
        <is>
          <t>Жорсткий диск (HDD)</t>
        </is>
      </c>
      <c r="B168" s="5" t="n">
        <v>2</v>
      </c>
    </row>
    <row r="169">
      <c r="A169" t="inlineStr">
        <is>
          <t>Системний блок</t>
        </is>
      </c>
      <c r="B169" s="5" t="n">
        <v>2</v>
      </c>
    </row>
    <row r="170">
      <c r="A170" t="inlineStr">
        <is>
          <t>Джерело безперебійного живлення</t>
        </is>
      </c>
      <c r="B170" s="5" t="n">
        <v>1</v>
      </c>
    </row>
    <row r="171">
      <c r="A171" t="inlineStr">
        <is>
          <t>Диск</t>
        </is>
      </c>
      <c r="B171" s="5" t="n">
        <v>1</v>
      </c>
    </row>
    <row r="172">
      <c r="A172" t="inlineStr">
        <is>
          <t>Карта пам'яті</t>
        </is>
      </c>
      <c r="B172" s="5" t="n">
        <v>1</v>
      </c>
    </row>
    <row r="173">
      <c r="A173" t="inlineStr">
        <is>
          <t>Сервер і мережеве сховище</t>
        </is>
      </c>
      <c r="B173" s="5" t="n">
        <v>1</v>
      </c>
    </row>
    <row r="174">
      <c r="A174" t="inlineStr">
        <is>
          <t>Блок живлення</t>
        </is>
      </c>
      <c r="B174" s="5" t="n">
        <v>1</v>
      </c>
    </row>
    <row r="175">
      <c r="A175" t="inlineStr">
        <is>
          <t>Накопичувач SSD</t>
        </is>
      </c>
      <c r="B175" s="5" t="n">
        <v>1</v>
      </c>
    </row>
    <row r="176">
      <c r="A176" t="inlineStr">
        <is>
          <t>Моноблок</t>
        </is>
      </c>
      <c r="B176" s="5" t="n">
        <v>1</v>
      </c>
    </row>
    <row r="177">
      <c r="A177" t="inlineStr">
        <is>
          <t>Artline home h47</t>
        </is>
      </c>
      <c r="B177" s="5" t="n">
        <v>1</v>
      </c>
    </row>
    <row r="178">
      <c r="A178" t="inlineStr">
        <is>
          <t>Оптичний диск</t>
        </is>
      </c>
      <c r="B178" s="5" t="n">
        <v>1</v>
      </c>
    </row>
    <row r="179">
      <c r="A179" t="inlineStr">
        <is>
          <t>Кабель, перехідник</t>
        </is>
      </c>
      <c r="B179" s="5" t="n">
        <v>1</v>
      </c>
    </row>
    <row r="180">
      <c r="A180" t="inlineStr">
        <is>
          <t>Миша</t>
        </is>
      </c>
      <c r="B180" s="5" t="n">
        <v>1</v>
      </c>
    </row>
    <row r="181">
      <c r="A181" t="inlineStr">
        <is>
          <t>Клавіатура</t>
        </is>
      </c>
      <c r="B181" s="5" t="n">
        <v>1</v>
      </c>
    </row>
    <row r="183">
      <c r="A183" s="2" t="inlineStr">
        <is>
          <t>Документи</t>
        </is>
      </c>
    </row>
    <row r="184">
      <c r="A184" s="11" t="inlineStr">
        <is>
          <t>Тип документа</t>
        </is>
      </c>
      <c r="B184" s="11" t="inlineStr">
        <is>
          <t>Файлів</t>
        </is>
      </c>
    </row>
    <row r="185">
      <c r="A185" t="inlineStr">
        <is>
          <t>не класифіковано</t>
        </is>
      </c>
      <c r="B185" s="5" t="n">
        <v>132</v>
      </c>
    </row>
    <row r="186">
      <c r="A186" t="inlineStr">
        <is>
          <t>Підпис КЕП</t>
        </is>
      </c>
      <c r="B186" s="5" t="n">
        <v>79</v>
      </c>
    </row>
    <row r="187">
      <c r="A187" t="inlineStr">
        <is>
          <t>Установчі та реєстраційні</t>
        </is>
      </c>
      <c r="B187" s="5" t="n">
        <v>33</v>
      </c>
    </row>
    <row r="188">
      <c r="A188" t="inlineStr">
        <is>
          <t>Технічна специфікація</t>
        </is>
      </c>
      <c r="B188" s="5" t="n">
        <v>27</v>
      </c>
    </row>
    <row r="189">
      <c r="A189" t="inlineStr">
        <is>
          <t>Тендерна документація</t>
        </is>
      </c>
      <c r="B189" s="5" t="n">
        <v>26</v>
      </c>
    </row>
    <row r="190">
      <c r="A190" t="inlineStr">
        <is>
          <t>Пропозиція учасника</t>
        </is>
      </c>
      <c r="B190" s="5" t="n">
        <v>10</v>
      </c>
    </row>
    <row r="191">
      <c r="A191" t="inlineStr">
        <is>
          <t>Сертифікат / декларація відповідності</t>
        </is>
      </c>
      <c r="B191" s="5" t="n">
        <v>9</v>
      </c>
    </row>
    <row r="192">
      <c r="A192" t="inlineStr">
        <is>
          <t>Договір</t>
        </is>
      </c>
      <c r="B192" s="5" t="n">
        <v>8</v>
      </c>
    </row>
    <row r="193">
      <c r="A193" t="inlineStr">
        <is>
          <t>Цінова пропозиція</t>
        </is>
      </c>
      <c r="B193" s="5" t="n">
        <v>8</v>
      </c>
    </row>
    <row r="194">
      <c r="A194" t="inlineStr">
        <is>
          <t>Лист виробника / авторизація</t>
        </is>
      </c>
      <c r="B194" s="5" t="n">
        <v>6</v>
      </c>
    </row>
    <row r="195">
      <c r="A195" t="inlineStr">
        <is>
          <t>Гарантія та сервіс</t>
        </is>
      </c>
      <c r="B195" s="5" t="n">
        <v>2</v>
      </c>
    </row>
    <row r="197">
      <c r="A197" s="2" t="inlineStr">
        <is>
          <t>Зірвані перемоги</t>
        </is>
      </c>
    </row>
    <row r="198">
      <c r="A198" s="11" t="inlineStr">
        <is>
          <t>Закупівля</t>
        </is>
      </c>
      <c r="B198" s="11" t="inlineStr">
        <is>
          <t>Дата</t>
        </is>
      </c>
      <c r="C198" s="11" t="inlineStr">
        <is>
          <t>Замовник</t>
        </is>
      </c>
      <c r="D198" s="11" t="inlineStr">
        <is>
          <t>Сума, грн</t>
        </is>
      </c>
      <c r="E198" s="11" t="inlineStr">
        <is>
          <t>Причина</t>
        </is>
      </c>
      <c r="F198" s="11" t="inlineStr">
        <is>
          <t>Формулювання замовника</t>
        </is>
      </c>
    </row>
    <row r="199">
      <c r="A199" s="4" t="inlineStr">
        <is>
          <t>UA-2026-07-27-008910-a</t>
        </is>
      </c>
      <c r="B199" t="inlineStr">
        <is>
          <t>2026-08-07</t>
        </is>
      </c>
      <c r="C199" t="inlineStr">
        <is>
          <t>КП "МЕДИЧНИЙ ЦЕНТР РЕАБІЛІТАЦІЇ УЧАСНИКІВ БОЙОВИХ ДІЙ ЛУЦЬКОЇ МІСЬКОЇ ТЕРИТОРІАЛЬНОЇ ГРОМАДИ"</t>
        </is>
      </c>
      <c r="D199" s="5" t="n">
        <v>446990</v>
      </c>
      <c r="E199" t="inlineStr">
        <is>
          <t>Невідповідність технічним вимогам</t>
        </is>
      </c>
      <c r="F199" t="inlineStr">
        <is>
          <t>Не відповідає умовам технічної специфікації та іншим вимогам щодо предмета закупівлі тендерної документації, крім невідповідності в інформації та/або документах, що може бути усунена учасником процедури закупівлі відповідно до пункту 43 Особливостей</t>
        </is>
      </c>
    </row>
    <row r="200">
      <c r="A200" s="4" t="inlineStr">
        <is>
          <t>UA-2026-06-26-011036-a</t>
        </is>
      </c>
      <c r="B200" t="inlineStr">
        <is>
          <t>2026-07-10</t>
        </is>
      </c>
      <c r="C200" t="inlineStr">
        <is>
          <t>Луцький національний технічний університет</t>
        </is>
      </c>
      <c r="D200" s="5" t="n">
        <v>288660</v>
      </c>
      <c r="E200" t="inlineStr">
        <is>
          <t>Невідповідність технічним вимогам</t>
        </is>
      </c>
      <c r="F200" t="inlineStr">
        <is>
          <t>Тендерна пропозиція учасника не відповідає умовам технічної специфікації та іншим вимогам щодо предмета закупівлі тендерної документації, крім невідповідності в інформації та/або документах, що може бути усунена учасником процедури закупівлі відповідно до пункту 43 Особливостей</t>
        </is>
      </c>
    </row>
    <row r="201">
      <c r="A201" s="4" t="inlineStr">
        <is>
          <t>UA-2026-01-27-008052-a</t>
        </is>
      </c>
      <c r="B201" t="inlineStr">
        <is>
          <t>2026-01-30</t>
        </is>
      </c>
      <c r="C201" t="inlineStr">
        <is>
          <t>Виконавчий комітет Ратнівської селищної ради</t>
        </is>
      </c>
      <c r="D201" s="5" t="n">
        <v>79560</v>
      </c>
      <c r="E201" t="inlineStr">
        <is>
          <t>Відмова від договору</t>
        </is>
      </c>
      <c r="F201" t="inlineStr">
        <is>
          <t>Переможець письмово відмовився від укладення договору на умовах, визначених замовником у запиті пропозицій постачальників, шляхом заповнення електронних форм з окремими полями та у проекті договору, що є складовою частиною запиту пропозицій постачальників</t>
        </is>
      </c>
    </row>
    <row r="203">
      <c r="A203" s="2" t="inlineStr">
        <is>
          <t>Угоди</t>
        </is>
      </c>
    </row>
    <row r="204">
      <c r="A204" s="11" t="inlineStr">
        <is>
          <t>Закупівля</t>
        </is>
      </c>
      <c r="B204" s="11" t="inlineStr">
        <is>
          <t>Дата</t>
        </is>
      </c>
      <c r="C204" s="11" t="inlineStr">
        <is>
          <t>Замовник</t>
        </is>
      </c>
      <c r="D204" s="11" t="inlineStr">
        <is>
          <t>Регіон</t>
        </is>
      </c>
      <c r="E204" s="11" t="inlineStr">
        <is>
          <t>Сума, грн</t>
        </is>
      </c>
      <c r="F204" s="11" t="inlineStr">
        <is>
          <t>Очікувана, грн</t>
        </is>
      </c>
      <c r="G204" s="11" t="inlineStr">
        <is>
          <t>Процедура</t>
        </is>
      </c>
      <c r="H204" s="11" t="inlineStr">
        <is>
          <t>Галузь</t>
        </is>
      </c>
      <c r="I204" s="11" t="inlineStr">
        <is>
          <t>Джерело</t>
        </is>
      </c>
    </row>
    <row r="205">
      <c r="A205" s="4" t="inlineStr">
        <is>
          <t>UA-2026-03-31-003542-a</t>
        </is>
      </c>
      <c r="B205" t="inlineStr">
        <is>
          <t>2026-04-15</t>
        </is>
      </c>
      <c r="C205" t="inlineStr">
        <is>
          <t>Військова частина 9971</t>
        </is>
      </c>
      <c r="D205" t="inlineStr">
        <is>
          <t>Волинська область</t>
        </is>
      </c>
      <c r="E205" s="5" t="n">
        <v>145680</v>
      </c>
      <c r="F205" s="13" t="n">
        <v>148460</v>
      </c>
      <c r="G205" t="inlineStr">
        <is>
          <t>Відкриті торги (нові)</t>
        </is>
      </c>
      <c r="H205" t="inlineStr">
        <is>
          <t>Комп’ютерне обладнання</t>
        </is>
      </c>
      <c r="I205" t="inlineStr">
        <is>
          <t>договір</t>
        </is>
      </c>
    </row>
    <row r="206">
      <c r="A206" s="4" t="inlineStr">
        <is>
          <t>UA-2026-02-10-012534-a</t>
        </is>
      </c>
      <c r="B206" t="inlineStr">
        <is>
          <t>2026-02-25</t>
        </is>
      </c>
      <c r="C206" t="inlineStr">
        <is>
          <t>Управління Держспецзв'язку у Волинській області</t>
        </is>
      </c>
      <c r="D206" t="inlineStr">
        <is>
          <t>Волинська область</t>
        </is>
      </c>
      <c r="E206" s="5" t="n">
        <v>93330</v>
      </c>
      <c r="F206" s="13" t="n">
        <v>100000</v>
      </c>
      <c r="G206" t="inlineStr">
        <is>
          <t>Відкриті торги (нові)</t>
        </is>
      </c>
      <c r="H206" t="inlineStr">
        <is>
          <t>Комп’ютерне обладнання</t>
        </is>
      </c>
      <c r="I206" t="inlineStr">
        <is>
          <t>договір</t>
        </is>
      </c>
    </row>
    <row r="207">
      <c r="A207" s="4" t="inlineStr">
        <is>
          <t>UA-2026-07-10-004513-a</t>
        </is>
      </c>
      <c r="B207" t="inlineStr">
        <is>
          <t>2026-08-06</t>
        </is>
      </c>
      <c r="C207" t="inlineStr">
        <is>
          <t>УПРАВЛІННЯ СЛУЖБИ БЕЗПЕКИ УКРАЇНИ У ВОЛИНСЬКІЙ ОБЛАСТІ</t>
        </is>
      </c>
      <c r="D207" t="inlineStr">
        <is>
          <t>Волинська область</t>
        </is>
      </c>
      <c r="E207" s="5" t="n">
        <v>89376</v>
      </c>
      <c r="F207" s="13" t="n">
        <v>864666.67</v>
      </c>
      <c r="G207" t="inlineStr">
        <is>
          <t>Відкриті торги (нові)</t>
        </is>
      </c>
      <c r="H207" t="inlineStr">
        <is>
          <t>Комп’ютерне обладнання</t>
        </is>
      </c>
      <c r="I207" t="inlineStr">
        <is>
          <t>договір</t>
        </is>
      </c>
    </row>
    <row r="208">
      <c r="A208" s="4" t="inlineStr">
        <is>
          <t>UA-2026-07-10-004513-a</t>
        </is>
      </c>
      <c r="B208" t="inlineStr">
        <is>
          <t>2026-08-06</t>
        </is>
      </c>
      <c r="C208" t="inlineStr">
        <is>
          <t>УПРАВЛІННЯ СЛУЖБИ БЕЗПЕКИ УКРАЇНИ У ВОЛИНСЬКІЙ ОБЛАСТІ</t>
        </is>
      </c>
      <c r="D208" t="inlineStr">
        <is>
          <t>Волинська область</t>
        </is>
      </c>
      <c r="E208" s="5" t="n">
        <v>39960</v>
      </c>
      <c r="F208" s="13" t="n">
        <v>864666.67</v>
      </c>
      <c r="G208" t="inlineStr">
        <is>
          <t>Відкриті торги (нові)</t>
        </is>
      </c>
      <c r="H208" t="inlineStr">
        <is>
          <t>Комп’ютерне обладнання</t>
        </is>
      </c>
      <c r="I208" t="inlineStr">
        <is>
          <t>договір</t>
        </is>
      </c>
    </row>
    <row r="209">
      <c r="A209" s="4" t="inlineStr">
        <is>
          <t>UA-2026-07-30-003002-a</t>
        </is>
      </c>
      <c r="B209" t="inlineStr">
        <is>
          <t>2026-08-12</t>
        </is>
      </c>
      <c r="C209" t="inlineStr">
        <is>
          <t>ВИКОНАВЧИЙ КОМІТЕТ НОВОВОЛИНСЬКОЇ МІСЬКОЇ РАДИ</t>
        </is>
      </c>
      <c r="D209" t="inlineStr">
        <is>
          <t>Волинська область</t>
        </is>
      </c>
      <c r="E209" s="5" t="n">
        <v>37698</v>
      </c>
      <c r="F209" s="13" t="n">
        <v>31666.67</v>
      </c>
      <c r="G209" t="inlineStr">
        <is>
          <t>Запит пропозицій</t>
        </is>
      </c>
      <c r="H209" t="inlineStr">
        <is>
          <t>Машини для обробки даних (апаратна частина)</t>
        </is>
      </c>
      <c r="I209" t="inlineStr">
        <is>
          <t>договір</t>
        </is>
      </c>
    </row>
    <row r="210">
      <c r="A210" s="4" t="inlineStr">
        <is>
          <t>UA-2026-06-16-008359-a</t>
        </is>
      </c>
      <c r="B210" t="inlineStr">
        <is>
          <t>2026-07-14</t>
        </is>
      </c>
      <c r="C210" t="inlineStr">
        <is>
          <t>ВІЙСЬКОВА ЧАСТИНА 1141 НАЦІОНАЛЬНОЇ ГВАРДІЇ УКРАЇНИ</t>
        </is>
      </c>
      <c r="D210" t="inlineStr">
        <is>
          <t>Волинська область</t>
        </is>
      </c>
      <c r="E210" s="5" t="n">
        <v>22698</v>
      </c>
      <c r="F210" s="13" t="n">
        <v>24000</v>
      </c>
      <c r="G210" t="inlineStr">
        <is>
          <t>Допорогова</t>
        </is>
      </c>
      <c r="H210" t="inlineStr">
        <is>
          <t>Машини для обробки даних (апаратна частина)</t>
        </is>
      </c>
      <c r="I210" t="inlineStr">
        <is>
          <t>договір</t>
        </is>
      </c>
    </row>
    <row r="212">
      <c r="A212" s="2" t="inlineStr">
        <is>
          <t>Наші зустрічі</t>
        </is>
      </c>
    </row>
    <row r="213">
      <c r="A213" s="11" t="inlineStr">
        <is>
          <t>Закупівля</t>
        </is>
      </c>
      <c r="B213" s="11" t="inlineStr">
        <is>
          <t>Дата</t>
        </is>
      </c>
      <c r="C213" s="11" t="inlineStr">
        <is>
          <t>Замовник</t>
        </is>
      </c>
      <c r="D213" s="11" t="inlineStr">
        <is>
          <t>Предмет</t>
        </is>
      </c>
      <c r="E213" s="11" t="inlineStr">
        <is>
          <t>Сума переможця, грн</t>
        </is>
      </c>
      <c r="F213" s="11" t="inlineStr">
        <is>
          <t>Наша пропозиція, грн</t>
        </is>
      </c>
      <c r="G213" s="11" t="inlineStr">
        <is>
          <t>Розрив</t>
        </is>
      </c>
      <c r="H213" s="11" t="inlineStr">
        <is>
          <t>Що сталося</t>
        </is>
      </c>
    </row>
    <row r="214">
      <c r="A214" s="4" t="inlineStr">
        <is>
          <t>UA-2026-03-31-003542-a</t>
        </is>
      </c>
      <c r="B214" t="inlineStr">
        <is>
          <t>2026-03-31</t>
        </is>
      </c>
      <c r="C214" t="inlineStr">
        <is>
          <t>Військова частина 9971</t>
        </is>
      </c>
      <c r="D214" t="inlineStr">
        <is>
          <t>Оптичний диск, карта пам’яті, накопичувач USB</t>
        </is>
      </c>
      <c r="E214" s="5" t="n">
        <v>145680</v>
      </c>
      <c r="F214" s="5" t="n"/>
      <c r="G214" s="12" t="n"/>
      <c r="H214" t="inlineStr">
        <is>
          <t>ми не подавалися</t>
        </is>
      </c>
    </row>
    <row r="215">
      <c r="A215" s="4" t="inlineStr">
        <is>
          <t>UA-2026-02-10-012534-a</t>
        </is>
      </c>
      <c r="B215" t="inlineStr">
        <is>
          <t>2026-02-10</t>
        </is>
      </c>
      <c r="C215" t="inlineStr">
        <is>
          <t>Управління Держспецзв'язку у Волинській області</t>
        </is>
      </c>
      <c r="D215" t="inlineStr">
        <is>
          <t>Комп’ютерне обладнання</t>
        </is>
      </c>
      <c r="E215" s="5" t="n">
        <v>93330</v>
      </c>
      <c r="F215" s="5" t="n"/>
      <c r="G215" s="12" t="n"/>
      <c r="H215" t="inlineStr">
        <is>
          <t>ми не подавалися</t>
        </is>
      </c>
    </row>
    <row r="216">
      <c r="A216" s="4" t="inlineStr">
        <is>
          <t>UA-2026-07-10-004513-a</t>
        </is>
      </c>
      <c r="B216" t="inlineStr">
        <is>
          <t>2026-07-10</t>
        </is>
      </c>
      <c r="C216" t="inlineStr">
        <is>
          <t>УПРАВЛІННЯ СЛУЖБИ БЕЗПЕКИ УКРАЇНИ У ВОЛИНСЬКІЙ ОБЛАСТІ</t>
        </is>
      </c>
      <c r="D216" t="inlineStr">
        <is>
          <t xml:space="preserve">30230000-0 Комп’ютерне обладнання Лот 1 Персональні комп'ютери (системний блок, </t>
        </is>
      </c>
      <c r="E216" s="5" t="n">
        <v>33300</v>
      </c>
      <c r="F216" s="5" t="n">
        <v>323040</v>
      </c>
      <c r="G216" s="12" t="n">
        <v>8.700900000000001</v>
      </c>
      <c r="H216" t="inlineStr">
        <is>
          <t>програли за ціною</t>
        </is>
      </c>
    </row>
    <row r="217">
      <c r="A217" s="4" t="inlineStr">
        <is>
          <t>UA-2026-07-30-003002-a</t>
        </is>
      </c>
      <c r="B217" t="inlineStr">
        <is>
          <t>2026-07-30</t>
        </is>
      </c>
      <c r="C217" t="inlineStr">
        <is>
          <t>ВИКОНАВЧИЙ КОМІТЕТ НОВОВОЛИНСЬКОЇ МІСЬКОЇ РАДИ</t>
        </is>
      </c>
      <c r="D217" t="inlineStr">
        <is>
          <t>Комп’ютер настільний Dia West DW5500165125050</t>
        </is>
      </c>
      <c r="E217" s="5" t="n">
        <v>31415</v>
      </c>
      <c r="F217" s="5" t="n"/>
      <c r="G217" s="12" t="n"/>
      <c r="H217" t="inlineStr">
        <is>
          <t>ми не подавалися</t>
        </is>
      </c>
    </row>
    <row r="218">
      <c r="A218" s="4" t="inlineStr">
        <is>
          <t>UA-2026-06-16-008359-a</t>
        </is>
      </c>
      <c r="B218" t="inlineStr">
        <is>
          <t>2026-06-16</t>
        </is>
      </c>
      <c r="C218" t="inlineStr">
        <is>
          <t>ВІЙСЬКОВА ЧАСТИНА 1141 НАЦІОНАЛЬНОЇ ГВАРДІЇ УКРАЇНИ</t>
        </is>
      </c>
      <c r="D218" t="inlineStr">
        <is>
          <t>Персональний комп’ютер</t>
        </is>
      </c>
      <c r="E218" s="5" t="n">
        <v>22698</v>
      </c>
      <c r="F218" s="5" t="n"/>
      <c r="G218" s="12" t="n"/>
      <c r="H218" t="inlineStr">
        <is>
          <t>ми не подавалися</t>
        </is>
      </c>
    </row>
    <row r="220">
      <c r="A220" s="8" t="inlineStr">
        <is>
          <t>Сильні сторони</t>
        </is>
      </c>
    </row>
    <row r="221">
      <c r="A221" t="inlineStr">
        <is>
          <t>+  портфель дистрибуції: 19 ТМ</t>
        </is>
      </c>
    </row>
    <row r="222">
      <c r="A222" t="inlineStr">
        <is>
          <t>+  наявність сертифікатів (9 файлів)</t>
        </is>
      </c>
    </row>
    <row r="223">
      <c r="A223" t="inlineStr">
        <is>
          <t>+  авторизація виробника (6 листів)</t>
        </is>
      </c>
    </row>
    <row r="224">
      <c r="A224" t="inlineStr">
        <is>
          <t>+  уміє вигравати у відкритих торгах</t>
        </is>
      </c>
    </row>
    <row r="225">
      <c r="A225" t="inlineStr">
        <is>
          <t>+  працює з великими контрактами</t>
        </is>
      </c>
    </row>
    <row r="227">
      <c r="A227" s="8" t="inlineStr">
        <is>
          <t>Слабкі сторони</t>
        </is>
      </c>
    </row>
    <row r="228">
      <c r="A228" t="inlineStr">
        <is>
          <t>−  слабка цінова позиція: дисконт 6,0% проти 8,3% по ринку</t>
        </is>
      </c>
    </row>
    <row r="229">
      <c r="A229" t="inlineStr">
        <is>
          <t>−  низька результативність на торгах (15,2%)</t>
        </is>
      </c>
    </row>
    <row r="230">
      <c r="A230" t="inlineStr">
        <is>
          <t>−  спад (-36% у другій половині періоду)</t>
        </is>
      </c>
    </row>
  </sheetData>
  <hyperlinks>
    <hyperlink xmlns:r="http://schemas.openxmlformats.org/officeDocument/2006/relationships" ref="A199" r:id="rId1"/>
    <hyperlink xmlns:r="http://schemas.openxmlformats.org/officeDocument/2006/relationships" ref="A200" r:id="rId2"/>
    <hyperlink xmlns:r="http://schemas.openxmlformats.org/officeDocument/2006/relationships" ref="A201" r:id="rId3"/>
    <hyperlink xmlns:r="http://schemas.openxmlformats.org/officeDocument/2006/relationships" ref="A205" r:id="rId4"/>
    <hyperlink xmlns:r="http://schemas.openxmlformats.org/officeDocument/2006/relationships" ref="A206" r:id="rId5"/>
    <hyperlink xmlns:r="http://schemas.openxmlformats.org/officeDocument/2006/relationships" ref="A207" r:id="rId6"/>
    <hyperlink xmlns:r="http://schemas.openxmlformats.org/officeDocument/2006/relationships" ref="A208" r:id="rId7"/>
    <hyperlink xmlns:r="http://schemas.openxmlformats.org/officeDocument/2006/relationships" ref="A209" r:id="rId8"/>
    <hyperlink xmlns:r="http://schemas.openxmlformats.org/officeDocument/2006/relationships" ref="A210" r:id="rId9"/>
    <hyperlink xmlns:r="http://schemas.openxmlformats.org/officeDocument/2006/relationships" ref="A214" r:id="rId10"/>
    <hyperlink xmlns:r="http://schemas.openxmlformats.org/officeDocument/2006/relationships" ref="A215" r:id="rId11"/>
    <hyperlink xmlns:r="http://schemas.openxmlformats.org/officeDocument/2006/relationships" ref="A216" r:id="rId12"/>
    <hyperlink xmlns:r="http://schemas.openxmlformats.org/officeDocument/2006/relationships" ref="A217" r:id="rId13"/>
    <hyperlink xmlns:r="http://schemas.openxmlformats.org/officeDocument/2006/relationships" ref="A218" r:id="rId14"/>
  </hyperlinks>
  <pageMargins left="0.75" right="0.75" top="1" bottom="1" header="0.5" footer="0.5"/>
  <drawing xmlns:r="http://schemas.openxmlformats.org/officeDocument/2006/relationships" r:id="rId15"/>
  <tableParts count="6">
    <tablePart xmlns:r="http://schemas.openxmlformats.org/officeDocument/2006/relationships" r:id="rId16"/>
    <tablePart xmlns:r="http://schemas.openxmlformats.org/officeDocument/2006/relationships" r:id="rId17"/>
    <tablePart xmlns:r="http://schemas.openxmlformats.org/officeDocument/2006/relationships" r:id="rId18"/>
    <tablePart xmlns:r="http://schemas.openxmlformats.org/officeDocument/2006/relationships" r:id="rId19"/>
    <tablePart xmlns:r="http://schemas.openxmlformats.org/officeDocument/2006/relationships" r:id="rId20"/>
    <tablePart xmlns:r="http://schemas.openxmlformats.org/officeDocument/2006/relationships" r:id="rId21"/>
  </tableParts>
</worksheet>
</file>

<file path=xl/worksheets/sheet44.xml><?xml version="1.0" encoding="utf-8"?>
<worksheet xmlns="http://schemas.openxmlformats.org/spreadsheetml/2006/main">
  <sheetPr>
    <outlinePr summaryBelow="1" summaryRight="1"/>
    <pageSetUpPr/>
  </sheetPr>
  <dimension ref="A1:I144"/>
  <sheetViews>
    <sheetView showGridLines="0" workbookViewId="0">
      <selection activeCell="A1" sqref="A1"/>
    </sheetView>
  </sheetViews>
  <sheetFormatPr baseColWidth="8" defaultRowHeight="15"/>
  <cols>
    <col width="42" customWidth="1" min="1" max="1"/>
    <col width="25" customWidth="1" min="2" max="2"/>
    <col width="60" customWidth="1" min="3" max="3"/>
    <col width="53" customWidth="1" min="4" max="4"/>
    <col width="29" customWidth="1" min="5" max="5"/>
    <col width="60" customWidth="1" min="6" max="6"/>
    <col width="18" customWidth="1" min="7" max="7"/>
    <col width="45" customWidth="1" min="8" max="8"/>
    <col width="10" customWidth="1" min="9" max="9"/>
  </cols>
  <sheetData>
    <row r="1">
      <c r="A1" s="1" t="inlineStr">
        <is>
          <t>ТОВ "КУБІК ГРУП"</t>
        </is>
      </c>
    </row>
    <row r="2">
      <c r="A2" s="6" t="inlineStr">
        <is>
          <t>ЄДРПОУ 44554976  ·  конкурент  ·  місце №99</t>
        </is>
      </c>
    </row>
    <row r="4">
      <c r="A4" s="7" t="inlineStr">
        <is>
          <t>ТОВ "КУБІК ГРУП" (44554976)</t>
        </is>
      </c>
    </row>
    <row r="6">
      <c r="A6" s="8" t="inlineStr">
        <is>
          <t>Показники</t>
        </is>
      </c>
    </row>
    <row r="7">
      <c r="A7" s="9" t="inlineStr">
        <is>
          <t>Місце на ринку</t>
        </is>
      </c>
      <c r="B7" s="10" t="inlineStr">
        <is>
          <t>№99</t>
        </is>
      </c>
    </row>
    <row r="8">
      <c r="A8" s="9" t="inlineStr">
        <is>
          <t>Сума угод</t>
        </is>
      </c>
      <c r="B8" s="10" t="inlineStr">
        <is>
          <t>274,6 тис. грн</t>
        </is>
      </c>
    </row>
    <row r="9">
      <c r="A9" s="9" t="inlineStr">
        <is>
          <t>Частка ринку</t>
        </is>
      </c>
      <c r="B9" s="10" t="inlineStr">
        <is>
          <t>0,2%</t>
        </is>
      </c>
    </row>
    <row r="10">
      <c r="A10" s="9" t="inlineStr">
        <is>
          <t>Угод</t>
        </is>
      </c>
      <c r="B10" s="10" t="inlineStr">
        <is>
          <t>4</t>
        </is>
      </c>
    </row>
    <row r="11">
      <c r="A11" s="9" t="inlineStr">
        <is>
          <t>Закупівель виграно</t>
        </is>
      </c>
      <c r="B11" s="10" t="inlineStr">
        <is>
          <t>4</t>
        </is>
      </c>
    </row>
    <row r="12">
      <c r="A12" s="9" t="inlineStr">
        <is>
          <t>Подань (де видно)</t>
        </is>
      </c>
      <c r="B12" s="10" t="inlineStr">
        <is>
          <t>34</t>
        </is>
      </c>
    </row>
    <row r="13">
      <c r="A13" s="9" t="inlineStr">
        <is>
          <t>Виграно з поданих</t>
        </is>
      </c>
      <c r="B13" s="10" t="inlineStr">
        <is>
          <t>4 з 34</t>
        </is>
      </c>
    </row>
    <row r="14">
      <c r="A14" s="9" t="inlineStr">
        <is>
          <t>Результативність</t>
        </is>
      </c>
      <c r="B14" s="10" t="inlineStr">
        <is>
          <t>11,8%</t>
        </is>
      </c>
    </row>
    <row r="15">
      <c r="A15" s="9" t="inlineStr">
        <is>
          <t>Середня угода</t>
        </is>
      </c>
      <c r="B15" s="10" t="inlineStr">
        <is>
          <t>68,7 тис. грн</t>
        </is>
      </c>
    </row>
    <row r="16">
      <c r="A16" s="9" t="inlineStr">
        <is>
          <t>Медіанна угода</t>
        </is>
      </c>
      <c r="B16" s="10" t="inlineStr">
        <is>
          <t>65,5 тис. грн</t>
        </is>
      </c>
    </row>
    <row r="17">
      <c r="A17" s="9" t="inlineStr">
        <is>
          <t>Замовників</t>
        </is>
      </c>
      <c r="B17" s="10" t="inlineStr">
        <is>
          <t>4</t>
        </is>
      </c>
    </row>
    <row r="18">
      <c r="A18" s="9" t="inlineStr">
        <is>
          <t>Областей</t>
        </is>
      </c>
      <c r="B18" s="10" t="inlineStr">
        <is>
          <t>1</t>
        </is>
      </c>
    </row>
    <row r="19">
      <c r="A19" s="9" t="inlineStr">
        <is>
          <t>Основна ТМ</t>
        </is>
      </c>
      <c r="B19" s="10" t="inlineStr">
        <is>
          <t>не визначено</t>
        </is>
      </c>
    </row>
    <row r="20">
      <c r="A20" s="9" t="inlineStr">
        <is>
          <t>Основний товар</t>
        </is>
      </c>
      <c r="B20" s="10" t="inlineStr">
        <is>
          <t>Монітор</t>
        </is>
      </c>
    </row>
    <row r="21">
      <c r="A21" s="9" t="inlineStr">
        <is>
          <t>Дисконт (медіана)</t>
        </is>
      </c>
      <c r="B21" s="10" t="inlineStr">
        <is>
          <t>0,6%</t>
        </is>
      </c>
    </row>
    <row r="22">
      <c r="A22" s="9" t="inlineStr">
        <is>
          <t>Повторні замовники</t>
        </is>
      </c>
      <c r="B22" s="10" t="inlineStr">
        <is>
          <t>0,0%</t>
        </is>
      </c>
    </row>
    <row r="23">
      <c r="A23" s="9" t="inlineStr">
        <is>
          <t>Активність</t>
        </is>
      </c>
      <c r="B23" s="10" t="inlineStr">
        <is>
          <t>2025-12-18 — 2026-07-27</t>
        </is>
      </c>
    </row>
    <row r="24">
      <c r="A24" s="9" t="inlineStr">
        <is>
          <t>Зірвано перемог</t>
        </is>
      </c>
      <c r="B24" s="10" t="inlineStr">
        <is>
          <t>3 на 183,5 тис. грн</t>
        </is>
      </c>
    </row>
    <row r="25">
      <c r="A25" s="9" t="inlineStr">
        <is>
          <t>Причина зривів</t>
        </is>
      </c>
      <c r="B25" s="10" t="inlineStr">
        <is>
          <t>Відмова від договору</t>
        </is>
      </c>
    </row>
    <row r="27">
      <c r="A27" s="8" t="inlineStr">
        <is>
          <t>Висновки</t>
        </is>
      </c>
    </row>
    <row r="28">
      <c r="A28" t="inlineStr">
        <is>
          <t>•  99-е місце на ринку: 274,6 тис. грн (0,2% обороту)</t>
        </is>
      </c>
    </row>
    <row r="29">
      <c r="A29" t="inlineStr">
        <is>
          <t>•  Основний товар: монітор</t>
        </is>
      </c>
    </row>
    <row r="30">
      <c r="A30" t="inlineStr">
        <is>
          <t>•  Грає у відкритих процедурах: лише 0,0% угод без торгів</t>
        </is>
      </c>
    </row>
    <row r="31">
      <c r="A31" t="inlineStr">
        <is>
          <t>•  Тримає ціну: дисконт 0,6% проти 8,3% по ринку</t>
        </is>
      </c>
    </row>
    <row r="32">
      <c r="A32" t="inlineStr">
        <is>
          <t>•  Географічно сфокусований: Волинська область (100,0% угод)</t>
        </is>
      </c>
    </row>
    <row r="33">
      <c r="A33" t="inlineStr">
        <is>
          <t>•  Результативність на торгах: 11,8% (4 з 34)</t>
        </is>
      </c>
    </row>
    <row r="34">
      <c r="A34" t="inlineStr">
        <is>
          <t>•  Динаміка: тримається рівно (9% у другій половині періоду)</t>
        </is>
      </c>
    </row>
    <row r="35">
      <c r="A35" t="inlineStr">
        <is>
          <t>•  Зривається 42,9% виграшів: 3 з 7 на 183,5 тис. грн, найчастіше — відмова від договору</t>
        </is>
      </c>
    </row>
    <row r="37">
      <c r="A37" s="8" t="inlineStr">
        <is>
          <t>Графіки</t>
        </is>
      </c>
    </row>
    <row r="39">
      <c r="A39" s="2" t="inlineStr">
        <is>
          <t>Динаміка по місяцях</t>
        </is>
      </c>
    </row>
    <row r="40">
      <c r="A40" s="3" t="inlineStr">
        <is>
          <t>Період</t>
        </is>
      </c>
      <c r="B40" s="3" t="inlineStr">
        <is>
          <t>Сума угод, грн</t>
        </is>
      </c>
    </row>
    <row r="41">
      <c r="A41" t="inlineStr">
        <is>
          <t>2025-12</t>
        </is>
      </c>
      <c r="B41" s="5" t="n">
        <v>48000</v>
      </c>
    </row>
    <row r="42">
      <c r="A42" t="inlineStr">
        <is>
          <t>2026-05</t>
        </is>
      </c>
      <c r="B42" s="5" t="n">
        <v>83100</v>
      </c>
    </row>
    <row r="43">
      <c r="A43" t="inlineStr">
        <is>
          <t>2026-06</t>
        </is>
      </c>
      <c r="B43" s="5" t="n">
        <v>47730</v>
      </c>
    </row>
    <row r="44">
      <c r="A44" t="inlineStr">
        <is>
          <t>2026-07</t>
        </is>
      </c>
      <c r="B44" s="5" t="n">
        <v>95798.39999999999</v>
      </c>
    </row>
    <row r="59">
      <c r="A59" s="2" t="inlineStr">
        <is>
          <t>Що саме продає</t>
        </is>
      </c>
    </row>
    <row r="60">
      <c r="A60" s="3" t="inlineStr">
        <is>
          <t>Категорія</t>
        </is>
      </c>
      <c r="B60" s="3" t="inlineStr">
        <is>
          <t>Позицій, шт</t>
        </is>
      </c>
    </row>
    <row r="61">
      <c r="A61" t="inlineStr">
        <is>
          <t>Монітор</t>
        </is>
      </c>
      <c r="B61" s="5" t="n">
        <v>7</v>
      </c>
    </row>
    <row r="62">
      <c r="A62" t="inlineStr">
        <is>
          <t>Планшет</t>
        </is>
      </c>
      <c r="B62" s="5" t="n">
        <v>5</v>
      </c>
    </row>
    <row r="63">
      <c r="A63" t="inlineStr">
        <is>
          <t>Накопичувач (тип не вказано)</t>
        </is>
      </c>
      <c r="B63" s="5" t="n">
        <v>4</v>
      </c>
    </row>
    <row r="64">
      <c r="A64" t="inlineStr">
        <is>
          <t>Багатофункціональний пристрій (БФП)</t>
        </is>
      </c>
      <c r="B64" s="5" t="n">
        <v>4</v>
      </c>
    </row>
    <row r="65">
      <c r="A65" t="inlineStr">
        <is>
          <t>Ноутбук</t>
        </is>
      </c>
      <c r="B65" s="5" t="n">
        <v>4</v>
      </c>
    </row>
    <row r="66">
      <c r="A66" t="inlineStr">
        <is>
          <t>Клавіатура</t>
        </is>
      </c>
      <c r="B66" s="5" t="n">
        <v>3</v>
      </c>
    </row>
    <row r="67">
      <c r="A67" t="inlineStr">
        <is>
          <t>Джерело безперебійного живлення</t>
        </is>
      </c>
      <c r="B67" s="5" t="n">
        <v>2</v>
      </c>
    </row>
    <row r="68">
      <c r="A68" t="inlineStr">
        <is>
          <t>Накопичувач SSD</t>
        </is>
      </c>
      <c r="B68" s="5" t="n">
        <v>2</v>
      </c>
    </row>
    <row r="69">
      <c r="A69" t="inlineStr">
        <is>
          <t>Оперативна пам'ять</t>
        </is>
      </c>
      <c r="B69" s="5" t="n">
        <v>2</v>
      </c>
    </row>
    <row r="70">
      <c r="A70" t="inlineStr">
        <is>
          <t>3D-принтер і витратні матеріали</t>
        </is>
      </c>
      <c r="B70" s="5" t="n">
        <v>1</v>
      </c>
    </row>
    <row r="77">
      <c r="A77" s="2" t="inlineStr">
        <is>
          <t>Ключові замовники</t>
        </is>
      </c>
    </row>
    <row r="78">
      <c r="A78" s="3" t="inlineStr">
        <is>
          <t>Категорія</t>
        </is>
      </c>
      <c r="B78" s="3" t="inlineStr">
        <is>
          <t>Сума, грн</t>
        </is>
      </c>
    </row>
    <row r="79">
      <c r="A79" t="inlineStr">
        <is>
          <t>Виконавчий комітет Луцької міської ради</t>
        </is>
      </c>
      <c r="B79" s="5" t="n">
        <v>95798.39999999999</v>
      </c>
    </row>
    <row r="80">
      <c r="A80" t="inlineStr">
        <is>
          <t>Головне Управління Державної служби Укра</t>
        </is>
      </c>
      <c r="B80" s="5" t="n">
        <v>83100</v>
      </c>
    </row>
    <row r="81">
      <c r="A81" t="inlineStr">
        <is>
          <t>Виконавчий комітет Ковельської міської р</t>
        </is>
      </c>
      <c r="B81" s="5" t="n">
        <v>48000</v>
      </c>
    </row>
    <row r="82">
      <c r="A82" t="inlineStr">
        <is>
          <t>Військова частина Т0430</t>
        </is>
      </c>
      <c r="B82" s="5" t="n">
        <v>47730</v>
      </c>
    </row>
    <row r="93">
      <c r="A93" s="8" t="inlineStr">
        <is>
          <t>Таблиці</t>
        </is>
      </c>
    </row>
    <row r="95">
      <c r="A95" s="2" t="inlineStr">
        <is>
          <t>Товари</t>
        </is>
      </c>
    </row>
    <row r="96">
      <c r="A96" s="11" t="inlineStr">
        <is>
          <t>Товар</t>
        </is>
      </c>
      <c r="B96" s="11" t="inlineStr">
        <is>
          <t>Позицій</t>
        </is>
      </c>
    </row>
    <row r="97">
      <c r="A97" t="inlineStr">
        <is>
          <t>Монітор</t>
        </is>
      </c>
      <c r="B97" s="5" t="n">
        <v>7</v>
      </c>
    </row>
    <row r="98">
      <c r="A98" t="inlineStr">
        <is>
          <t>Планшет</t>
        </is>
      </c>
      <c r="B98" s="5" t="n">
        <v>5</v>
      </c>
    </row>
    <row r="99">
      <c r="A99" t="inlineStr">
        <is>
          <t>Накопичувач (тип не вказано)</t>
        </is>
      </c>
      <c r="B99" s="5" t="n">
        <v>4</v>
      </c>
    </row>
    <row r="100">
      <c r="A100" t="inlineStr">
        <is>
          <t>Багатофункціональний пристрій (БФП)</t>
        </is>
      </c>
      <c r="B100" s="5" t="n">
        <v>4</v>
      </c>
    </row>
    <row r="101">
      <c r="A101" t="inlineStr">
        <is>
          <t>Ноутбук</t>
        </is>
      </c>
      <c r="B101" s="5" t="n">
        <v>4</v>
      </c>
    </row>
    <row r="102">
      <c r="A102" t="inlineStr">
        <is>
          <t>Клавіатура</t>
        </is>
      </c>
      <c r="B102" s="5" t="n">
        <v>3</v>
      </c>
    </row>
    <row r="103">
      <c r="A103" t="inlineStr">
        <is>
          <t>Джерело безперебійного живлення</t>
        </is>
      </c>
      <c r="B103" s="5" t="n">
        <v>2</v>
      </c>
    </row>
    <row r="104">
      <c r="A104" t="inlineStr">
        <is>
          <t>Накопичувач SSD</t>
        </is>
      </c>
      <c r="B104" s="5" t="n">
        <v>2</v>
      </c>
    </row>
    <row r="105">
      <c r="A105" t="inlineStr">
        <is>
          <t>Оперативна пам'ять</t>
        </is>
      </c>
      <c r="B105" s="5" t="n">
        <v>2</v>
      </c>
    </row>
    <row r="106">
      <c r="A106" t="inlineStr">
        <is>
          <t>3D-принтер і витратні матеріали</t>
        </is>
      </c>
      <c r="B106" s="5" t="n">
        <v>1</v>
      </c>
    </row>
    <row r="107">
      <c r="A107" t="inlineStr">
        <is>
          <t>Навушники, гарнітура</t>
        </is>
      </c>
      <c r="B107" s="5" t="n">
        <v>1</v>
      </c>
    </row>
    <row r="108">
      <c r="A108" t="inlineStr">
        <is>
          <t>Моноблок</t>
        </is>
      </c>
      <c r="B108" s="5" t="n">
        <v>1</v>
      </c>
    </row>
    <row r="109">
      <c r="A109" t="inlineStr">
        <is>
          <t>Вебкамера</t>
        </is>
      </c>
      <c r="B109" s="5" t="n">
        <v>1</v>
      </c>
    </row>
    <row r="111">
      <c r="A111" s="2" t="inlineStr">
        <is>
          <t>Документи</t>
        </is>
      </c>
    </row>
    <row r="112">
      <c r="A112" s="11" t="inlineStr">
        <is>
          <t>Тип документа</t>
        </is>
      </c>
      <c r="B112" s="11" t="inlineStr">
        <is>
          <t>Файлів</t>
        </is>
      </c>
    </row>
    <row r="113">
      <c r="A113" t="inlineStr">
        <is>
          <t>Підпис КЕП</t>
        </is>
      </c>
      <c r="B113" s="5" t="n">
        <v>48</v>
      </c>
    </row>
    <row r="114">
      <c r="A114" t="inlineStr">
        <is>
          <t>не класифіковано</t>
        </is>
      </c>
      <c r="B114" s="5" t="n">
        <v>2</v>
      </c>
    </row>
    <row r="115">
      <c r="A115" t="inlineStr">
        <is>
          <t>Установчі та реєстраційні</t>
        </is>
      </c>
      <c r="B115" s="5" t="n">
        <v>2</v>
      </c>
    </row>
    <row r="117">
      <c r="A117" s="2" t="inlineStr">
        <is>
          <t>Зірвані перемоги</t>
        </is>
      </c>
    </row>
    <row r="118">
      <c r="A118" s="11" t="inlineStr">
        <is>
          <t>Закупівля</t>
        </is>
      </c>
      <c r="B118" s="11" t="inlineStr">
        <is>
          <t>Дата</t>
        </is>
      </c>
      <c r="C118" s="11" t="inlineStr">
        <is>
          <t>Замовник</t>
        </is>
      </c>
      <c r="D118" s="11" t="inlineStr">
        <is>
          <t>Сума, грн</t>
        </is>
      </c>
      <c r="E118" s="11" t="inlineStr">
        <is>
          <t>Причина</t>
        </is>
      </c>
      <c r="F118" s="11" t="inlineStr">
        <is>
          <t>Формулювання замовника</t>
        </is>
      </c>
    </row>
    <row r="119">
      <c r="A119" s="4" t="inlineStr">
        <is>
          <t>UA-2025-10-24-010296-a</t>
        </is>
      </c>
      <c r="B119" t="inlineStr">
        <is>
          <t>2025-11-17</t>
        </is>
      </c>
      <c r="C119" t="inlineStr">
        <is>
          <t>Територіальне управління Державної судової адміністрації України в Волинській області</t>
        </is>
      </c>
      <c r="D119" s="5" t="n">
        <v>83709</v>
      </c>
      <c r="E119" t="inlineStr">
        <is>
          <t>Не підписав договір у строк</t>
        </is>
      </c>
      <c r="F119" t="inlineStr">
        <is>
          <t>Переможець не підписав договір у строк, визначений абзацом першим пункту 66 цього Порядку</t>
        </is>
      </c>
    </row>
    <row r="120">
      <c r="A120" s="4" t="inlineStr">
        <is>
          <t>UA-2026-03-16-002706-a</t>
        </is>
      </c>
      <c r="B120" t="inlineStr">
        <is>
          <t>2026-03-19</t>
        </is>
      </c>
      <c r="C120" t="inlineStr">
        <is>
          <t>КП "Медичне об'єднання Луцької міської територіальної громади"</t>
        </is>
      </c>
      <c r="D120" s="5" t="n">
        <v>73800</v>
      </c>
      <c r="E120" t="inlineStr">
        <is>
          <t>Відмова від договору</t>
        </is>
      </c>
      <c r="F120" t="inlineStr">
        <is>
          <t>письмово відмовився від укладення договору на умовах, визначених замовником у запиті пропозицій постачальників, шляхом заповнення електронних форм з окремими полями та у проекті договору, що є складовою частиною запиту пропозицій постачальників.</t>
        </is>
      </c>
    </row>
    <row r="121">
      <c r="A121" s="4" t="inlineStr">
        <is>
          <t>UA-2026-04-28-010499-a</t>
        </is>
      </c>
      <c r="B121" t="inlineStr">
        <is>
          <t>2026-05-04</t>
        </is>
      </c>
      <c r="C121" t="inlineStr">
        <is>
          <t>Виконавчий комітет Луцької міської ради</t>
        </is>
      </c>
      <c r="D121" s="5" t="n">
        <v>25980</v>
      </c>
      <c r="E121" t="inlineStr">
        <is>
          <t>Відмова від договору</t>
        </is>
      </c>
      <c r="F121" t="inlineStr">
        <is>
          <t>Переможець письмово відмовився від укладення договору на умовах, визначених замовником у запиті пропозицій постачальників, шляхом заповнення електронних форм з окремими полями та у проекті договору, що є складовою частиною запиту пропозицій постачальників</t>
        </is>
      </c>
    </row>
    <row r="123">
      <c r="A123" s="2" t="inlineStr">
        <is>
          <t>Угоди</t>
        </is>
      </c>
    </row>
    <row r="124">
      <c r="A124" s="11" t="inlineStr">
        <is>
          <t>Закупівля</t>
        </is>
      </c>
      <c r="B124" s="11" t="inlineStr">
        <is>
          <t>Дата</t>
        </is>
      </c>
      <c r="C124" s="11" t="inlineStr">
        <is>
          <t>Замовник</t>
        </is>
      </c>
      <c r="D124" s="11" t="inlineStr">
        <is>
          <t>Регіон</t>
        </is>
      </c>
      <c r="E124" s="11" t="inlineStr">
        <is>
          <t>Сума, грн</t>
        </is>
      </c>
      <c r="F124" s="11" t="inlineStr">
        <is>
          <t>Очікувана, грн</t>
        </is>
      </c>
      <c r="G124" s="11" t="inlineStr">
        <is>
          <t>Процедура</t>
        </is>
      </c>
      <c r="H124" s="11" t="inlineStr">
        <is>
          <t>Галузь</t>
        </is>
      </c>
      <c r="I124" s="11" t="inlineStr">
        <is>
          <t>Джерело</t>
        </is>
      </c>
    </row>
    <row r="125">
      <c r="A125" s="4" t="inlineStr">
        <is>
          <t>UA-2026-07-17-009859-a</t>
        </is>
      </c>
      <c r="B125" t="inlineStr">
        <is>
          <t>2026-07-27</t>
        </is>
      </c>
      <c r="C125" t="inlineStr">
        <is>
          <t>Виконавчий комітет Луцької міської ради</t>
        </is>
      </c>
      <c r="D125" t="inlineStr">
        <is>
          <t>Волинська область</t>
        </is>
      </c>
      <c r="E125" s="13" t="n">
        <v>95798.39999999999</v>
      </c>
      <c r="F125" s="13" t="n">
        <v>83333.33</v>
      </c>
      <c r="G125" t="inlineStr">
        <is>
          <t>Запит пропозицій</t>
        </is>
      </c>
      <c r="H125" t="inlineStr">
        <is>
          <t>Машини для обробки даних (апаратна частина)</t>
        </is>
      </c>
      <c r="I125" t="inlineStr">
        <is>
          <t>договір</t>
        </is>
      </c>
    </row>
    <row r="126">
      <c r="A126" s="4" t="inlineStr">
        <is>
          <t>UA-2026-05-12-001531-a</t>
        </is>
      </c>
      <c r="B126" t="inlineStr">
        <is>
          <t>2026-05-19</t>
        </is>
      </c>
      <c r="C126" t="inlineStr">
        <is>
          <t>Головне Управління Державної служби України з надзвичайних ситуацій у Волинській області</t>
        </is>
      </c>
      <c r="D126" t="inlineStr">
        <is>
          <t>Волинська область</t>
        </is>
      </c>
      <c r="E126" s="13" t="n">
        <v>83100</v>
      </c>
      <c r="F126" s="13" t="n">
        <v>83320</v>
      </c>
      <c r="G126" t="inlineStr">
        <is>
          <t>Запит пропозицій</t>
        </is>
      </c>
      <c r="H126" t="inlineStr">
        <is>
          <t>Комп’ютерне обладнання</t>
        </is>
      </c>
      <c r="I126" t="inlineStr">
        <is>
          <t>договір</t>
        </is>
      </c>
    </row>
    <row r="127">
      <c r="A127" s="4" t="inlineStr">
        <is>
          <t>UA-2025-12-05-010265-a</t>
        </is>
      </c>
      <c r="B127" t="inlineStr">
        <is>
          <t>2025-12-18</t>
        </is>
      </c>
      <c r="C127" t="inlineStr">
        <is>
          <t>Виконавчий комітет Ковельської міської ради</t>
        </is>
      </c>
      <c r="D127" t="inlineStr">
        <is>
          <t>Волинська область</t>
        </is>
      </c>
      <c r="E127" s="13" t="n">
        <v>48000</v>
      </c>
      <c r="F127" s="13" t="n">
        <v>49000</v>
      </c>
      <c r="G127" t="inlineStr">
        <is>
          <t>Запит пропозицій</t>
        </is>
      </c>
      <c r="H127" t="inlineStr">
        <is>
          <t>Машини для обробки даних (апаратна частина)</t>
        </is>
      </c>
      <c r="I127" t="inlineStr">
        <is>
          <t>договір</t>
        </is>
      </c>
    </row>
    <row r="128">
      <c r="A128" s="4" t="inlineStr">
        <is>
          <t>UA-2026-06-16-000898-a</t>
        </is>
      </c>
      <c r="B128" t="inlineStr">
        <is>
          <t>2026-06-26</t>
        </is>
      </c>
      <c r="C128" t="inlineStr">
        <is>
          <t>Військова частина Т0430</t>
        </is>
      </c>
      <c r="D128" t="inlineStr">
        <is>
          <t>Волинська область</t>
        </is>
      </c>
      <c r="E128" s="13" t="n">
        <v>47730</v>
      </c>
      <c r="F128" s="13" t="n">
        <v>48000</v>
      </c>
      <c r="G128" t="inlineStr">
        <is>
          <t>Запит пропозицій</t>
        </is>
      </c>
      <c r="H128" t="inlineStr">
        <is>
          <t>Комп’ютерне обладнання</t>
        </is>
      </c>
      <c r="I128" t="inlineStr">
        <is>
          <t>договір</t>
        </is>
      </c>
    </row>
    <row r="130">
      <c r="A130" s="2" t="inlineStr">
        <is>
          <t>Наші зустрічі</t>
        </is>
      </c>
    </row>
    <row r="131">
      <c r="A131" s="11" t="inlineStr">
        <is>
          <t>Закупівля</t>
        </is>
      </c>
      <c r="B131" s="11" t="inlineStr">
        <is>
          <t>Дата</t>
        </is>
      </c>
      <c r="C131" s="11" t="inlineStr">
        <is>
          <t>Замовник</t>
        </is>
      </c>
      <c r="D131" s="11" t="inlineStr">
        <is>
          <t>Предмет</t>
        </is>
      </c>
      <c r="E131" s="11" t="inlineStr">
        <is>
          <t>Сума переможця, грн</t>
        </is>
      </c>
      <c r="F131" s="11" t="inlineStr">
        <is>
          <t>Наша пропозиція, грн</t>
        </is>
      </c>
      <c r="G131" s="11" t="inlineStr">
        <is>
          <t>Розрив</t>
        </is>
      </c>
      <c r="H131" s="11" t="inlineStr">
        <is>
          <t>Що сталося</t>
        </is>
      </c>
    </row>
    <row r="132">
      <c r="A132" s="4" t="inlineStr">
        <is>
          <t>UA-2026-05-12-001531-a</t>
        </is>
      </c>
      <c r="B132" t="inlineStr">
        <is>
          <t>2026-05-12</t>
        </is>
      </c>
      <c r="C132" t="inlineStr">
        <is>
          <t>Головне Управління Державної служби України з надзвичайних ситуацій у Волинській області</t>
        </is>
      </c>
      <c r="D132" t="inlineStr">
        <is>
          <t>Клавіатури в комплекті з мишею</t>
        </is>
      </c>
      <c r="E132" s="5" t="n">
        <v>83100</v>
      </c>
      <c r="H132" t="inlineStr">
        <is>
          <t>ми не подавалися</t>
        </is>
      </c>
    </row>
    <row r="133">
      <c r="A133" s="4" t="inlineStr">
        <is>
          <t>UA-2026-07-17-009859-a</t>
        </is>
      </c>
      <c r="B133" t="inlineStr">
        <is>
          <t>2026-07-17</t>
        </is>
      </c>
      <c r="C133" t="inlineStr">
        <is>
          <t>Виконавчий комітет Луцької міської ради</t>
        </is>
      </c>
      <c r="D133" t="inlineStr">
        <is>
          <t>Ноутбук MSI Thin 15 B13VE-3438XUA (9S7-16R831-3438)</t>
        </is>
      </c>
      <c r="E133" s="5" t="n">
        <v>79832</v>
      </c>
      <c r="H133" t="inlineStr">
        <is>
          <t>ми не подавалися</t>
        </is>
      </c>
    </row>
    <row r="134">
      <c r="A134" s="4" t="inlineStr">
        <is>
          <t>UA-2025-12-05-010265-a</t>
        </is>
      </c>
      <c r="B134" t="inlineStr">
        <is>
          <t>2025-12-05</t>
        </is>
      </c>
      <c r="C134" t="inlineStr">
        <is>
          <t>Виконавчий комітет Ковельської міської ради</t>
        </is>
      </c>
      <c r="D134" t="inlineStr">
        <is>
          <t>Ноутбук Acer TravelMate TMP215-55 (NX.BE0EU.006)</t>
        </is>
      </c>
      <c r="E134" s="5" t="n">
        <v>48000</v>
      </c>
      <c r="H134" t="inlineStr">
        <is>
          <t>ми не подавалися</t>
        </is>
      </c>
    </row>
    <row r="135">
      <c r="A135" s="4" t="inlineStr">
        <is>
          <t>UA-2026-06-16-000898-a</t>
        </is>
      </c>
      <c r="B135" t="inlineStr">
        <is>
          <t>2026-06-16</t>
        </is>
      </c>
      <c r="C135" t="inlineStr">
        <is>
          <t>Військова частина Т0430</t>
        </is>
      </c>
      <c r="D135" t="inlineStr">
        <is>
          <t>Комп’ютерне обладнання</t>
        </is>
      </c>
      <c r="E135" s="5" t="n">
        <v>47730</v>
      </c>
      <c r="H135" t="inlineStr">
        <is>
          <t>ми не подавалися</t>
        </is>
      </c>
    </row>
    <row r="137">
      <c r="A137" s="8" t="inlineStr">
        <is>
          <t>Сильні сторони</t>
        </is>
      </c>
    </row>
    <row r="138">
      <c r="A138" t="inlineStr">
        <is>
          <t>+  уміє вигравати у відкритих торгах</t>
        </is>
      </c>
    </row>
    <row r="139">
      <c r="A139" t="inlineStr">
        <is>
          <t>+  працює з великими контрактами</t>
        </is>
      </c>
    </row>
    <row r="141">
      <c r="A141" s="8" t="inlineStr">
        <is>
          <t>Слабкі сторони</t>
        </is>
      </c>
    </row>
    <row r="142">
      <c r="A142" t="inlineStr">
        <is>
          <t>−  сертифікатів у поданих файлах не знайдено</t>
        </is>
      </c>
    </row>
    <row r="143">
      <c r="A143" t="inlineStr">
        <is>
          <t>−  слабка цінова позиція: дисконт 0,6% проти 8,3% по ринку</t>
        </is>
      </c>
    </row>
    <row r="144">
      <c r="A144" t="inlineStr">
        <is>
          <t>−  низька результативність на торгах (11,8%)</t>
        </is>
      </c>
    </row>
  </sheetData>
  <hyperlinks>
    <hyperlink xmlns:r="http://schemas.openxmlformats.org/officeDocument/2006/relationships" ref="A119" r:id="rId1"/>
    <hyperlink xmlns:r="http://schemas.openxmlformats.org/officeDocument/2006/relationships" ref="A120" r:id="rId2"/>
    <hyperlink xmlns:r="http://schemas.openxmlformats.org/officeDocument/2006/relationships" ref="A121" r:id="rId3"/>
    <hyperlink xmlns:r="http://schemas.openxmlformats.org/officeDocument/2006/relationships" ref="A125" r:id="rId4"/>
    <hyperlink xmlns:r="http://schemas.openxmlformats.org/officeDocument/2006/relationships" ref="A126" r:id="rId5"/>
    <hyperlink xmlns:r="http://schemas.openxmlformats.org/officeDocument/2006/relationships" ref="A127" r:id="rId6"/>
    <hyperlink xmlns:r="http://schemas.openxmlformats.org/officeDocument/2006/relationships" ref="A128" r:id="rId7"/>
    <hyperlink xmlns:r="http://schemas.openxmlformats.org/officeDocument/2006/relationships" ref="A132" r:id="rId8"/>
    <hyperlink xmlns:r="http://schemas.openxmlformats.org/officeDocument/2006/relationships" ref="A133" r:id="rId9"/>
    <hyperlink xmlns:r="http://schemas.openxmlformats.org/officeDocument/2006/relationships" ref="A134" r:id="rId10"/>
    <hyperlink xmlns:r="http://schemas.openxmlformats.org/officeDocument/2006/relationships" ref="A135" r:id="rId11"/>
  </hyperlinks>
  <pageMargins left="0.75" right="0.75" top="1" bottom="1" header="0.5" footer="0.5"/>
  <drawing xmlns:r="http://schemas.openxmlformats.org/officeDocument/2006/relationships" r:id="rId12"/>
  <tableParts count="5">
    <tablePart xmlns:r="http://schemas.openxmlformats.org/officeDocument/2006/relationships" r:id="rId13"/>
    <tablePart xmlns:r="http://schemas.openxmlformats.org/officeDocument/2006/relationships" r:id="rId14"/>
    <tablePart xmlns:r="http://schemas.openxmlformats.org/officeDocument/2006/relationships" r:id="rId15"/>
    <tablePart xmlns:r="http://schemas.openxmlformats.org/officeDocument/2006/relationships" r:id="rId16"/>
    <tablePart xmlns:r="http://schemas.openxmlformats.org/officeDocument/2006/relationships" r:id="rId17"/>
  </tableParts>
</worksheet>
</file>

<file path=xl/worksheets/sheet45.xml><?xml version="1.0" encoding="utf-8"?>
<worksheet xmlns="http://schemas.openxmlformats.org/spreadsheetml/2006/main">
  <sheetPr>
    <outlinePr summaryBelow="1" summaryRight="1"/>
    <pageSetUpPr/>
  </sheetPr>
  <dimension ref="A1:I144"/>
  <sheetViews>
    <sheetView showGridLines="0" workbookViewId="0">
      <selection activeCell="A1" sqref="A1"/>
    </sheetView>
  </sheetViews>
  <sheetFormatPr baseColWidth="8" defaultRowHeight="15"/>
  <cols>
    <col width="42" customWidth="1" min="1" max="1"/>
    <col width="29" customWidth="1" min="2" max="2"/>
    <col width="60" customWidth="1" min="3" max="3"/>
    <col width="60" customWidth="1" min="4" max="4"/>
    <col width="29" customWidth="1" min="5" max="5"/>
    <col width="60" customWidth="1" min="6" max="6"/>
    <col width="18" customWidth="1" min="7" max="7"/>
    <col width="45" customWidth="1" min="8" max="8"/>
    <col width="10" customWidth="1" min="9" max="9"/>
  </cols>
  <sheetData>
    <row r="1">
      <c r="A1" s="1" t="inlineStr">
        <is>
          <t>ТОВ "СІНТ-ДНІПРОПЕТРОВСЬК"</t>
        </is>
      </c>
    </row>
    <row r="2">
      <c r="A2" s="6" t="inlineStr">
        <is>
          <t>ЄДРПОУ 38199744  ·  конкурент  ·  місце №122</t>
        </is>
      </c>
    </row>
    <row r="4">
      <c r="A4" s="7" t="inlineStr">
        <is>
          <t>ТОВ "СІНТ-ДНІПРОПЕТРОВСЬК" (38199744)</t>
        </is>
      </c>
    </row>
    <row r="6">
      <c r="A6" s="8" t="inlineStr">
        <is>
          <t>Показники</t>
        </is>
      </c>
    </row>
    <row r="7">
      <c r="A7" s="9" t="inlineStr">
        <is>
          <t>Місце на ринку</t>
        </is>
      </c>
      <c r="B7" s="10" t="inlineStr">
        <is>
          <t>№122</t>
        </is>
      </c>
    </row>
    <row r="8">
      <c r="A8" s="9" t="inlineStr">
        <is>
          <t>Сума угод</t>
        </is>
      </c>
      <c r="B8" s="10" t="inlineStr">
        <is>
          <t>209,0 тис. грн</t>
        </is>
      </c>
    </row>
    <row r="9">
      <c r="A9" s="9" t="inlineStr">
        <is>
          <t>Частка ринку</t>
        </is>
      </c>
      <c r="B9" s="10" t="inlineStr">
        <is>
          <t>0,2%</t>
        </is>
      </c>
    </row>
    <row r="10">
      <c r="A10" s="9" t="inlineStr">
        <is>
          <t>Угод</t>
        </is>
      </c>
      <c r="B10" s="10" t="inlineStr">
        <is>
          <t>7</t>
        </is>
      </c>
    </row>
    <row r="11">
      <c r="A11" s="9" t="inlineStr">
        <is>
          <t>Закупівель виграно</t>
        </is>
      </c>
      <c r="B11" s="10" t="inlineStr">
        <is>
          <t>7</t>
        </is>
      </c>
    </row>
    <row r="12">
      <c r="A12" s="9" t="inlineStr">
        <is>
          <t>Подань (де видно)</t>
        </is>
      </c>
      <c r="B12" s="10" t="inlineStr">
        <is>
          <t>32</t>
        </is>
      </c>
    </row>
    <row r="13">
      <c r="A13" s="9" t="inlineStr">
        <is>
          <t>Виграно з поданих</t>
        </is>
      </c>
      <c r="B13" s="10" t="inlineStr">
        <is>
          <t>7 з 32</t>
        </is>
      </c>
    </row>
    <row r="14">
      <c r="A14" s="9" t="inlineStr">
        <is>
          <t>Результативність</t>
        </is>
      </c>
      <c r="B14" s="10" t="inlineStr">
        <is>
          <t>21,9%</t>
        </is>
      </c>
    </row>
    <row r="15">
      <c r="A15" s="9" t="inlineStr">
        <is>
          <t>Середня угода</t>
        </is>
      </c>
      <c r="B15" s="10" t="inlineStr">
        <is>
          <t>29,9 тис. грн</t>
        </is>
      </c>
    </row>
    <row r="16">
      <c r="A16" s="9" t="inlineStr">
        <is>
          <t>Медіанна угода</t>
        </is>
      </c>
      <c r="B16" s="10" t="inlineStr">
        <is>
          <t>23,8 тис. грн</t>
        </is>
      </c>
    </row>
    <row r="17">
      <c r="A17" s="9" t="inlineStr">
        <is>
          <t>Замовників</t>
        </is>
      </c>
      <c r="B17" s="10" t="inlineStr">
        <is>
          <t>6</t>
        </is>
      </c>
    </row>
    <row r="18">
      <c r="A18" s="9" t="inlineStr">
        <is>
          <t>Областей</t>
        </is>
      </c>
      <c r="B18" s="10" t="inlineStr">
        <is>
          <t>1</t>
        </is>
      </c>
    </row>
    <row r="19">
      <c r="A19" s="9" t="inlineStr">
        <is>
          <t>Основна ТМ</t>
        </is>
      </c>
      <c r="B19" s="10" t="inlineStr">
        <is>
          <t>не визначено</t>
        </is>
      </c>
    </row>
    <row r="20">
      <c r="A20" s="9" t="inlineStr">
        <is>
          <t>Основний товар</t>
        </is>
      </c>
      <c r="B20" s="10" t="inlineStr">
        <is>
          <t>Оптичний диск</t>
        </is>
      </c>
    </row>
    <row r="21">
      <c r="A21" s="9" t="inlineStr">
        <is>
          <t>Дисконт (медіана)</t>
        </is>
      </c>
      <c r="B21" s="10" t="inlineStr">
        <is>
          <t>9,5%</t>
        </is>
      </c>
    </row>
    <row r="22">
      <c r="A22" s="9" t="inlineStr">
        <is>
          <t>Повторні замовники</t>
        </is>
      </c>
      <c r="B22" s="10" t="inlineStr">
        <is>
          <t>14,3%</t>
        </is>
      </c>
    </row>
    <row r="23">
      <c r="A23" s="9" t="inlineStr">
        <is>
          <t>Активність</t>
        </is>
      </c>
      <c r="B23" s="10" t="inlineStr">
        <is>
          <t>2026-03-26 — 2026-09-02</t>
        </is>
      </c>
    </row>
    <row r="24">
      <c r="A24" s="9" t="inlineStr">
        <is>
          <t>Зірвано перемог</t>
        </is>
      </c>
      <c r="B24" s="10" t="inlineStr">
        <is>
          <t>2 на 88,5 тис. грн</t>
        </is>
      </c>
    </row>
    <row r="25">
      <c r="A25" s="9" t="inlineStr">
        <is>
          <t>Причина зривів</t>
        </is>
      </c>
      <c r="B25" s="10" t="inlineStr">
        <is>
          <t>Не підписав договір у строк</t>
        </is>
      </c>
    </row>
    <row r="27">
      <c r="A27" s="8" t="inlineStr">
        <is>
          <t>Висновки</t>
        </is>
      </c>
    </row>
    <row r="28">
      <c r="A28" t="inlineStr">
        <is>
          <t>•  122-е місце на ринку: 209,0 тис. грн (0,2% обороту)</t>
        </is>
      </c>
    </row>
    <row r="29">
      <c r="A29" t="inlineStr">
        <is>
          <t>•  Основний товар: оптичний диск</t>
        </is>
      </c>
    </row>
    <row r="30">
      <c r="A30" t="inlineStr">
        <is>
          <t>•  Грає у відкритих процедурах: лише 0,0% угод без торгів</t>
        </is>
      </c>
    </row>
    <row r="31">
      <c r="A31" t="inlineStr">
        <is>
          <t>•  Географічно сфокусований: Волинська область (100,0% угод)</t>
        </is>
      </c>
    </row>
    <row r="32">
      <c r="A32" t="inlineStr">
        <is>
          <t>•  Результативність на торгах: 21,9% (7 з 32)</t>
        </is>
      </c>
    </row>
    <row r="33">
      <c r="A33" t="inlineStr">
        <is>
          <t>•  Динаміка: спадає (-46% у другій половині періоду)</t>
        </is>
      </c>
    </row>
    <row r="34">
      <c r="A34" t="inlineStr">
        <is>
          <t>•  Зірваних перемог: 2 на 88,5 тис. грн, найчастіше — не підписав договір у строк</t>
        </is>
      </c>
    </row>
    <row r="36">
      <c r="A36" s="8" t="inlineStr">
        <is>
          <t>Графіки</t>
        </is>
      </c>
    </row>
    <row r="38">
      <c r="A38" s="2" t="inlineStr">
        <is>
          <t>Динаміка по місяцях</t>
        </is>
      </c>
    </row>
    <row r="39">
      <c r="A39" s="3" t="inlineStr">
        <is>
          <t>Період</t>
        </is>
      </c>
      <c r="B39" s="3" t="inlineStr">
        <is>
          <t>Сума угод, грн</t>
        </is>
      </c>
    </row>
    <row r="40">
      <c r="A40" t="inlineStr">
        <is>
          <t>2026-03</t>
        </is>
      </c>
      <c r="B40" s="5" t="n">
        <v>5640</v>
      </c>
    </row>
    <row r="41">
      <c r="A41" t="inlineStr">
        <is>
          <t>2026-05</t>
        </is>
      </c>
      <c r="B41" s="5" t="n">
        <v>83880</v>
      </c>
    </row>
    <row r="42">
      <c r="A42" t="inlineStr">
        <is>
          <t>2026-06</t>
        </is>
      </c>
      <c r="B42" s="5" t="n">
        <v>69720</v>
      </c>
    </row>
    <row r="43">
      <c r="A43" t="inlineStr">
        <is>
          <t>2026-07</t>
        </is>
      </c>
      <c r="B43" s="5" t="n">
        <v>44172</v>
      </c>
    </row>
    <row r="44">
      <c r="A44" t="inlineStr">
        <is>
          <t>2026-09</t>
        </is>
      </c>
      <c r="B44" s="5" t="n">
        <v>5610</v>
      </c>
    </row>
    <row r="58">
      <c r="A58" s="2" t="inlineStr">
        <is>
          <t>Що саме продає</t>
        </is>
      </c>
    </row>
    <row r="59">
      <c r="A59" s="3" t="inlineStr">
        <is>
          <t>Категорія</t>
        </is>
      </c>
      <c r="B59" s="3" t="inlineStr">
        <is>
          <t>Позицій, шт</t>
        </is>
      </c>
    </row>
    <row r="60">
      <c r="A60" t="inlineStr">
        <is>
          <t>Оптичний диск</t>
        </is>
      </c>
      <c r="B60" s="5" t="n">
        <v>10</v>
      </c>
    </row>
    <row r="61">
      <c r="A61" t="inlineStr">
        <is>
          <t>Клавіатура</t>
        </is>
      </c>
      <c r="B61" s="5" t="n">
        <v>9</v>
      </c>
    </row>
    <row r="62">
      <c r="A62" t="inlineStr">
        <is>
          <t>Монітор</t>
        </is>
      </c>
      <c r="B62" s="5" t="n">
        <v>5</v>
      </c>
    </row>
    <row r="63">
      <c r="A63" t="inlineStr">
        <is>
          <t>Ноутбук</t>
        </is>
      </c>
      <c r="B63" s="5" t="n">
        <v>3</v>
      </c>
    </row>
    <row r="64">
      <c r="A64" t="inlineStr">
        <is>
          <t>Папір, плівка, конверти</t>
        </is>
      </c>
      <c r="B64" s="5" t="n">
        <v>3</v>
      </c>
    </row>
    <row r="65">
      <c r="A65" t="inlineStr">
        <is>
          <t>Планшет</t>
        </is>
      </c>
      <c r="B65" s="5" t="n">
        <v>2</v>
      </c>
    </row>
    <row r="66">
      <c r="A66" t="inlineStr">
        <is>
          <t>Миша</t>
        </is>
      </c>
      <c r="B66" s="5" t="n">
        <v>2</v>
      </c>
    </row>
    <row r="67">
      <c r="A67" t="inlineStr">
        <is>
          <t>Багатофункціональний пристрій (БФП)</t>
        </is>
      </c>
      <c r="B67" s="5" t="n">
        <v>2</v>
      </c>
    </row>
    <row r="68">
      <c r="A68" t="inlineStr">
        <is>
          <t>Персональний комп'ютер</t>
        </is>
      </c>
      <c r="B68" s="5" t="n">
        <v>1</v>
      </c>
    </row>
    <row r="69">
      <c r="A69" t="inlineStr">
        <is>
          <t>Навушники, гарнітура</t>
        </is>
      </c>
      <c r="B69" s="5" t="n">
        <v>1</v>
      </c>
    </row>
    <row r="76">
      <c r="A76" s="2" t="inlineStr">
        <is>
          <t>Ключові замовники</t>
        </is>
      </c>
    </row>
    <row r="77">
      <c r="A77" s="3" t="inlineStr">
        <is>
          <t>Категорія</t>
        </is>
      </c>
      <c r="B77" s="3" t="inlineStr">
        <is>
          <t>Сума, грн</t>
        </is>
      </c>
    </row>
    <row r="78">
      <c r="A78" t="inlineStr">
        <is>
          <t>Територіальне управління Державної судов</t>
        </is>
      </c>
      <c r="B78" s="5" t="n">
        <v>107640</v>
      </c>
    </row>
    <row r="79">
      <c r="A79" t="inlineStr">
        <is>
          <t>ВИКОНАВЧИЙ КОМІТЕТ НОВОВОЛИНСЬКОЇ МІСЬКО</t>
        </is>
      </c>
      <c r="B79" s="5" t="n">
        <v>45960</v>
      </c>
    </row>
    <row r="80">
      <c r="A80" t="inlineStr">
        <is>
          <t>Виконавчий комітет Луцької міської ради</t>
        </is>
      </c>
      <c r="B80" s="5" t="n">
        <v>36840</v>
      </c>
    </row>
    <row r="81">
      <c r="A81" t="inlineStr">
        <is>
          <t>Виконавчий комітет Ковельської міської р</t>
        </is>
      </c>
      <c r="B81" s="5" t="n">
        <v>7332</v>
      </c>
    </row>
    <row r="82">
      <c r="A82" t="inlineStr">
        <is>
          <t>Державний архів Волинської області</t>
        </is>
      </c>
      <c r="B82" s="5" t="n">
        <v>5640</v>
      </c>
    </row>
    <row r="83">
      <c r="A83" t="inlineStr">
        <is>
          <t>КНП Ковельське міськрайонне територіальн</t>
        </is>
      </c>
      <c r="B83" s="5" t="n">
        <v>5610</v>
      </c>
    </row>
    <row r="92">
      <c r="A92" s="8" t="inlineStr">
        <is>
          <t>Таблиці</t>
        </is>
      </c>
    </row>
    <row r="94">
      <c r="A94" s="2" t="inlineStr">
        <is>
          <t>Товари</t>
        </is>
      </c>
    </row>
    <row r="95">
      <c r="A95" s="11" t="inlineStr">
        <is>
          <t>Товар</t>
        </is>
      </c>
      <c r="B95" s="11" t="inlineStr">
        <is>
          <t>Позицій</t>
        </is>
      </c>
    </row>
    <row r="96">
      <c r="A96" t="inlineStr">
        <is>
          <t>Оптичний диск</t>
        </is>
      </c>
      <c r="B96" s="5" t="n">
        <v>10</v>
      </c>
    </row>
    <row r="97">
      <c r="A97" t="inlineStr">
        <is>
          <t>Клавіатура</t>
        </is>
      </c>
      <c r="B97" s="5" t="n">
        <v>9</v>
      </c>
    </row>
    <row r="98">
      <c r="A98" t="inlineStr">
        <is>
          <t>Монітор</t>
        </is>
      </c>
      <c r="B98" s="5" t="n">
        <v>5</v>
      </c>
    </row>
    <row r="99">
      <c r="A99" t="inlineStr">
        <is>
          <t>Ноутбук</t>
        </is>
      </c>
      <c r="B99" s="5" t="n">
        <v>3</v>
      </c>
    </row>
    <row r="100">
      <c r="A100" t="inlineStr">
        <is>
          <t>Папір, плівка, конверти</t>
        </is>
      </c>
      <c r="B100" s="5" t="n">
        <v>3</v>
      </c>
    </row>
    <row r="101">
      <c r="A101" t="inlineStr">
        <is>
          <t>Планшет</t>
        </is>
      </c>
      <c r="B101" s="5" t="n">
        <v>2</v>
      </c>
    </row>
    <row r="102">
      <c r="A102" t="inlineStr">
        <is>
          <t>Миша</t>
        </is>
      </c>
      <c r="B102" s="5" t="n">
        <v>2</v>
      </c>
    </row>
    <row r="103">
      <c r="A103" t="inlineStr">
        <is>
          <t>Багатофункціональний пристрій (БФП)</t>
        </is>
      </c>
      <c r="B103" s="5" t="n">
        <v>2</v>
      </c>
    </row>
    <row r="104">
      <c r="A104" t="inlineStr">
        <is>
          <t>Персональний комп'ютер</t>
        </is>
      </c>
      <c r="B104" s="5" t="n">
        <v>1</v>
      </c>
    </row>
    <row r="105">
      <c r="A105" t="inlineStr">
        <is>
          <t>Навушники, гарнітура</t>
        </is>
      </c>
      <c r="B105" s="5" t="n">
        <v>1</v>
      </c>
    </row>
    <row r="106">
      <c r="A106" t="inlineStr">
        <is>
          <t>Вебкамера</t>
        </is>
      </c>
      <c r="B106" s="5" t="n">
        <v>1</v>
      </c>
    </row>
    <row r="108">
      <c r="A108" s="2" t="inlineStr">
        <is>
          <t>Документи</t>
        </is>
      </c>
    </row>
    <row r="109">
      <c r="A109" s="11" t="inlineStr">
        <is>
          <t>Тип документа</t>
        </is>
      </c>
      <c r="B109" s="11" t="inlineStr">
        <is>
          <t>Файлів</t>
        </is>
      </c>
    </row>
    <row r="110">
      <c r="A110" t="inlineStr">
        <is>
          <t>Підпис КЕП</t>
        </is>
      </c>
      <c r="B110" s="5" t="n">
        <v>55</v>
      </c>
    </row>
    <row r="111">
      <c r="A111" t="inlineStr">
        <is>
          <t>Установчі та реєстраційні</t>
        </is>
      </c>
      <c r="B111" s="5" t="n">
        <v>2</v>
      </c>
    </row>
    <row r="113">
      <c r="A113" s="2" t="inlineStr">
        <is>
          <t>Зірвані перемоги</t>
        </is>
      </c>
    </row>
    <row r="114">
      <c r="A114" s="11" t="inlineStr">
        <is>
          <t>Закупівля</t>
        </is>
      </c>
      <c r="B114" s="11" t="inlineStr">
        <is>
          <t>Дата</t>
        </is>
      </c>
      <c r="C114" s="11" t="inlineStr">
        <is>
          <t>Замовник</t>
        </is>
      </c>
      <c r="D114" s="11" t="inlineStr">
        <is>
          <t>Сума, грн</t>
        </is>
      </c>
      <c r="E114" s="11" t="inlineStr">
        <is>
          <t>Причина</t>
        </is>
      </c>
      <c r="F114" s="11" t="inlineStr">
        <is>
          <t>Формулювання замовника</t>
        </is>
      </c>
    </row>
    <row r="115">
      <c r="A115" s="4" t="inlineStr">
        <is>
          <t>UA-2025-10-24-010296-a</t>
        </is>
      </c>
      <c r="B115" t="inlineStr">
        <is>
          <t>2025-11-04</t>
        </is>
      </c>
      <c r="C115" t="inlineStr">
        <is>
          <t>Територіальне управління Державної судової адміністрації України в Волинській області</t>
        </is>
      </c>
      <c r="D115" s="5" t="n">
        <v>75402</v>
      </c>
      <c r="E115" t="inlineStr">
        <is>
          <t>Не підписав договір у строк</t>
        </is>
      </c>
      <c r="F115" t="inlineStr">
        <is>
          <t>Переможець не підписав договір у строк, визначений абзацом першим пункту 66 цього Порядку</t>
        </is>
      </c>
    </row>
    <row r="116">
      <c r="A116" s="4" t="inlineStr">
        <is>
          <t>UA-2025-10-22-010276-a</t>
        </is>
      </c>
      <c r="B116" t="inlineStr">
        <is>
          <t>2025-11-11</t>
        </is>
      </c>
      <c r="C116" t="inlineStr">
        <is>
          <t>Виконавчий комітет Луцької міської ради</t>
        </is>
      </c>
      <c r="D116" s="5" t="n">
        <v>13050</v>
      </c>
      <c r="E116" t="inlineStr">
        <is>
          <t>Не підписав договір у строк</t>
        </is>
      </c>
      <c r="F116" t="inlineStr">
        <is>
          <t>Переможець не підписав договір у строк, визначений абзацом першим пункту 66 цього Порядку</t>
        </is>
      </c>
    </row>
    <row r="118">
      <c r="A118" s="2" t="inlineStr">
        <is>
          <t>Угоди</t>
        </is>
      </c>
    </row>
    <row r="119">
      <c r="A119" s="11" t="inlineStr">
        <is>
          <t>Закупівля</t>
        </is>
      </c>
      <c r="B119" s="11" t="inlineStr">
        <is>
          <t>Дата</t>
        </is>
      </c>
      <c r="C119" s="11" t="inlineStr">
        <is>
          <t>Замовник</t>
        </is>
      </c>
      <c r="D119" s="11" t="inlineStr">
        <is>
          <t>Регіон</t>
        </is>
      </c>
      <c r="E119" s="11" t="inlineStr">
        <is>
          <t>Сума, грн</t>
        </is>
      </c>
      <c r="F119" s="11" t="inlineStr">
        <is>
          <t>Очікувана, грн</t>
        </is>
      </c>
      <c r="G119" s="11" t="inlineStr">
        <is>
          <t>Процедура</t>
        </is>
      </c>
      <c r="H119" s="11" t="inlineStr">
        <is>
          <t>Галузь</t>
        </is>
      </c>
      <c r="I119" s="11" t="inlineStr">
        <is>
          <t>Джерело</t>
        </is>
      </c>
    </row>
    <row r="120">
      <c r="A120" s="4" t="inlineStr">
        <is>
          <t>UA-2026-04-29-004887-a</t>
        </is>
      </c>
      <c r="B120" t="inlineStr">
        <is>
          <t>2026-05-08</t>
        </is>
      </c>
      <c r="C120" t="inlineStr">
        <is>
          <t>Територіальне управління Державної судової адміністрації України в Волинській області</t>
        </is>
      </c>
      <c r="D120" t="inlineStr">
        <is>
          <t>Волинська область</t>
        </is>
      </c>
      <c r="E120" s="5" t="n">
        <v>83880</v>
      </c>
      <c r="F120" s="13" t="n">
        <v>92700</v>
      </c>
      <c r="G120" t="inlineStr">
        <is>
          <t>Запит пропозицій</t>
        </is>
      </c>
      <c r="H120" t="inlineStr">
        <is>
          <t>Комп’ютерне обладнання</t>
        </is>
      </c>
      <c r="I120" t="inlineStr">
        <is>
          <t>договір</t>
        </is>
      </c>
    </row>
    <row r="121">
      <c r="A121" s="4" t="inlineStr">
        <is>
          <t>UA-2026-05-27-012781-a</t>
        </is>
      </c>
      <c r="B121" t="inlineStr">
        <is>
          <t>2026-06-16</t>
        </is>
      </c>
      <c r="C121" t="inlineStr">
        <is>
          <t>ВИКОНАВЧИЙ КОМІТЕТ НОВОВОЛИНСЬКОЇ МІСЬКОЇ РАДИ</t>
        </is>
      </c>
      <c r="D121" t="inlineStr">
        <is>
          <t>Волинська область</t>
        </is>
      </c>
      <c r="E121" s="5" t="n">
        <v>45960</v>
      </c>
      <c r="F121" s="13" t="n">
        <v>46000</v>
      </c>
      <c r="G121" t="inlineStr">
        <is>
          <t>Запит пропозицій</t>
        </is>
      </c>
      <c r="H121" t="inlineStr">
        <is>
          <t>Машини для обробки даних (апаратна частина)</t>
        </is>
      </c>
      <c r="I121" t="inlineStr">
        <is>
          <t>договір</t>
        </is>
      </c>
    </row>
    <row r="122">
      <c r="A122" s="4" t="inlineStr">
        <is>
          <t>UA-2026-06-19-006186-a</t>
        </is>
      </c>
      <c r="B122" t="inlineStr">
        <is>
          <t>2026-07-02</t>
        </is>
      </c>
      <c r="C122" t="inlineStr">
        <is>
          <t>Виконавчий комітет Луцької міської ради</t>
        </is>
      </c>
      <c r="D122" t="inlineStr">
        <is>
          <t>Волинська область</t>
        </is>
      </c>
      <c r="E122" s="5" t="n">
        <v>36840</v>
      </c>
      <c r="F122" s="13" t="n">
        <v>37000</v>
      </c>
      <c r="G122" t="inlineStr">
        <is>
          <t>Запит пропозицій</t>
        </is>
      </c>
      <c r="H122" t="inlineStr">
        <is>
          <t>Машини для обробки даних (апаратна частина)</t>
        </is>
      </c>
      <c r="I122" t="inlineStr">
        <is>
          <t>договір</t>
        </is>
      </c>
    </row>
    <row r="123">
      <c r="A123" s="4" t="inlineStr">
        <is>
          <t>UA-2026-06-15-011810-a</t>
        </is>
      </c>
      <c r="B123" t="inlineStr">
        <is>
          <t>2026-06-22</t>
        </is>
      </c>
      <c r="C123" t="inlineStr">
        <is>
          <t>Територіальне управління Державної судової адміністрації України в Волинській області</t>
        </is>
      </c>
      <c r="D123" t="inlineStr">
        <is>
          <t>Волинська область</t>
        </is>
      </c>
      <c r="E123" s="5" t="n">
        <v>23760</v>
      </c>
      <c r="F123" s="13" t="n">
        <v>28886</v>
      </c>
      <c r="G123" t="inlineStr">
        <is>
          <t>Запит пропозицій</t>
        </is>
      </c>
      <c r="H123" t="inlineStr">
        <is>
          <t>Комп’ютерне обладнання</t>
        </is>
      </c>
      <c r="I123" t="inlineStr">
        <is>
          <t>договір</t>
        </is>
      </c>
    </row>
    <row r="124">
      <c r="A124" s="4" t="inlineStr">
        <is>
          <t>UA-2026-06-18-011430-a</t>
        </is>
      </c>
      <c r="B124" t="inlineStr">
        <is>
          <t>2026-07-01</t>
        </is>
      </c>
      <c r="C124" t="inlineStr">
        <is>
          <t>Виконавчий комітет Ковельської міської ради</t>
        </is>
      </c>
      <c r="D124" t="inlineStr">
        <is>
          <t>Волинська область</t>
        </is>
      </c>
      <c r="E124" s="5" t="n">
        <v>7332</v>
      </c>
      <c r="F124" s="13" t="n">
        <v>7800</v>
      </c>
      <c r="G124" t="inlineStr">
        <is>
          <t>Запит пропозицій</t>
        </is>
      </c>
      <c r="H124" t="inlineStr">
        <is>
          <t>Комп’ютерне обладнання</t>
        </is>
      </c>
      <c r="I124" t="inlineStr">
        <is>
          <t>договір</t>
        </is>
      </c>
    </row>
    <row r="125">
      <c r="A125" s="4" t="inlineStr">
        <is>
          <t>UA-2026-03-17-009780-a</t>
        </is>
      </c>
      <c r="B125" t="inlineStr">
        <is>
          <t>2026-03-26</t>
        </is>
      </c>
      <c r="C125" t="inlineStr">
        <is>
          <t>Державний архів Волинської області</t>
        </is>
      </c>
      <c r="D125" t="inlineStr">
        <is>
          <t>Волинська область</t>
        </is>
      </c>
      <c r="E125" s="5" t="n">
        <v>5640</v>
      </c>
      <c r="F125" s="13" t="n">
        <v>7500</v>
      </c>
      <c r="G125" t="inlineStr">
        <is>
          <t>Запит пропозицій</t>
        </is>
      </c>
      <c r="H125" t="inlineStr">
        <is>
          <t>Комп’ютерне обладнання</t>
        </is>
      </c>
      <c r="I125" t="inlineStr">
        <is>
          <t>договір</t>
        </is>
      </c>
    </row>
    <row r="126">
      <c r="A126" s="4" t="inlineStr">
        <is>
          <t>UA-2026-08-19-001718-a</t>
        </is>
      </c>
      <c r="B126" t="inlineStr">
        <is>
          <t>2026-09-02</t>
        </is>
      </c>
      <c r="C126" t="inlineStr">
        <is>
          <t>КНП Ковельське міськрайонне територіальне медичне об'єднання Ковельської міської ради Волинської області</t>
        </is>
      </c>
      <c r="D126" t="inlineStr">
        <is>
          <t>Волинська область</t>
        </is>
      </c>
      <c r="E126" s="5" t="n">
        <v>5610</v>
      </c>
      <c r="F126" s="13" t="n">
        <v>6894.92</v>
      </c>
      <c r="G126" t="inlineStr">
        <is>
          <t>Запит пропозицій</t>
        </is>
      </c>
      <c r="H126" t="inlineStr">
        <is>
          <t>Комп’ютерне обладнання</t>
        </is>
      </c>
      <c r="I126" t="inlineStr">
        <is>
          <t>договір</t>
        </is>
      </c>
    </row>
    <row r="128">
      <c r="A128" s="2" t="inlineStr">
        <is>
          <t>Наші зустрічі</t>
        </is>
      </c>
    </row>
    <row r="129">
      <c r="A129" s="11" t="inlineStr">
        <is>
          <t>Закупівля</t>
        </is>
      </c>
      <c r="B129" s="11" t="inlineStr">
        <is>
          <t>Дата</t>
        </is>
      </c>
      <c r="C129" s="11" t="inlineStr">
        <is>
          <t>Замовник</t>
        </is>
      </c>
      <c r="D129" s="11" t="inlineStr">
        <is>
          <t>Предмет</t>
        </is>
      </c>
      <c r="E129" s="11" t="inlineStr">
        <is>
          <t>Сума переможця, грн</t>
        </is>
      </c>
      <c r="F129" s="11" t="inlineStr">
        <is>
          <t>Наша пропозиція, грн</t>
        </is>
      </c>
      <c r="G129" s="11" t="inlineStr">
        <is>
          <t>Розрив</t>
        </is>
      </c>
      <c r="H129" s="11" t="inlineStr">
        <is>
          <t>Що сталося</t>
        </is>
      </c>
    </row>
    <row r="130">
      <c r="A130" s="4" t="inlineStr">
        <is>
          <t>UA-2026-04-29-004887-a</t>
        </is>
      </c>
      <c r="B130" t="inlineStr">
        <is>
          <t>2026-04-29</t>
        </is>
      </c>
      <c r="C130" t="inlineStr">
        <is>
          <t>Територіальне управління Державної судової адміністрації України в Волинській області</t>
        </is>
      </c>
      <c r="D130" t="inlineStr">
        <is>
          <t>код ДК 021:2015 30230000-0 «Комп’ютерне обладнання» Привід оптичний ASUS SDRW-08</t>
        </is>
      </c>
      <c r="E130" s="5" t="n">
        <v>83880</v>
      </c>
      <c r="H130" t="inlineStr">
        <is>
          <t>ми не подавалися</t>
        </is>
      </c>
    </row>
    <row r="131">
      <c r="A131" s="4" t="inlineStr">
        <is>
          <t>UA-2026-05-27-012781-a</t>
        </is>
      </c>
      <c r="B131" t="inlineStr">
        <is>
          <t>2026-05-27</t>
        </is>
      </c>
      <c r="C131" t="inlineStr">
        <is>
          <t>ВИКОНАВЧИЙ КОМІТЕТ НОВОВОЛИНСЬКОЇ МІСЬКОЇ РАДИ</t>
        </is>
      </c>
      <c r="D131" t="inlineStr">
        <is>
          <t>Ноутбук HP Laptop 15-fc0248ua (C78S8EA)</t>
        </is>
      </c>
      <c r="E131" s="5" t="n">
        <v>45960</v>
      </c>
      <c r="H131" t="inlineStr">
        <is>
          <t>ми не подавалися</t>
        </is>
      </c>
    </row>
    <row r="132">
      <c r="A132" s="4" t="inlineStr">
        <is>
          <t>UA-2026-06-19-006186-a</t>
        </is>
      </c>
      <c r="B132" t="inlineStr">
        <is>
          <t>2026-06-19</t>
        </is>
      </c>
      <c r="C132" t="inlineStr">
        <is>
          <t>Виконавчий комітет Луцької міської ради</t>
        </is>
      </c>
      <c r="D132" t="inlineStr">
        <is>
          <t>Комп'ютери настільні</t>
        </is>
      </c>
      <c r="E132" s="5" t="n">
        <v>36840</v>
      </c>
      <c r="H132" t="inlineStr">
        <is>
          <t>ми не подавалися</t>
        </is>
      </c>
    </row>
    <row r="133">
      <c r="A133" s="4" t="inlineStr">
        <is>
          <t>UA-2026-06-15-011810-a</t>
        </is>
      </c>
      <c r="B133" t="inlineStr">
        <is>
          <t>2026-06-15</t>
        </is>
      </c>
      <c r="C133" t="inlineStr">
        <is>
          <t>Територіальне управління Державної судової адміністрації України в Волинській області</t>
        </is>
      </c>
      <c r="D133" t="inlineStr">
        <is>
          <t>код ДК 021:2015 30230000-0 «Комп’ютерне обладнання» Диск Verbatim CD-R 700MB 52X</t>
        </is>
      </c>
      <c r="E133" s="5" t="n">
        <v>23760</v>
      </c>
      <c r="H133" t="inlineStr">
        <is>
          <t>ми не подавалися</t>
        </is>
      </c>
    </row>
    <row r="134">
      <c r="A134" s="4" t="inlineStr">
        <is>
          <t>UA-2026-06-18-011430-a</t>
        </is>
      </c>
      <c r="B134" t="inlineStr">
        <is>
          <t>2026-06-18</t>
        </is>
      </c>
      <c r="C134" t="inlineStr">
        <is>
          <t>Виконавчий комітет Ковельської міської ради</t>
        </is>
      </c>
      <c r="D134" t="inlineStr">
        <is>
          <t>Клавіатури в комплекті з мишею</t>
        </is>
      </c>
      <c r="E134" s="5" t="n">
        <v>7332</v>
      </c>
      <c r="H134" t="inlineStr">
        <is>
          <t>ми не подавалися</t>
        </is>
      </c>
    </row>
    <row r="135">
      <c r="A135" s="4" t="inlineStr">
        <is>
          <t>UA-2026-03-17-009780-a</t>
        </is>
      </c>
      <c r="B135" t="inlineStr">
        <is>
          <t>2026-03-17</t>
        </is>
      </c>
      <c r="C135" t="inlineStr">
        <is>
          <t>Державний архів Волинської області</t>
        </is>
      </c>
      <c r="D135" t="inlineStr">
        <is>
          <t>Клавіатури в комплекті з мишею</t>
        </is>
      </c>
      <c r="E135" s="5" t="n">
        <v>5640</v>
      </c>
      <c r="H135" t="inlineStr">
        <is>
          <t>ми не подавалися</t>
        </is>
      </c>
    </row>
    <row r="136">
      <c r="A136" s="4" t="inlineStr">
        <is>
          <t>UA-2026-08-19-001718-a</t>
        </is>
      </c>
      <c r="B136" t="inlineStr">
        <is>
          <t>2026-08-19</t>
        </is>
      </c>
      <c r="C136" t="inlineStr">
        <is>
          <t>КНП Ковельське міськрайонне територіальне медичне об'єднання Ковельської міської ради Волинської області</t>
        </is>
      </c>
      <c r="D136" t="inlineStr">
        <is>
          <t>Миша дротова, 1000 dpi, USB (30237410-6); Клавіатура дротова, повнорозмірна, USB</t>
        </is>
      </c>
      <c r="E136" s="5" t="n">
        <v>4675</v>
      </c>
      <c r="H136" t="inlineStr">
        <is>
          <t>ми не подавалися</t>
        </is>
      </c>
    </row>
    <row r="138">
      <c r="A138" s="8" t="inlineStr">
        <is>
          <t>Сильні сторони</t>
        </is>
      </c>
    </row>
    <row r="139">
      <c r="A139" t="inlineStr">
        <is>
          <t>+  уміє вигравати у відкритих торгах</t>
        </is>
      </c>
    </row>
    <row r="141">
      <c r="A141" s="8" t="inlineStr">
        <is>
          <t>Слабкі сторони</t>
        </is>
      </c>
    </row>
    <row r="142">
      <c r="A142" t="inlineStr">
        <is>
          <t>−  сертифікатів у поданих файлах не знайдено</t>
        </is>
      </c>
    </row>
    <row r="143">
      <c r="A143" t="inlineStr">
        <is>
          <t>−  низька результативність на торгах (21,9%)</t>
        </is>
      </c>
    </row>
    <row r="144">
      <c r="A144" t="inlineStr">
        <is>
          <t>−  спад (-46% у другій половині періоду)</t>
        </is>
      </c>
    </row>
  </sheetData>
  <hyperlinks>
    <hyperlink xmlns:r="http://schemas.openxmlformats.org/officeDocument/2006/relationships" ref="A115" r:id="rId1"/>
    <hyperlink xmlns:r="http://schemas.openxmlformats.org/officeDocument/2006/relationships" ref="A116" r:id="rId2"/>
    <hyperlink xmlns:r="http://schemas.openxmlformats.org/officeDocument/2006/relationships" ref="A120" r:id="rId3"/>
    <hyperlink xmlns:r="http://schemas.openxmlformats.org/officeDocument/2006/relationships" ref="A121" r:id="rId4"/>
    <hyperlink xmlns:r="http://schemas.openxmlformats.org/officeDocument/2006/relationships" ref="A122" r:id="rId5"/>
    <hyperlink xmlns:r="http://schemas.openxmlformats.org/officeDocument/2006/relationships" ref="A123" r:id="rId6"/>
    <hyperlink xmlns:r="http://schemas.openxmlformats.org/officeDocument/2006/relationships" ref="A124" r:id="rId7"/>
    <hyperlink xmlns:r="http://schemas.openxmlformats.org/officeDocument/2006/relationships" ref="A125" r:id="rId8"/>
    <hyperlink xmlns:r="http://schemas.openxmlformats.org/officeDocument/2006/relationships" ref="A126" r:id="rId9"/>
    <hyperlink xmlns:r="http://schemas.openxmlformats.org/officeDocument/2006/relationships" ref="A130" r:id="rId10"/>
    <hyperlink xmlns:r="http://schemas.openxmlformats.org/officeDocument/2006/relationships" ref="A131" r:id="rId11"/>
    <hyperlink xmlns:r="http://schemas.openxmlformats.org/officeDocument/2006/relationships" ref="A132" r:id="rId12"/>
    <hyperlink xmlns:r="http://schemas.openxmlformats.org/officeDocument/2006/relationships" ref="A133" r:id="rId13"/>
    <hyperlink xmlns:r="http://schemas.openxmlformats.org/officeDocument/2006/relationships" ref="A134" r:id="rId14"/>
    <hyperlink xmlns:r="http://schemas.openxmlformats.org/officeDocument/2006/relationships" ref="A135" r:id="rId15"/>
    <hyperlink xmlns:r="http://schemas.openxmlformats.org/officeDocument/2006/relationships" ref="A136" r:id="rId16"/>
  </hyperlinks>
  <pageMargins left="0.75" right="0.75" top="1" bottom="1" header="0.5" footer="0.5"/>
  <drawing xmlns:r="http://schemas.openxmlformats.org/officeDocument/2006/relationships" r:id="rId17"/>
  <tableParts count="5">
    <tablePart xmlns:r="http://schemas.openxmlformats.org/officeDocument/2006/relationships" r:id="rId18"/>
    <tablePart xmlns:r="http://schemas.openxmlformats.org/officeDocument/2006/relationships" r:id="rId19"/>
    <tablePart xmlns:r="http://schemas.openxmlformats.org/officeDocument/2006/relationships" r:id="rId20"/>
    <tablePart xmlns:r="http://schemas.openxmlformats.org/officeDocument/2006/relationships" r:id="rId21"/>
    <tablePart xmlns:r="http://schemas.openxmlformats.org/officeDocument/2006/relationships" r:id="rId22"/>
  </tableParts>
</worksheet>
</file>

<file path=xl/worksheets/sheet46.xml><?xml version="1.0" encoding="utf-8"?>
<worksheet xmlns="http://schemas.openxmlformats.org/spreadsheetml/2006/main">
  <sheetPr>
    <outlinePr summaryBelow="1" summaryRight="1"/>
    <pageSetUpPr/>
  </sheetPr>
  <dimension ref="A1:I108"/>
  <sheetViews>
    <sheetView showGridLines="0" workbookViewId="0">
      <selection activeCell="A1" sqref="A1"/>
    </sheetView>
  </sheetViews>
  <sheetFormatPr baseColWidth="8" defaultRowHeight="15"/>
  <cols>
    <col width="42" customWidth="1" min="1" max="1"/>
    <col width="37" customWidth="1" min="2" max="2"/>
    <col width="59" customWidth="1" min="3" max="3"/>
    <col width="24" customWidth="1" min="4" max="4"/>
    <col width="22" customWidth="1" min="5" max="5"/>
    <col width="60" customWidth="1" min="6" max="6"/>
    <col width="18" customWidth="1" min="7" max="7"/>
    <col width="24" customWidth="1" min="8" max="8"/>
    <col width="10" customWidth="1" min="9" max="9"/>
  </cols>
  <sheetData>
    <row r="1">
      <c r="A1" s="1" t="inlineStr">
        <is>
          <t>ТОВ "КПІ-МАРКЕТ"</t>
        </is>
      </c>
    </row>
    <row r="2">
      <c r="A2" s="6" t="inlineStr">
        <is>
          <t>ЄДРПОУ 41351235  ·  конкурент  ·  місце №148</t>
        </is>
      </c>
    </row>
    <row r="4">
      <c r="A4" s="7" t="inlineStr">
        <is>
          <t>ТОВ "КПІ-МАРКЕТ" (41351235)</t>
        </is>
      </c>
    </row>
    <row r="6">
      <c r="A6" s="8" t="inlineStr">
        <is>
          <t>Показники</t>
        </is>
      </c>
    </row>
    <row r="7">
      <c r="A7" s="9" t="inlineStr">
        <is>
          <t>Місце на ринку</t>
        </is>
      </c>
      <c r="B7" s="10" t="inlineStr">
        <is>
          <t>№148</t>
        </is>
      </c>
    </row>
    <row r="8">
      <c r="A8" s="9" t="inlineStr">
        <is>
          <t>Сума угод</t>
        </is>
      </c>
      <c r="B8" s="10" t="inlineStr">
        <is>
          <t>136,3 тис. грн</t>
        </is>
      </c>
    </row>
    <row r="9">
      <c r="A9" s="9" t="inlineStr">
        <is>
          <t>Частка ринку</t>
        </is>
      </c>
      <c r="B9" s="10" t="inlineStr">
        <is>
          <t>0,1%</t>
        </is>
      </c>
    </row>
    <row r="10">
      <c r="A10" s="9" t="inlineStr">
        <is>
          <t>Угод</t>
        </is>
      </c>
      <c r="B10" s="10" t="inlineStr">
        <is>
          <t>1</t>
        </is>
      </c>
    </row>
    <row r="11">
      <c r="A11" s="9" t="inlineStr">
        <is>
          <t>Закупівель виграно</t>
        </is>
      </c>
      <c r="B11" s="10" t="inlineStr">
        <is>
          <t>1</t>
        </is>
      </c>
    </row>
    <row r="12">
      <c r="A12" s="9" t="inlineStr">
        <is>
          <t>Подань (де видно)</t>
        </is>
      </c>
      <c r="B12" s="10" t="inlineStr">
        <is>
          <t>32</t>
        </is>
      </c>
    </row>
    <row r="13">
      <c r="A13" s="9" t="inlineStr">
        <is>
          <t>Виграно з поданих</t>
        </is>
      </c>
      <c r="B13" s="10" t="inlineStr">
        <is>
          <t>1 з 32</t>
        </is>
      </c>
    </row>
    <row r="14">
      <c r="A14" s="9" t="inlineStr">
        <is>
          <t>Результативність</t>
        </is>
      </c>
      <c r="B14" s="10" t="inlineStr">
        <is>
          <t>3,1%</t>
        </is>
      </c>
    </row>
    <row r="15">
      <c r="A15" s="9" t="inlineStr">
        <is>
          <t>Середня угода</t>
        </is>
      </c>
      <c r="B15" s="10" t="inlineStr">
        <is>
          <t>136,3 тис. грн</t>
        </is>
      </c>
    </row>
    <row r="16">
      <c r="A16" s="9" t="inlineStr">
        <is>
          <t>Медіанна угода</t>
        </is>
      </c>
      <c r="B16" s="10" t="inlineStr">
        <is>
          <t>136,3 тис. грн</t>
        </is>
      </c>
    </row>
    <row r="17">
      <c r="A17" s="9" t="inlineStr">
        <is>
          <t>Замовників</t>
        </is>
      </c>
      <c r="B17" s="10" t="inlineStr">
        <is>
          <t>1</t>
        </is>
      </c>
    </row>
    <row r="18">
      <c r="A18" s="9" t="inlineStr">
        <is>
          <t>Областей</t>
        </is>
      </c>
      <c r="B18" s="10" t="inlineStr">
        <is>
          <t>1</t>
        </is>
      </c>
    </row>
    <row r="19">
      <c r="A19" s="9" t="inlineStr">
        <is>
          <t>Основна ТМ</t>
        </is>
      </c>
      <c r="B19" s="10" t="inlineStr">
        <is>
          <t>не визначено</t>
        </is>
      </c>
    </row>
    <row r="20">
      <c r="A20" s="9" t="inlineStr">
        <is>
          <t>Основний товар</t>
        </is>
      </c>
      <c r="B20" s="10" t="inlineStr">
        <is>
          <t>Багатофункціональний пристрій (БФП)</t>
        </is>
      </c>
    </row>
    <row r="21">
      <c r="A21" s="9" t="inlineStr">
        <is>
          <t>Дисконт (медіана)</t>
        </is>
      </c>
      <c r="B21" s="10" t="inlineStr">
        <is>
          <t>0,1%</t>
        </is>
      </c>
    </row>
    <row r="22">
      <c r="A22" s="9" t="inlineStr">
        <is>
          <t>Повторні замовники</t>
        </is>
      </c>
      <c r="B22" s="10" t="inlineStr">
        <is>
          <t>0,0%</t>
        </is>
      </c>
    </row>
    <row r="23">
      <c r="A23" s="9" t="inlineStr">
        <is>
          <t>Активність</t>
        </is>
      </c>
      <c r="B23" s="10" t="inlineStr">
        <is>
          <t>2026-03-24 — 2026-03-24</t>
        </is>
      </c>
    </row>
    <row r="24">
      <c r="A24" s="9" t="inlineStr">
        <is>
          <t>Зірвано перемог</t>
        </is>
      </c>
      <c r="B24" s="10" t="inlineStr">
        <is>
          <t>2 на 107,3 тис. грн</t>
        </is>
      </c>
    </row>
    <row r="25">
      <c r="A25" s="9" t="inlineStr">
        <is>
          <t>Причина зривів</t>
        </is>
      </c>
      <c r="B25" s="10" t="inlineStr">
        <is>
          <t>Відмова від договору</t>
        </is>
      </c>
    </row>
    <row r="27">
      <c r="A27" s="8" t="inlineStr">
        <is>
          <t>Висновки</t>
        </is>
      </c>
    </row>
    <row r="28">
      <c r="A28" t="inlineStr">
        <is>
          <t>•  148-е місце на ринку: 136,3 тис. грн (0,1% обороту)</t>
        </is>
      </c>
    </row>
    <row r="29">
      <c r="A29" t="inlineStr">
        <is>
          <t>•  Основний товар: багатофункціональний пристрій (бфп)</t>
        </is>
      </c>
    </row>
    <row r="30">
      <c r="A30" t="inlineStr">
        <is>
          <t>•  Тримає ціну: дисконт 0,1% проти 8,3% по ринку</t>
        </is>
      </c>
    </row>
    <row r="31">
      <c r="A31" t="inlineStr">
        <is>
          <t>•  Результативність на торгах: 3,1% (1 з 32)</t>
        </is>
      </c>
    </row>
    <row r="32">
      <c r="A32" t="inlineStr">
        <is>
          <t>•  Зірваних перемог: 2 на 107,3 тис. грн, найчастіше — відмова від договору</t>
        </is>
      </c>
    </row>
    <row r="34">
      <c r="A34" s="8" t="inlineStr">
        <is>
          <t>Графіки</t>
        </is>
      </c>
    </row>
    <row r="36">
      <c r="A36" s="2" t="inlineStr">
        <is>
          <t>Що саме продає</t>
        </is>
      </c>
    </row>
    <row r="37">
      <c r="A37" s="3" t="inlineStr">
        <is>
          <t>Категорія</t>
        </is>
      </c>
      <c r="B37" s="3" t="inlineStr">
        <is>
          <t>Позицій, шт</t>
        </is>
      </c>
    </row>
    <row r="38">
      <c r="A38" t="inlineStr">
        <is>
          <t>Багатофункціональний пристрій (БФП)</t>
        </is>
      </c>
      <c r="B38" s="5" t="n">
        <v>16</v>
      </c>
    </row>
    <row r="39">
      <c r="A39" t="inlineStr">
        <is>
          <t>Монітор</t>
        </is>
      </c>
      <c r="B39" s="5" t="n">
        <v>8</v>
      </c>
    </row>
    <row r="40">
      <c r="A40" t="inlineStr">
        <is>
          <t>Клавіатура</t>
        </is>
      </c>
      <c r="B40" s="5" t="n">
        <v>4</v>
      </c>
    </row>
    <row r="41">
      <c r="A41" t="inlineStr">
        <is>
          <t>Джерело безперебійного живлення</t>
        </is>
      </c>
      <c r="B41" s="5" t="n">
        <v>3</v>
      </c>
    </row>
    <row r="42">
      <c r="A42" t="inlineStr">
        <is>
          <t>Накопичувач (тип не вказано)</t>
        </is>
      </c>
      <c r="B42" s="5" t="n">
        <v>2</v>
      </c>
    </row>
    <row r="43">
      <c r="A43" t="inlineStr">
        <is>
          <t>Миша</t>
        </is>
      </c>
      <c r="B43" s="5" t="n">
        <v>2</v>
      </c>
    </row>
    <row r="44">
      <c r="A44" t="inlineStr">
        <is>
          <t>Принтер</t>
        </is>
      </c>
      <c r="B44" s="5" t="n">
        <v>1</v>
      </c>
    </row>
    <row r="45">
      <c r="A45" t="inlineStr">
        <is>
          <t>Навушники, гарнітура</t>
        </is>
      </c>
      <c r="B45" s="5" t="n">
        <v>1</v>
      </c>
    </row>
    <row r="46">
      <c r="A46" t="inlineStr">
        <is>
          <t>Планшет</t>
        </is>
      </c>
      <c r="B46" s="5" t="n">
        <v>1</v>
      </c>
    </row>
    <row r="53">
      <c r="A53" s="2" t="inlineStr">
        <is>
          <t>Ключові замовники</t>
        </is>
      </c>
    </row>
    <row r="54">
      <c r="A54" s="3" t="inlineStr">
        <is>
          <t>Категорія</t>
        </is>
      </c>
      <c r="B54" s="3" t="inlineStr">
        <is>
          <t>Сума, грн</t>
        </is>
      </c>
    </row>
    <row r="55">
      <c r="A55" t="inlineStr">
        <is>
          <t>ВІДДІЛ ОСВІТИ, МОЛОДІ ТА СПОРТУ МАНЕВИЦЬ</t>
        </is>
      </c>
      <c r="B55" s="5" t="n">
        <v>136323.6</v>
      </c>
    </row>
    <row r="69">
      <c r="A69" s="8" t="inlineStr">
        <is>
          <t>Таблиці</t>
        </is>
      </c>
    </row>
    <row r="71">
      <c r="A71" s="2" t="inlineStr">
        <is>
          <t>Товари</t>
        </is>
      </c>
    </row>
    <row r="72">
      <c r="A72" s="11" t="inlineStr">
        <is>
          <t>Товар</t>
        </is>
      </c>
      <c r="B72" s="11" t="inlineStr">
        <is>
          <t>Позицій</t>
        </is>
      </c>
    </row>
    <row r="73">
      <c r="A73" t="inlineStr">
        <is>
          <t>Багатофункціональний пристрій (БФП)</t>
        </is>
      </c>
      <c r="B73" s="5" t="n">
        <v>16</v>
      </c>
    </row>
    <row r="74">
      <c r="A74" t="inlineStr">
        <is>
          <t>Монітор</t>
        </is>
      </c>
      <c r="B74" s="5" t="n">
        <v>8</v>
      </c>
    </row>
    <row r="75">
      <c r="A75" t="inlineStr">
        <is>
          <t>Клавіатура</t>
        </is>
      </c>
      <c r="B75" s="5" t="n">
        <v>4</v>
      </c>
    </row>
    <row r="76">
      <c r="A76" t="inlineStr">
        <is>
          <t>Джерело безперебійного живлення</t>
        </is>
      </c>
      <c r="B76" s="5" t="n">
        <v>3</v>
      </c>
    </row>
    <row r="77">
      <c r="A77" t="inlineStr">
        <is>
          <t>Накопичувач (тип не вказано)</t>
        </is>
      </c>
      <c r="B77" s="5" t="n">
        <v>2</v>
      </c>
    </row>
    <row r="78">
      <c r="A78" t="inlineStr">
        <is>
          <t>Миша</t>
        </is>
      </c>
      <c r="B78" s="5" t="n">
        <v>2</v>
      </c>
    </row>
    <row r="79">
      <c r="A79" t="inlineStr">
        <is>
          <t>Принтер</t>
        </is>
      </c>
      <c r="B79" s="5" t="n">
        <v>1</v>
      </c>
    </row>
    <row r="80">
      <c r="A80" t="inlineStr">
        <is>
          <t>Навушники, гарнітура</t>
        </is>
      </c>
      <c r="B80" s="5" t="n">
        <v>1</v>
      </c>
    </row>
    <row r="81">
      <c r="A81" t="inlineStr">
        <is>
          <t>Планшет</t>
        </is>
      </c>
      <c r="B81" s="5" t="n">
        <v>1</v>
      </c>
    </row>
    <row r="83">
      <c r="A83" s="2" t="inlineStr">
        <is>
          <t>Документи</t>
        </is>
      </c>
    </row>
    <row r="84">
      <c r="A84" s="11" t="inlineStr">
        <is>
          <t>Тип документа</t>
        </is>
      </c>
      <c r="B84" s="11" t="inlineStr">
        <is>
          <t>Файлів</t>
        </is>
      </c>
    </row>
    <row r="85">
      <c r="A85" t="inlineStr">
        <is>
          <t>Підпис КЕП</t>
        </is>
      </c>
      <c r="B85" s="5" t="n">
        <v>52</v>
      </c>
    </row>
    <row r="86">
      <c r="A86" t="inlineStr">
        <is>
          <t>Установчі та реєстраційні</t>
        </is>
      </c>
      <c r="B86" s="5" t="n">
        <v>2</v>
      </c>
    </row>
    <row r="87">
      <c r="A87" t="inlineStr">
        <is>
          <t>Договір</t>
        </is>
      </c>
      <c r="B87" s="5" t="n">
        <v>2</v>
      </c>
    </row>
    <row r="89">
      <c r="A89" s="2" t="inlineStr">
        <is>
          <t>Зірвані перемоги</t>
        </is>
      </c>
    </row>
    <row r="90">
      <c r="A90" s="11" t="inlineStr">
        <is>
          <t>Закупівля</t>
        </is>
      </c>
      <c r="B90" s="11" t="inlineStr">
        <is>
          <t>Дата</t>
        </is>
      </c>
      <c r="C90" s="11" t="inlineStr">
        <is>
          <t>Замовник</t>
        </is>
      </c>
      <c r="D90" s="11" t="inlineStr">
        <is>
          <t>Сума, грн</t>
        </is>
      </c>
      <c r="E90" s="11" t="inlineStr">
        <is>
          <t>Причина</t>
        </is>
      </c>
      <c r="F90" s="11" t="inlineStr">
        <is>
          <t>Формулювання замовника</t>
        </is>
      </c>
    </row>
    <row r="91">
      <c r="A91" s="4" t="inlineStr">
        <is>
          <t>UA-2025-09-25-014419-a</t>
        </is>
      </c>
      <c r="B91" t="inlineStr">
        <is>
          <t>2025-09-30</t>
        </is>
      </c>
      <c r="C91" t="inlineStr">
        <is>
          <t>ВОЛИНСЬКА ОБЛАСНА ПРОКУРАТУРА</t>
        </is>
      </c>
      <c r="D91" s="13" t="n">
        <v>71682.48</v>
      </c>
      <c r="E91" t="inlineStr">
        <is>
          <t>Відмова від договору</t>
        </is>
      </c>
      <c r="F91" t="inlineStr">
        <is>
          <t>письмово відмовився від укладання договору на умовах, визначених у запиті пропозицій постачальників</t>
        </is>
      </c>
    </row>
    <row r="92">
      <c r="A92" s="4" t="inlineStr">
        <is>
          <t>UA-2025-12-11-002565-a</t>
        </is>
      </c>
      <c r="B92" t="inlineStr">
        <is>
          <t>2025-12-19</t>
        </is>
      </c>
      <c r="C92" t="inlineStr">
        <is>
          <t>Виконавчий комітет Луцької міської ради</t>
        </is>
      </c>
      <c r="D92" s="13" t="n">
        <v>35640.9</v>
      </c>
      <c r="E92" t="inlineStr">
        <is>
          <t>Відмова від договору</t>
        </is>
      </c>
      <c r="F92" t="inlineStr">
        <is>
          <t>Переможець письмово відмовився від укладання договору на умовах, визначених у запиті пропозицій постачальників</t>
        </is>
      </c>
    </row>
    <row r="94">
      <c r="A94" s="2" t="inlineStr">
        <is>
          <t>Угоди</t>
        </is>
      </c>
    </row>
    <row r="95">
      <c r="A95" s="11" t="inlineStr">
        <is>
          <t>Закупівля</t>
        </is>
      </c>
      <c r="B95" s="11" t="inlineStr">
        <is>
          <t>Дата</t>
        </is>
      </c>
      <c r="C95" s="11" t="inlineStr">
        <is>
          <t>Замовник</t>
        </is>
      </c>
      <c r="D95" s="11" t="inlineStr">
        <is>
          <t>Регіон</t>
        </is>
      </c>
      <c r="E95" s="11" t="inlineStr">
        <is>
          <t>Сума, грн</t>
        </is>
      </c>
      <c r="F95" s="11" t="inlineStr">
        <is>
          <t>Очікувана, грн</t>
        </is>
      </c>
      <c r="G95" s="11" t="inlineStr">
        <is>
          <t>Процедура</t>
        </is>
      </c>
      <c r="H95" s="11" t="inlineStr">
        <is>
          <t>Галузь</t>
        </is>
      </c>
      <c r="I95" s="11" t="inlineStr">
        <is>
          <t>Джерело</t>
        </is>
      </c>
    </row>
    <row r="96">
      <c r="A96" s="4" t="inlineStr">
        <is>
          <t>UA-2026-03-16-004185-a</t>
        </is>
      </c>
      <c r="B96" t="inlineStr">
        <is>
          <t>2026-03-24</t>
        </is>
      </c>
      <c r="C96" t="inlineStr">
        <is>
          <t>ВІДДІЛ ОСВІТИ, МОЛОДІ ТА СПОРТУ МАНЕВИЦЬКОЇ СЕЛИЩНОЇ РАДИ</t>
        </is>
      </c>
      <c r="D96" t="inlineStr">
        <is>
          <t>Волинська область</t>
        </is>
      </c>
      <c r="E96" s="13" t="n">
        <v>136323.6</v>
      </c>
      <c r="F96" s="5" t="n">
        <v>136500</v>
      </c>
      <c r="G96" t="inlineStr">
        <is>
          <t>Запит пропозицій</t>
        </is>
      </c>
      <c r="H96" t="inlineStr">
        <is>
          <t>Комп’ютерне обладнання</t>
        </is>
      </c>
      <c r="I96" t="inlineStr">
        <is>
          <t>договір</t>
        </is>
      </c>
    </row>
    <row r="98">
      <c r="A98" s="2" t="inlineStr">
        <is>
          <t>Наші зустрічі</t>
        </is>
      </c>
    </row>
    <row r="99">
      <c r="A99" s="11" t="inlineStr">
        <is>
          <t>Закупівля</t>
        </is>
      </c>
      <c r="B99" s="11" t="inlineStr">
        <is>
          <t>Дата</t>
        </is>
      </c>
      <c r="C99" s="11" t="inlineStr">
        <is>
          <t>Замовник</t>
        </is>
      </c>
      <c r="D99" s="11" t="inlineStr">
        <is>
          <t>Предмет</t>
        </is>
      </c>
      <c r="E99" s="11" t="inlineStr">
        <is>
          <t>Сума переможця, грн</t>
        </is>
      </c>
      <c r="F99" s="11" t="inlineStr">
        <is>
          <t>Наша пропозиція, грн</t>
        </is>
      </c>
      <c r="G99" s="11" t="inlineStr">
        <is>
          <t>Розрив</t>
        </is>
      </c>
      <c r="H99" s="11" t="inlineStr">
        <is>
          <t>Що сталося</t>
        </is>
      </c>
    </row>
    <row r="100">
      <c r="A100" s="4" t="inlineStr">
        <is>
          <t>UA-2026-03-16-004185-a</t>
        </is>
      </c>
      <c r="B100" t="inlineStr">
        <is>
          <t>2026-03-16</t>
        </is>
      </c>
      <c r="C100" t="inlineStr">
        <is>
          <t>ВІДДІЛ ОСВІТИ, МОЛОДІ ТА СПОРТУ МАНЕВИЦЬКОЇ СЕЛИЩНОЇ РАДИ</t>
        </is>
      </c>
      <c r="D100" t="inlineStr">
        <is>
          <t>Комп'ютерне обладнання</t>
        </is>
      </c>
      <c r="E100" s="13" t="n">
        <v>136323.6</v>
      </c>
      <c r="H100" t="inlineStr">
        <is>
          <t>ми не подавалися</t>
        </is>
      </c>
    </row>
    <row r="102">
      <c r="A102" s="8" t="inlineStr">
        <is>
          <t>Сильні сторони</t>
        </is>
      </c>
    </row>
    <row r="103">
      <c r="A103" t="inlineStr">
        <is>
          <t>+  працює з великими контрактами</t>
        </is>
      </c>
    </row>
    <row r="105">
      <c r="A105" s="8" t="inlineStr">
        <is>
          <t>Слабкі сторони</t>
        </is>
      </c>
    </row>
    <row r="106">
      <c r="A106" t="inlineStr">
        <is>
          <t>−  сертифікатів у поданих файлах не знайдено</t>
        </is>
      </c>
    </row>
    <row r="107">
      <c r="A107" t="inlineStr">
        <is>
          <t>−  слабка цінова позиція: дисконт 0,1% проти 8,3% по ринку</t>
        </is>
      </c>
    </row>
    <row r="108">
      <c r="A108" t="inlineStr">
        <is>
          <t>−  низька результативність на торгах (3,1%)</t>
        </is>
      </c>
    </row>
  </sheetData>
  <hyperlinks>
    <hyperlink xmlns:r="http://schemas.openxmlformats.org/officeDocument/2006/relationships" ref="A91" r:id="rId1"/>
    <hyperlink xmlns:r="http://schemas.openxmlformats.org/officeDocument/2006/relationships" ref="A92" r:id="rId2"/>
    <hyperlink xmlns:r="http://schemas.openxmlformats.org/officeDocument/2006/relationships" ref="A96" r:id="rId3"/>
    <hyperlink xmlns:r="http://schemas.openxmlformats.org/officeDocument/2006/relationships" ref="A100" r:id="rId4"/>
  </hyperlinks>
  <pageMargins left="0.75" right="0.75" top="1" bottom="1" header="0.5" footer="0.5"/>
  <drawing xmlns:r="http://schemas.openxmlformats.org/officeDocument/2006/relationships" r:id="rId5"/>
  <tableParts count="5">
    <tablePart xmlns:r="http://schemas.openxmlformats.org/officeDocument/2006/relationships" r:id="rId6"/>
    <tablePart xmlns:r="http://schemas.openxmlformats.org/officeDocument/2006/relationships" r:id="rId7"/>
    <tablePart xmlns:r="http://schemas.openxmlformats.org/officeDocument/2006/relationships" r:id="rId8"/>
    <tablePart xmlns:r="http://schemas.openxmlformats.org/officeDocument/2006/relationships" r:id="rId9"/>
    <tablePart xmlns:r="http://schemas.openxmlformats.org/officeDocument/2006/relationships" r:id="rId10"/>
  </tableParts>
</worksheet>
</file>

<file path=xl/worksheets/sheet47.xml><?xml version="1.0" encoding="utf-8"?>
<worksheet xmlns="http://schemas.openxmlformats.org/spreadsheetml/2006/main">
  <sheetPr>
    <outlinePr summaryBelow="1" summaryRight="1"/>
    <pageSetUpPr/>
  </sheetPr>
  <dimension ref="A1:I186"/>
  <sheetViews>
    <sheetView showGridLines="0" workbookViewId="0">
      <selection activeCell="A1" sqref="A1"/>
    </sheetView>
  </sheetViews>
  <sheetFormatPr baseColWidth="8" defaultRowHeight="15"/>
  <cols>
    <col width="42" customWidth="1" min="1" max="1"/>
    <col width="37" customWidth="1" min="2" max="2"/>
    <col width="60" customWidth="1" min="3" max="3"/>
    <col width="45" customWidth="1" min="4" max="4"/>
    <col width="22" customWidth="1" min="5" max="5"/>
    <col width="60" customWidth="1" min="6" max="6"/>
    <col width="18" customWidth="1" min="7" max="7"/>
    <col width="45" customWidth="1" min="8" max="8"/>
    <col width="10" customWidth="1" min="9" max="9"/>
  </cols>
  <sheetData>
    <row r="1">
      <c r="A1" s="1" t="inlineStr">
        <is>
          <t>ФОП Козловський Сергій Павлович</t>
        </is>
      </c>
    </row>
    <row r="2">
      <c r="A2" s="6" t="inlineStr">
        <is>
          <t>ЄДРПОУ 2948314313  ·  конкурент  ·  місце №31</t>
        </is>
      </c>
    </row>
    <row r="4">
      <c r="A4" s="7" t="inlineStr">
        <is>
          <t>ФОП Козловський Сергій Павлович (2948314313)</t>
        </is>
      </c>
    </row>
    <row r="6">
      <c r="A6" s="8" t="inlineStr">
        <is>
          <t>Показники</t>
        </is>
      </c>
    </row>
    <row r="7">
      <c r="A7" s="9" t="inlineStr">
        <is>
          <t>Місце на ринку</t>
        </is>
      </c>
      <c r="B7" s="10" t="inlineStr">
        <is>
          <t>№31</t>
        </is>
      </c>
    </row>
    <row r="8">
      <c r="A8" s="9" t="inlineStr">
        <is>
          <t>Сума угод</t>
        </is>
      </c>
      <c r="B8" s="10" t="inlineStr">
        <is>
          <t>972,6 тис. грн</t>
        </is>
      </c>
    </row>
    <row r="9">
      <c r="A9" s="9" t="inlineStr">
        <is>
          <t>Частка ринку</t>
        </is>
      </c>
      <c r="B9" s="10" t="inlineStr">
        <is>
          <t>0,8%</t>
        </is>
      </c>
    </row>
    <row r="10">
      <c r="A10" s="9" t="inlineStr">
        <is>
          <t>Угод</t>
        </is>
      </c>
      <c r="B10" s="10" t="inlineStr">
        <is>
          <t>7</t>
        </is>
      </c>
    </row>
    <row r="11">
      <c r="A11" s="9" t="inlineStr">
        <is>
          <t>Закупівель виграно</t>
        </is>
      </c>
      <c r="B11" s="10" t="inlineStr">
        <is>
          <t>7</t>
        </is>
      </c>
    </row>
    <row r="12">
      <c r="A12" s="9" t="inlineStr">
        <is>
          <t>Подань (де видно)</t>
        </is>
      </c>
      <c r="B12" s="10" t="inlineStr">
        <is>
          <t>32</t>
        </is>
      </c>
    </row>
    <row r="13">
      <c r="A13" s="9" t="inlineStr">
        <is>
          <t>Виграно з поданих</t>
        </is>
      </c>
      <c r="B13" s="10" t="inlineStr">
        <is>
          <t>7 з 32</t>
        </is>
      </c>
    </row>
    <row r="14">
      <c r="A14" s="9" t="inlineStr">
        <is>
          <t>Результативність</t>
        </is>
      </c>
      <c r="B14" s="10" t="inlineStr">
        <is>
          <t>21,9%</t>
        </is>
      </c>
    </row>
    <row r="15">
      <c r="A15" s="9" t="inlineStr">
        <is>
          <t>Середня угода</t>
        </is>
      </c>
      <c r="B15" s="10" t="inlineStr">
        <is>
          <t>138,9 тис. грн</t>
        </is>
      </c>
    </row>
    <row r="16">
      <c r="A16" s="9" t="inlineStr">
        <is>
          <t>Медіанна угода</t>
        </is>
      </c>
      <c r="B16" s="10" t="inlineStr">
        <is>
          <t>89,9 тис. грн</t>
        </is>
      </c>
    </row>
    <row r="17">
      <c r="A17" s="9" t="inlineStr">
        <is>
          <t>Замовників</t>
        </is>
      </c>
      <c r="B17" s="10" t="inlineStr">
        <is>
          <t>4</t>
        </is>
      </c>
    </row>
    <row r="18">
      <c r="A18" s="9" t="inlineStr">
        <is>
          <t>Областей</t>
        </is>
      </c>
      <c r="B18" s="10" t="inlineStr">
        <is>
          <t>1</t>
        </is>
      </c>
    </row>
    <row r="19">
      <c r="A19" s="9" t="inlineStr">
        <is>
          <t>Основна ТМ</t>
        </is>
      </c>
      <c r="B19" s="10" t="inlineStr">
        <is>
          <t>Western Digital</t>
        </is>
      </c>
    </row>
    <row r="20">
      <c r="A20" s="9" t="inlineStr">
        <is>
          <t>Основний товар</t>
        </is>
      </c>
      <c r="B20" s="10" t="inlineStr">
        <is>
          <t>Багатофункціональний пристрій (БФП)</t>
        </is>
      </c>
    </row>
    <row r="21">
      <c r="A21" s="9" t="inlineStr">
        <is>
          <t>Дисконт (медіана)</t>
        </is>
      </c>
      <c r="B21" s="10" t="inlineStr">
        <is>
          <t>13,3%</t>
        </is>
      </c>
    </row>
    <row r="22">
      <c r="A22" s="9" t="inlineStr">
        <is>
          <t>Повторні замовники</t>
        </is>
      </c>
      <c r="B22" s="10" t="inlineStr">
        <is>
          <t>42,9%</t>
        </is>
      </c>
    </row>
    <row r="23">
      <c r="A23" s="9" t="inlineStr">
        <is>
          <t>Активність</t>
        </is>
      </c>
      <c r="B23" s="10" t="inlineStr">
        <is>
          <t>2025-11-05 — 2026-02-20</t>
        </is>
      </c>
    </row>
    <row r="24">
      <c r="A24" s="9" t="inlineStr">
        <is>
          <t>Зірвано перемог</t>
        </is>
      </c>
      <c r="B24" s="10" t="inlineStr">
        <is>
          <t>5 на 578,2 тис. грн</t>
        </is>
      </c>
    </row>
    <row r="25">
      <c r="A25" s="9" t="inlineStr">
        <is>
          <t>Причина зривів</t>
        </is>
      </c>
      <c r="B25" s="10" t="inlineStr">
        <is>
          <t>Відмова від договору</t>
        </is>
      </c>
    </row>
    <row r="27">
      <c r="A27" s="8" t="inlineStr">
        <is>
          <t>Висновки</t>
        </is>
      </c>
    </row>
    <row r="28">
      <c r="A28" t="inlineStr">
        <is>
          <t>•  31-е місце на ринку: 972,6 тис. грн (0,8% обороту)</t>
        </is>
      </c>
    </row>
    <row r="29">
      <c r="A29" t="inlineStr">
        <is>
          <t>•  Основний товар: багатофункціональний пристрій (бфп)</t>
        </is>
      </c>
    </row>
    <row r="30">
      <c r="A30" t="inlineStr">
        <is>
          <t>•  Помічена ТМ: Western Digital (замало позицій для висновку)</t>
        </is>
      </c>
    </row>
    <row r="31">
      <c r="A31" t="inlineStr">
        <is>
          <t>•  Грає у відкритих процедурах: лише 0,0% угод без торгів</t>
        </is>
      </c>
    </row>
    <row r="32">
      <c r="A32" t="inlineStr">
        <is>
          <t>•  Агресивна ціна: медіанний дисконт 13,3% проти 8,3% по ринку</t>
        </is>
      </c>
    </row>
    <row r="33">
      <c r="A33" t="inlineStr">
        <is>
          <t>•  Географічно сфокусований: Волинська область (100,0% угод)</t>
        </is>
      </c>
    </row>
    <row r="34">
      <c r="A34" t="inlineStr">
        <is>
          <t>•  Тримається постійних замовників: 42,9% угод — повторні</t>
        </is>
      </c>
    </row>
    <row r="35">
      <c r="A35" t="inlineStr">
        <is>
          <t>•  Результативність на торгах: 21,9% (7 з 32)</t>
        </is>
      </c>
    </row>
    <row r="36">
      <c r="A36" t="inlineStr">
        <is>
          <t>•  Динаміка: спадає (-44% у другій половині періоду)</t>
        </is>
      </c>
    </row>
    <row r="37">
      <c r="A37" t="inlineStr">
        <is>
          <t>•  У поданих файлах — сертифікатів: 1</t>
        </is>
      </c>
    </row>
    <row r="38">
      <c r="A38" t="inlineStr">
        <is>
          <t>•  Зривається 41,7% виграшів: 5 з 12 на 578,2 тис. грн, найчастіше — відмова від договору</t>
        </is>
      </c>
    </row>
    <row r="40">
      <c r="A40" s="8" t="inlineStr">
        <is>
          <t>Графіки</t>
        </is>
      </c>
    </row>
    <row r="42">
      <c r="A42" s="2" t="inlineStr">
        <is>
          <t>Динаміка по місяцях</t>
        </is>
      </c>
    </row>
    <row r="43">
      <c r="A43" s="3" t="inlineStr">
        <is>
          <t>Період</t>
        </is>
      </c>
      <c r="B43" s="3" t="inlineStr">
        <is>
          <t>Сума угод, грн</t>
        </is>
      </c>
    </row>
    <row r="44">
      <c r="A44" t="inlineStr">
        <is>
          <t>2025-11</t>
        </is>
      </c>
      <c r="B44" s="5" t="n">
        <v>841804.0999999999</v>
      </c>
    </row>
    <row r="45">
      <c r="A45" t="inlineStr">
        <is>
          <t>2025-12</t>
        </is>
      </c>
      <c r="B45" s="5" t="n">
        <v>67571.72</v>
      </c>
    </row>
    <row r="46">
      <c r="A46" t="inlineStr">
        <is>
          <t>2026-02</t>
        </is>
      </c>
      <c r="B46" s="5" t="n">
        <v>63204</v>
      </c>
    </row>
    <row r="62">
      <c r="A62" s="2" t="inlineStr">
        <is>
          <t>Торгові марки у позиціях</t>
        </is>
      </c>
    </row>
    <row r="63">
      <c r="A63" s="3" t="inlineStr">
        <is>
          <t>Категорія</t>
        </is>
      </c>
      <c r="B63" s="3" t="inlineStr">
        <is>
          <t>Позицій, шт</t>
        </is>
      </c>
    </row>
    <row r="64">
      <c r="A64" t="inlineStr">
        <is>
          <t>Western Digital</t>
        </is>
      </c>
      <c r="B64" s="5" t="n">
        <v>1</v>
      </c>
    </row>
    <row r="82">
      <c r="A82" s="2" t="inlineStr">
        <is>
          <t>Що саме продає</t>
        </is>
      </c>
    </row>
    <row r="83">
      <c r="A83" s="3" t="inlineStr">
        <is>
          <t>Категорія</t>
        </is>
      </c>
      <c r="B83" s="3" t="inlineStr">
        <is>
          <t>Позицій, шт</t>
        </is>
      </c>
    </row>
    <row r="84">
      <c r="A84" t="inlineStr">
        <is>
          <t>Багатофункціональний пристрій (БФП)</t>
        </is>
      </c>
      <c r="B84" s="5" t="n">
        <v>17</v>
      </c>
    </row>
    <row r="85">
      <c r="A85" t="inlineStr">
        <is>
          <t>Монітор</t>
        </is>
      </c>
      <c r="B85" s="5" t="n">
        <v>3</v>
      </c>
    </row>
    <row r="86">
      <c r="A86" t="inlineStr">
        <is>
          <t>Ноутбук</t>
        </is>
      </c>
      <c r="B86" s="5" t="n">
        <v>3</v>
      </c>
    </row>
    <row r="87">
      <c r="A87" t="inlineStr">
        <is>
          <t>Накопичувач SSD</t>
        </is>
      </c>
      <c r="B87" s="5" t="n">
        <v>3</v>
      </c>
    </row>
    <row r="88">
      <c r="A88" t="inlineStr">
        <is>
          <t>Принтер</t>
        </is>
      </c>
      <c r="B88" s="5" t="n">
        <v>2</v>
      </c>
    </row>
    <row r="89">
      <c r="A89" t="inlineStr">
        <is>
          <t>Клавіатура</t>
        </is>
      </c>
      <c r="B89" s="5" t="n">
        <v>2</v>
      </c>
    </row>
    <row r="90">
      <c r="A90" t="inlineStr">
        <is>
          <t>3D-принтер і витратні матеріали</t>
        </is>
      </c>
      <c r="B90" s="5" t="n">
        <v>2</v>
      </c>
    </row>
    <row r="91">
      <c r="A91" t="inlineStr">
        <is>
          <t>Оперативна пам'ять</t>
        </is>
      </c>
      <c r="B91" s="5" t="n">
        <v>2</v>
      </c>
    </row>
    <row r="92">
      <c r="A92" t="inlineStr">
        <is>
          <t>Блок живлення</t>
        </is>
      </c>
      <c r="B92" s="5" t="n">
        <v>1</v>
      </c>
    </row>
    <row r="93">
      <c r="A93" t="inlineStr">
        <is>
          <t>Жорсткий диск (HDD)</t>
        </is>
      </c>
      <c r="B93" s="5" t="n">
        <v>1</v>
      </c>
    </row>
    <row r="100">
      <c r="A100" s="2" t="inlineStr">
        <is>
          <t>Ключові замовники</t>
        </is>
      </c>
    </row>
    <row r="101">
      <c r="A101" s="3" t="inlineStr">
        <is>
          <t>Категорія</t>
        </is>
      </c>
      <c r="B101" s="3" t="inlineStr">
        <is>
          <t>Сума, грн</t>
        </is>
      </c>
    </row>
    <row r="102">
      <c r="A102" t="inlineStr">
        <is>
          <t>НОВОВОЛИНСЬКИЙ ЛІЦЕЙ №6 НОВОВОЛИНСЬКОЇ М</t>
        </is>
      </c>
      <c r="B102" s="5" t="n">
        <v>379840.2</v>
      </c>
    </row>
    <row r="103">
      <c r="A103" t="inlineStr">
        <is>
          <t>Головне Управління Державної служби Укра</t>
        </is>
      </c>
      <c r="B103" s="5" t="n">
        <v>309448</v>
      </c>
    </row>
    <row r="104">
      <c r="A104" t="inlineStr">
        <is>
          <t>ЛІЦЕЙ ІМЕНІ ОЛЕКСАНДРА ЦИНКАЛОВСЬКОГО ВО</t>
        </is>
      </c>
      <c r="B104" s="5" t="n">
        <v>220087.62</v>
      </c>
    </row>
    <row r="105">
      <c r="A105" t="inlineStr">
        <is>
          <t>ВІЙСЬКОВА ЧАСТИНА 1141 НАЦІОНАЛЬНОЇ ГВАР</t>
        </is>
      </c>
      <c r="B105" s="5" t="n">
        <v>63204</v>
      </c>
    </row>
    <row r="116">
      <c r="A116" s="8" t="inlineStr">
        <is>
          <t>Таблиці</t>
        </is>
      </c>
    </row>
    <row r="118">
      <c r="A118" s="2" t="inlineStr">
        <is>
          <t>ТМ</t>
        </is>
      </c>
    </row>
    <row r="119">
      <c r="A119" s="11" t="inlineStr">
        <is>
          <t>Торгова марка</t>
        </is>
      </c>
      <c r="B119" s="11" t="inlineStr">
        <is>
          <t>Позицій</t>
        </is>
      </c>
      <c r="C119" s="11" t="inlineStr">
        <is>
          <t>Частка</t>
        </is>
      </c>
      <c r="D119" s="11" t="inlineStr">
        <is>
          <t>Власна ТМ за довідником</t>
        </is>
      </c>
    </row>
    <row r="120">
      <c r="A120" t="inlineStr">
        <is>
          <t>Western Digital</t>
        </is>
      </c>
      <c r="B120" s="5" t="n">
        <v>1</v>
      </c>
      <c r="C120" s="12" t="n">
        <v>1</v>
      </c>
      <c r="D120" t="inlineStr"/>
    </row>
    <row r="122">
      <c r="A122" s="2" t="inlineStr">
        <is>
          <t>Товари</t>
        </is>
      </c>
    </row>
    <row r="123">
      <c r="A123" s="11" t="inlineStr">
        <is>
          <t>Товар</t>
        </is>
      </c>
      <c r="B123" s="11" t="inlineStr">
        <is>
          <t>Позицій</t>
        </is>
      </c>
    </row>
    <row r="124">
      <c r="A124" t="inlineStr">
        <is>
          <t>Багатофункціональний пристрій (БФП)</t>
        </is>
      </c>
      <c r="B124" s="5" t="n">
        <v>17</v>
      </c>
    </row>
    <row r="125">
      <c r="A125" t="inlineStr">
        <is>
          <t>Монітор</t>
        </is>
      </c>
      <c r="B125" s="5" t="n">
        <v>3</v>
      </c>
    </row>
    <row r="126">
      <c r="A126" t="inlineStr">
        <is>
          <t>Ноутбук</t>
        </is>
      </c>
      <c r="B126" s="5" t="n">
        <v>3</v>
      </c>
    </row>
    <row r="127">
      <c r="A127" t="inlineStr">
        <is>
          <t>Накопичувач SSD</t>
        </is>
      </c>
      <c r="B127" s="5" t="n">
        <v>3</v>
      </c>
    </row>
    <row r="128">
      <c r="A128" t="inlineStr">
        <is>
          <t>Принтер</t>
        </is>
      </c>
      <c r="B128" s="5" t="n">
        <v>2</v>
      </c>
    </row>
    <row r="129">
      <c r="A129" t="inlineStr">
        <is>
          <t>Клавіатура</t>
        </is>
      </c>
      <c r="B129" s="5" t="n">
        <v>2</v>
      </c>
    </row>
    <row r="130">
      <c r="A130" t="inlineStr">
        <is>
          <t>3D-принтер і витратні матеріали</t>
        </is>
      </c>
      <c r="B130" s="5" t="n">
        <v>2</v>
      </c>
    </row>
    <row r="131">
      <c r="A131" t="inlineStr">
        <is>
          <t>Оперативна пам'ять</t>
        </is>
      </c>
      <c r="B131" s="5" t="n">
        <v>2</v>
      </c>
    </row>
    <row r="132">
      <c r="A132" t="inlineStr">
        <is>
          <t>Блок живлення</t>
        </is>
      </c>
      <c r="B132" s="5" t="n">
        <v>1</v>
      </c>
    </row>
    <row r="133">
      <c r="A133" t="inlineStr">
        <is>
          <t>Жорсткий диск (HDD)</t>
        </is>
      </c>
      <c r="B133" s="5" t="n">
        <v>1</v>
      </c>
    </row>
    <row r="134">
      <c r="A134" t="inlineStr">
        <is>
          <t>Персональний комп'ютер</t>
        </is>
      </c>
      <c r="B134" s="5" t="n">
        <v>1</v>
      </c>
    </row>
    <row r="135">
      <c r="A135" t="inlineStr">
        <is>
          <t>Навушники, гарнітура</t>
        </is>
      </c>
      <c r="B135" s="5" t="n">
        <v>1</v>
      </c>
    </row>
    <row r="137">
      <c r="A137" s="2" t="inlineStr">
        <is>
          <t>Документи</t>
        </is>
      </c>
    </row>
    <row r="138">
      <c r="A138" s="11" t="inlineStr">
        <is>
          <t>Тип документа</t>
        </is>
      </c>
      <c r="B138" s="11" t="inlineStr">
        <is>
          <t>Файлів</t>
        </is>
      </c>
    </row>
    <row r="139">
      <c r="A139" t="inlineStr">
        <is>
          <t>Підпис КЕП</t>
        </is>
      </c>
      <c r="B139" s="5" t="n">
        <v>62</v>
      </c>
    </row>
    <row r="140">
      <c r="A140" t="inlineStr">
        <is>
          <t>не класифіковано</t>
        </is>
      </c>
      <c r="B140" s="5" t="n">
        <v>14</v>
      </c>
    </row>
    <row r="141">
      <c r="A141" t="inlineStr">
        <is>
          <t>Установчі та реєстраційні</t>
        </is>
      </c>
      <c r="B141" s="5" t="n">
        <v>5</v>
      </c>
    </row>
    <row r="142">
      <c r="A142" t="inlineStr">
        <is>
          <t>Технічна специфікація</t>
        </is>
      </c>
      <c r="B142" s="5" t="n">
        <v>2</v>
      </c>
    </row>
    <row r="143">
      <c r="A143" t="inlineStr">
        <is>
          <t>Гарантія та сервіс</t>
        </is>
      </c>
      <c r="B143" s="5" t="n">
        <v>1</v>
      </c>
    </row>
    <row r="144">
      <c r="A144" t="inlineStr">
        <is>
          <t>Досвід / аналогічні договори</t>
        </is>
      </c>
      <c r="B144" s="5" t="n">
        <v>1</v>
      </c>
    </row>
    <row r="145">
      <c r="A145" t="inlineStr">
        <is>
          <t>Договір</t>
        </is>
      </c>
      <c r="B145" s="5" t="n">
        <v>1</v>
      </c>
    </row>
    <row r="146">
      <c r="A146" t="inlineStr">
        <is>
          <t>Сертифікат / декларація відповідності</t>
        </is>
      </c>
      <c r="B146" s="5" t="n">
        <v>1</v>
      </c>
    </row>
    <row r="147">
      <c r="A147" t="inlineStr">
        <is>
          <t>Цінова пропозиція</t>
        </is>
      </c>
      <c r="B147" s="5" t="n">
        <v>1</v>
      </c>
    </row>
    <row r="148">
      <c r="A148" t="inlineStr">
        <is>
          <t>Тендерна документація</t>
        </is>
      </c>
      <c r="B148" s="5" t="n">
        <v>1</v>
      </c>
    </row>
    <row r="150">
      <c r="A150" s="2" t="inlineStr">
        <is>
          <t>Зірвані перемоги</t>
        </is>
      </c>
    </row>
    <row r="151">
      <c r="A151" s="11" t="inlineStr">
        <is>
          <t>Закупівля</t>
        </is>
      </c>
      <c r="B151" s="11" t="inlineStr">
        <is>
          <t>Дата</t>
        </is>
      </c>
      <c r="C151" s="11" t="inlineStr">
        <is>
          <t>Замовник</t>
        </is>
      </c>
      <c r="D151" s="11" t="inlineStr">
        <is>
          <t>Сума, грн</t>
        </is>
      </c>
      <c r="E151" s="11" t="inlineStr">
        <is>
          <t>Причина</t>
        </is>
      </c>
      <c r="F151" s="11" t="inlineStr">
        <is>
          <t>Формулювання замовника</t>
        </is>
      </c>
    </row>
    <row r="152">
      <c r="A152" s="4" t="inlineStr">
        <is>
          <t>UA-2025-10-29-011635-a</t>
        </is>
      </c>
      <c r="B152" t="inlineStr">
        <is>
          <t>2025-11-05</t>
        </is>
      </c>
      <c r="C152" t="inlineStr">
        <is>
          <t>СТАРОВИЖІВСЬКА СЕЛИЩНА РАДА</t>
        </is>
      </c>
      <c r="D152" s="13" t="n">
        <v>249988.8</v>
      </c>
      <c r="E152" t="inlineStr">
        <is>
          <t>Відмова від договору</t>
        </is>
      </c>
      <c r="F152" t="inlineStr">
        <is>
          <t>письмово відмовився від укладання договору на умовах, визначених у запиті пропозицій постачальників</t>
        </is>
      </c>
    </row>
    <row r="153">
      <c r="A153" s="4" t="inlineStr">
        <is>
          <t>UA-2025-11-11-016296-a</t>
        </is>
      </c>
      <c r="B153" t="inlineStr">
        <is>
          <t>2025-11-19</t>
        </is>
      </c>
      <c r="C153" t="inlineStr">
        <is>
          <t>ЛІЦЕЙ ІМЕНІ ОЛЕКСАНДРА ЦИНКАЛОВСЬКОГО ВОЛОДИМИРСЬКОЇ МІСЬКОЇ РАДИ</t>
        </is>
      </c>
      <c r="D153" s="13" t="n">
        <v>166343.52</v>
      </c>
      <c r="E153" t="inlineStr">
        <is>
          <t>Відмова від договору</t>
        </is>
      </c>
      <c r="F153" t="inlineStr">
        <is>
          <t>Переможець письмово відмовився від укладання договору на умовах, визначених у запиті пропозицій постачальників</t>
        </is>
      </c>
    </row>
    <row r="154">
      <c r="A154" s="4" t="inlineStr">
        <is>
          <t>UA-2025-10-02-010895-a</t>
        </is>
      </c>
      <c r="B154" t="inlineStr">
        <is>
          <t>2025-10-09</t>
        </is>
      </c>
      <c r="C154" t="inlineStr">
        <is>
          <t>КП "Медичне об'єднання Луцької міської територіальної громади"</t>
        </is>
      </c>
      <c r="D154" s="13" t="n">
        <v>72776.10000000001</v>
      </c>
      <c r="E154" t="inlineStr">
        <is>
          <t>Відмова від договору</t>
        </is>
      </c>
      <c r="F154" t="inlineStr">
        <is>
          <t>письмово відмовився від укладання договору на умовах, визначених у запиті пропозицій постачальників</t>
        </is>
      </c>
    </row>
    <row r="155">
      <c r="A155" s="4" t="inlineStr">
        <is>
          <t>UA-2025-10-27-011448-a</t>
        </is>
      </c>
      <c r="B155" t="inlineStr">
        <is>
          <t>2025-10-31</t>
        </is>
      </c>
      <c r="C155" t="inlineStr">
        <is>
          <t>ВИКОНАВЧИЙ КОМІТЕТ НОВОВОЛИНСЬКОЇ МІСЬКОЇ РАДИ</t>
        </is>
      </c>
      <c r="D155" s="13" t="n">
        <v>53824</v>
      </c>
      <c r="E155" t="inlineStr">
        <is>
          <t>Відмова від договору</t>
        </is>
      </c>
      <c r="F155" t="inlineStr">
        <is>
          <t>Переможець письмово відмовився від укладання договору на умовах, визначених у запиті пропозицій постачальників</t>
        </is>
      </c>
    </row>
    <row r="156">
      <c r="A156" s="4" t="inlineStr">
        <is>
          <t>UA-2025-12-11-002565-a</t>
        </is>
      </c>
      <c r="B156" t="inlineStr">
        <is>
          <t>2025-12-18</t>
        </is>
      </c>
      <c r="C156" t="inlineStr">
        <is>
          <t>Виконавчий комітет Луцької міської ради</t>
        </is>
      </c>
      <c r="D156" s="13" t="n">
        <v>35247.12</v>
      </c>
      <c r="E156" t="inlineStr">
        <is>
          <t>Відмова від договору</t>
        </is>
      </c>
      <c r="F156" t="inlineStr">
        <is>
          <t>Переможець письмово відмовився від укладання договору на умовах, визначених у запиті пропозицій постачальників</t>
        </is>
      </c>
    </row>
    <row r="158">
      <c r="A158" s="2" t="inlineStr">
        <is>
          <t>Угоди</t>
        </is>
      </c>
    </row>
    <row r="159">
      <c r="A159" s="11" t="inlineStr">
        <is>
          <t>Закупівля</t>
        </is>
      </c>
      <c r="B159" s="11" t="inlineStr">
        <is>
          <t>Дата</t>
        </is>
      </c>
      <c r="C159" s="11" t="inlineStr">
        <is>
          <t>Замовник</t>
        </is>
      </c>
      <c r="D159" s="11" t="inlineStr">
        <is>
          <t>Регіон</t>
        </is>
      </c>
      <c r="E159" s="11" t="inlineStr">
        <is>
          <t>Сума, грн</t>
        </is>
      </c>
      <c r="F159" s="11" t="inlineStr">
        <is>
          <t>Очікувана, грн</t>
        </is>
      </c>
      <c r="G159" s="11" t="inlineStr">
        <is>
          <t>Процедура</t>
        </is>
      </c>
      <c r="H159" s="11" t="inlineStr">
        <is>
          <t>Галузь</t>
        </is>
      </c>
      <c r="I159" s="11" t="inlineStr">
        <is>
          <t>Джерело</t>
        </is>
      </c>
    </row>
    <row r="160">
      <c r="A160" s="4" t="inlineStr">
        <is>
          <t>UA-2025-10-28-010787-a</t>
        </is>
      </c>
      <c r="B160" t="inlineStr">
        <is>
          <t>2025-11-05</t>
        </is>
      </c>
      <c r="C160" t="inlineStr">
        <is>
          <t>Головне Управління Державної служби України з надзвичайних ситуацій у Волинській області</t>
        </is>
      </c>
      <c r="D160" t="inlineStr">
        <is>
          <t>Волинська область</t>
        </is>
      </c>
      <c r="E160" s="13" t="n">
        <v>309448</v>
      </c>
      <c r="F160" s="13" t="n">
        <v>345346.67</v>
      </c>
      <c r="G160" t="inlineStr">
        <is>
          <t>Запит пропозицій</t>
        </is>
      </c>
      <c r="H160" t="inlineStr">
        <is>
          <t>Комп’ютерне обладнання</t>
        </is>
      </c>
      <c r="I160" t="inlineStr">
        <is>
          <t>договір</t>
        </is>
      </c>
    </row>
    <row r="161">
      <c r="A161" s="4" t="inlineStr">
        <is>
          <t>UA-2025-10-24-011106-a</t>
        </is>
      </c>
      <c r="B161" t="inlineStr">
        <is>
          <t>2025-11-05</t>
        </is>
      </c>
      <c r="C161" t="inlineStr">
        <is>
          <t>НОВОВОЛИНСЬКИЙ ЛІЦЕЙ №6 НОВОВОЛИНСЬКОЇ МІСЬКОЇ РАДИ ВОЛИНСЬКОЇ ОБЛАСТІ</t>
        </is>
      </c>
      <c r="D161" t="inlineStr">
        <is>
          <t>Волинська область</t>
        </is>
      </c>
      <c r="E161" s="13" t="n">
        <v>222345.8</v>
      </c>
      <c r="F161" s="13" t="n">
        <v>281784</v>
      </c>
      <c r="G161" t="inlineStr">
        <is>
          <t>Запит пропозицій</t>
        </is>
      </c>
      <c r="H161" t="inlineStr">
        <is>
          <t>Машини для обробки даних (апаратна частина)</t>
        </is>
      </c>
      <c r="I161" t="inlineStr">
        <is>
          <t>договір</t>
        </is>
      </c>
    </row>
    <row r="162">
      <c r="A162" s="4" t="inlineStr">
        <is>
          <t>UA-2025-11-11-014988-a</t>
        </is>
      </c>
      <c r="B162" t="inlineStr">
        <is>
          <t>2025-11-25</t>
        </is>
      </c>
      <c r="C162" t="inlineStr">
        <is>
          <t>ЛІЦЕЙ ІМЕНІ ОЛЕКСАНДРА ЦИНКАЛОВСЬКОГО ВОЛОДИМИРСЬКОЇ МІСЬКОЇ РАДИ</t>
        </is>
      </c>
      <c r="D162" t="inlineStr">
        <is>
          <t>Волинська область</t>
        </is>
      </c>
      <c r="E162" s="13" t="n">
        <v>220087.62</v>
      </c>
      <c r="F162" s="13" t="n">
        <v>300000</v>
      </c>
      <c r="G162" t="inlineStr">
        <is>
          <t>Запит пропозицій</t>
        </is>
      </c>
      <c r="H162" t="inlineStr">
        <is>
          <t>Комп’ютерне обладнання</t>
        </is>
      </c>
      <c r="I162" t="inlineStr">
        <is>
          <t>договір</t>
        </is>
      </c>
    </row>
    <row r="163">
      <c r="A163" s="4" t="inlineStr">
        <is>
          <t>UA-2025-10-24-011502-a</t>
        </is>
      </c>
      <c r="B163" t="inlineStr">
        <is>
          <t>2025-11-05</t>
        </is>
      </c>
      <c r="C163" t="inlineStr">
        <is>
          <t>НОВОВОЛИНСЬКИЙ ЛІЦЕЙ №6 НОВОВОЛИНСЬКОЇ МІСЬКОЇ РАДИ ВОЛИНСЬКОЇ ОБЛАСТІ</t>
        </is>
      </c>
      <c r="D163" t="inlineStr">
        <is>
          <t>Волинська область</t>
        </is>
      </c>
      <c r="E163" s="13" t="n">
        <v>89922.67999999999</v>
      </c>
      <c r="F163" s="13" t="n">
        <v>103750</v>
      </c>
      <c r="G163" t="inlineStr">
        <is>
          <t>Запит пропозицій</t>
        </is>
      </c>
      <c r="H163" t="inlineStr">
        <is>
          <t>Машини для обробки даних (апаратна частина)</t>
        </is>
      </c>
      <c r="I163" t="inlineStr">
        <is>
          <t>договір</t>
        </is>
      </c>
    </row>
    <row r="164">
      <c r="A164" s="4" t="inlineStr">
        <is>
          <t>UA-2026-02-09-011617-a</t>
        </is>
      </c>
      <c r="B164" t="inlineStr">
        <is>
          <t>2026-02-20</t>
        </is>
      </c>
      <c r="C164" t="inlineStr">
        <is>
          <t>ВІЙСЬКОВА ЧАСТИНА 1141 НАЦІОНАЛЬНОЇ ГВАРДІЇ УКРАЇНИ</t>
        </is>
      </c>
      <c r="D164" t="inlineStr">
        <is>
          <t>Волинська область</t>
        </is>
      </c>
      <c r="E164" s="13" t="n">
        <v>63204</v>
      </c>
      <c r="F164" s="13" t="n">
        <v>78300</v>
      </c>
      <c r="G164" t="inlineStr">
        <is>
          <t>Запит пропозицій</t>
        </is>
      </c>
      <c r="H164" t="inlineStr">
        <is>
          <t>Комп’ютерне обладнання</t>
        </is>
      </c>
      <c r="I164" t="inlineStr">
        <is>
          <t>договір</t>
        </is>
      </c>
    </row>
    <row r="165">
      <c r="A165" s="4" t="inlineStr">
        <is>
          <t>UA-2025-11-28-002008-a</t>
        </is>
      </c>
      <c r="B165" t="inlineStr">
        <is>
          <t>2025-12-08</t>
        </is>
      </c>
      <c r="C165" t="inlineStr">
        <is>
          <t>НОВОВОЛИНСЬКИЙ ЛІЦЕЙ №6 НОВОВОЛИНСЬКОЇ МІСЬКОЇ РАДИ ВОЛИНСЬКОЇ ОБЛАСТІ</t>
        </is>
      </c>
      <c r="D165" t="inlineStr">
        <is>
          <t>Волинська область</t>
        </is>
      </c>
      <c r="E165" s="13" t="n">
        <v>53744.4</v>
      </c>
      <c r="F165" s="13" t="n">
        <v>59438.2</v>
      </c>
      <c r="G165" t="inlineStr">
        <is>
          <t>Запит пропозицій</t>
        </is>
      </c>
      <c r="H165" t="inlineStr">
        <is>
          <t>Комп’ютерне обладнання</t>
        </is>
      </c>
      <c r="I165" t="inlineStr">
        <is>
          <t>договір</t>
        </is>
      </c>
    </row>
    <row r="166">
      <c r="A166" s="4" t="inlineStr">
        <is>
          <t>UA-2025-11-28-001729-a</t>
        </is>
      </c>
      <c r="B166" t="inlineStr">
        <is>
          <t>2025-12-08</t>
        </is>
      </c>
      <c r="C166" t="inlineStr">
        <is>
          <t>НОВОВОЛИНСЬКИЙ ЛІЦЕЙ №6 НОВОВОЛИНСЬКОЇ МІСЬКОЇ РАДИ ВОЛИНСЬКОЇ ОБЛАСТІ</t>
        </is>
      </c>
      <c r="D166" t="inlineStr">
        <is>
          <t>Волинська область</t>
        </is>
      </c>
      <c r="E166" s="13" t="n">
        <v>13827.32</v>
      </c>
      <c r="F166" s="13" t="n">
        <v>13827.32</v>
      </c>
      <c r="G166" t="inlineStr">
        <is>
          <t>Запит пропозицій</t>
        </is>
      </c>
      <c r="H166" t="inlineStr">
        <is>
          <t>Комп’ютерне обладнання</t>
        </is>
      </c>
      <c r="I166" t="inlineStr">
        <is>
          <t>договір</t>
        </is>
      </c>
    </row>
    <row r="168">
      <c r="A168" s="2" t="inlineStr">
        <is>
          <t>Наші зустрічі</t>
        </is>
      </c>
    </row>
    <row r="169">
      <c r="A169" s="11" t="inlineStr">
        <is>
          <t>Закупівля</t>
        </is>
      </c>
      <c r="B169" s="11" t="inlineStr">
        <is>
          <t>Дата</t>
        </is>
      </c>
      <c r="C169" s="11" t="inlineStr">
        <is>
          <t>Замовник</t>
        </is>
      </c>
      <c r="D169" s="11" t="inlineStr">
        <is>
          <t>Предмет</t>
        </is>
      </c>
      <c r="E169" s="11" t="inlineStr">
        <is>
          <t>Сума переможця, грн</t>
        </is>
      </c>
      <c r="F169" s="11" t="inlineStr">
        <is>
          <t>Наша пропозиція, грн</t>
        </is>
      </c>
      <c r="G169" s="11" t="inlineStr">
        <is>
          <t>Розрив</t>
        </is>
      </c>
      <c r="H169" s="11" t="inlineStr">
        <is>
          <t>Що сталося</t>
        </is>
      </c>
    </row>
    <row r="170">
      <c r="A170" s="4" t="inlineStr">
        <is>
          <t>UA-2025-10-28-010787-a</t>
        </is>
      </c>
      <c r="B170" t="inlineStr">
        <is>
          <t>2025-10-28</t>
        </is>
      </c>
      <c r="C170" t="inlineStr">
        <is>
          <t>Головне Управління Державної служби України з надзвичайних ситуацій у Волинській області</t>
        </is>
      </c>
      <c r="D170" t="inlineStr">
        <is>
          <t>Багатофункціональні пристрої</t>
        </is>
      </c>
      <c r="E170" s="13" t="n">
        <v>309448</v>
      </c>
      <c r="F170" s="5" t="n">
        <v>326160</v>
      </c>
      <c r="G170" s="12" t="n">
        <v>0.054</v>
      </c>
      <c r="H170" t="inlineStr">
        <is>
          <t>програли за ціною</t>
        </is>
      </c>
    </row>
    <row r="171">
      <c r="A171" s="4" t="inlineStr">
        <is>
          <t>UA-2025-10-24-011106-a</t>
        </is>
      </c>
      <c r="B171" t="inlineStr">
        <is>
          <t>2025-10-24</t>
        </is>
      </c>
      <c r="C171" t="inlineStr">
        <is>
          <t>НОВОВОЛИНСЬКИЙ ЛІЦЕЙ №6 НОВОВОЛИНСЬКОЇ МІСЬКОЇ РАДИ ВОЛИНСЬКОЇ ОБЛАСТІ</t>
        </is>
      </c>
      <c r="D171" t="inlineStr">
        <is>
          <t>Машини для обробки даних (апаратна частина)</t>
        </is>
      </c>
      <c r="E171" s="13" t="n">
        <v>222345.8</v>
      </c>
      <c r="F171" s="5" t="n"/>
      <c r="G171" s="12" t="n"/>
      <c r="H171" t="inlineStr">
        <is>
          <t>ми не подавалися</t>
        </is>
      </c>
    </row>
    <row r="172">
      <c r="A172" s="4" t="inlineStr">
        <is>
          <t>UA-2025-11-11-014988-a</t>
        </is>
      </c>
      <c r="B172" t="inlineStr">
        <is>
          <t>2025-11-11</t>
        </is>
      </c>
      <c r="C172" t="inlineStr">
        <is>
          <t>ЛІЦЕЙ ІМЕНІ ОЛЕКСАНДРА ЦИНКАЛОВСЬКОГО ВОЛОДИМИРСЬКОЇ МІСЬКОЇ РАДИ</t>
        </is>
      </c>
      <c r="D172" t="inlineStr">
        <is>
          <t>3D-принтер</t>
        </is>
      </c>
      <c r="E172" s="13" t="n">
        <v>220087.62</v>
      </c>
      <c r="F172" s="5" t="n"/>
      <c r="G172" s="12" t="n"/>
      <c r="H172" t="inlineStr">
        <is>
          <t>ми не подавалися</t>
        </is>
      </c>
    </row>
    <row r="173">
      <c r="A173" s="4" t="inlineStr">
        <is>
          <t>UA-2025-10-24-011502-a</t>
        </is>
      </c>
      <c r="B173" t="inlineStr">
        <is>
          <t>2025-10-24</t>
        </is>
      </c>
      <c r="C173" t="inlineStr">
        <is>
          <t>НОВОВОЛИНСЬКИЙ ЛІЦЕЙ №6 НОВОВОЛИНСЬКОЇ МІСЬКОЇ РАДИ ВОЛИНСЬКОЇ ОБЛАСТІ</t>
        </is>
      </c>
      <c r="D173" t="inlineStr">
        <is>
          <t>Машини для обробки даних (апаратна частина)</t>
        </is>
      </c>
      <c r="E173" s="13" t="n">
        <v>89922.67999999999</v>
      </c>
      <c r="F173" s="5" t="n"/>
      <c r="G173" s="12" t="n"/>
      <c r="H173" t="inlineStr">
        <is>
          <t>ми не подавалися</t>
        </is>
      </c>
    </row>
    <row r="174">
      <c r="A174" s="4" t="inlineStr">
        <is>
          <t>UA-2026-02-09-011617-a</t>
        </is>
      </c>
      <c r="B174" t="inlineStr">
        <is>
          <t>2026-02-09</t>
        </is>
      </c>
      <c r="C174" t="inlineStr">
        <is>
          <t>ВІЙСЬКОВА ЧАСТИНА 1141 НАЦІОНАЛЬНОЇ ГВАРДІЇ УКРАЇНИ</t>
        </is>
      </c>
      <c r="D174" t="inlineStr">
        <is>
          <t>Багатофункціональні пристрої</t>
        </is>
      </c>
      <c r="E174" s="13" t="n">
        <v>63204</v>
      </c>
      <c r="F174" s="5" t="n"/>
      <c r="G174" s="12" t="n"/>
      <c r="H174" t="inlineStr">
        <is>
          <t>ми не подавалися</t>
        </is>
      </c>
    </row>
    <row r="175">
      <c r="A175" s="4" t="inlineStr">
        <is>
          <t>UA-2025-11-28-002008-a</t>
        </is>
      </c>
      <c r="B175" t="inlineStr">
        <is>
          <t>2025-11-28</t>
        </is>
      </c>
      <c r="C175" t="inlineStr">
        <is>
          <t>НОВОВОЛИНСЬКИЙ ЛІЦЕЙ №6 НОВОВОЛИНСЬКОЇ МІСЬКОЇ РАДИ ВОЛИНСЬКОЇ ОБЛАСТІ</t>
        </is>
      </c>
      <c r="D175" t="inlineStr">
        <is>
          <t>Комп’ютерне обладнання</t>
        </is>
      </c>
      <c r="E175" s="13" t="n">
        <v>53744.4</v>
      </c>
      <c r="F175" s="5" t="n"/>
      <c r="G175" s="12" t="n"/>
      <c r="H175" t="inlineStr">
        <is>
          <t>ми не подавалися</t>
        </is>
      </c>
    </row>
    <row r="176">
      <c r="A176" s="4" t="inlineStr">
        <is>
          <t>UA-2025-11-28-001729-a</t>
        </is>
      </c>
      <c r="B176" t="inlineStr">
        <is>
          <t>2025-11-28</t>
        </is>
      </c>
      <c r="C176" t="inlineStr">
        <is>
          <t>НОВОВОЛИНСЬКИЙ ЛІЦЕЙ №6 НОВОВОЛИНСЬКОЇ МІСЬКОЇ РАДИ ВОЛИНСЬКОЇ ОБЛАСТІ</t>
        </is>
      </c>
      <c r="D176" t="inlineStr">
        <is>
          <t>Комп’ютерне обладнання</t>
        </is>
      </c>
      <c r="E176" s="13" t="n">
        <v>13827.32</v>
      </c>
      <c r="F176" s="5" t="n"/>
      <c r="G176" s="12" t="n"/>
      <c r="H176" t="inlineStr">
        <is>
          <t>ми не подавалися</t>
        </is>
      </c>
    </row>
    <row r="178">
      <c r="A178" s="8" t="inlineStr">
        <is>
          <t>Сильні сторони</t>
        </is>
      </c>
    </row>
    <row r="179">
      <c r="A179" t="inlineStr">
        <is>
          <t>+  цінова конкурентність: дисконт 13,3% проти 8,3% по ринку</t>
        </is>
      </c>
    </row>
    <row r="180">
      <c r="A180" t="inlineStr">
        <is>
          <t>+  стабільна база замовників (42,9% повторних)</t>
        </is>
      </c>
    </row>
    <row r="181">
      <c r="A181" t="inlineStr">
        <is>
          <t>+  уміє вигравати у відкритих торгах</t>
        </is>
      </c>
    </row>
    <row r="182">
      <c r="A182" t="inlineStr">
        <is>
          <t>+  працює з великими контрактами</t>
        </is>
      </c>
    </row>
    <row r="184">
      <c r="A184" s="8" t="inlineStr">
        <is>
          <t>Слабкі сторони</t>
        </is>
      </c>
    </row>
    <row r="185">
      <c r="A185" t="inlineStr">
        <is>
          <t>−  низька результативність на торгах (21,9%)</t>
        </is>
      </c>
    </row>
    <row r="186">
      <c r="A186" t="inlineStr">
        <is>
          <t>−  спад (-44% у другій половині періоду)</t>
        </is>
      </c>
    </row>
  </sheetData>
  <hyperlinks>
    <hyperlink xmlns:r="http://schemas.openxmlformats.org/officeDocument/2006/relationships" ref="A152" r:id="rId1"/>
    <hyperlink xmlns:r="http://schemas.openxmlformats.org/officeDocument/2006/relationships" ref="A153" r:id="rId2"/>
    <hyperlink xmlns:r="http://schemas.openxmlformats.org/officeDocument/2006/relationships" ref="A154" r:id="rId3"/>
    <hyperlink xmlns:r="http://schemas.openxmlformats.org/officeDocument/2006/relationships" ref="A155" r:id="rId4"/>
    <hyperlink xmlns:r="http://schemas.openxmlformats.org/officeDocument/2006/relationships" ref="A156" r:id="rId5"/>
    <hyperlink xmlns:r="http://schemas.openxmlformats.org/officeDocument/2006/relationships" ref="A160" r:id="rId6"/>
    <hyperlink xmlns:r="http://schemas.openxmlformats.org/officeDocument/2006/relationships" ref="A161" r:id="rId7"/>
    <hyperlink xmlns:r="http://schemas.openxmlformats.org/officeDocument/2006/relationships" ref="A162" r:id="rId8"/>
    <hyperlink xmlns:r="http://schemas.openxmlformats.org/officeDocument/2006/relationships" ref="A163" r:id="rId9"/>
    <hyperlink xmlns:r="http://schemas.openxmlformats.org/officeDocument/2006/relationships" ref="A164" r:id="rId10"/>
    <hyperlink xmlns:r="http://schemas.openxmlformats.org/officeDocument/2006/relationships" ref="A165" r:id="rId11"/>
    <hyperlink xmlns:r="http://schemas.openxmlformats.org/officeDocument/2006/relationships" ref="A166" r:id="rId12"/>
    <hyperlink xmlns:r="http://schemas.openxmlformats.org/officeDocument/2006/relationships" ref="A170" r:id="rId13"/>
    <hyperlink xmlns:r="http://schemas.openxmlformats.org/officeDocument/2006/relationships" ref="A171" r:id="rId14"/>
    <hyperlink xmlns:r="http://schemas.openxmlformats.org/officeDocument/2006/relationships" ref="A172" r:id="rId15"/>
    <hyperlink xmlns:r="http://schemas.openxmlformats.org/officeDocument/2006/relationships" ref="A173" r:id="rId16"/>
    <hyperlink xmlns:r="http://schemas.openxmlformats.org/officeDocument/2006/relationships" ref="A174" r:id="rId17"/>
    <hyperlink xmlns:r="http://schemas.openxmlformats.org/officeDocument/2006/relationships" ref="A175" r:id="rId18"/>
    <hyperlink xmlns:r="http://schemas.openxmlformats.org/officeDocument/2006/relationships" ref="A176" r:id="rId19"/>
  </hyperlinks>
  <pageMargins left="0.75" right="0.75" top="1" bottom="1" header="0.5" footer="0.5"/>
  <drawing xmlns:r="http://schemas.openxmlformats.org/officeDocument/2006/relationships" r:id="rId20"/>
  <tableParts count="6">
    <tablePart xmlns:r="http://schemas.openxmlformats.org/officeDocument/2006/relationships" r:id="rId21"/>
    <tablePart xmlns:r="http://schemas.openxmlformats.org/officeDocument/2006/relationships" r:id="rId22"/>
    <tablePart xmlns:r="http://schemas.openxmlformats.org/officeDocument/2006/relationships" r:id="rId23"/>
    <tablePart xmlns:r="http://schemas.openxmlformats.org/officeDocument/2006/relationships" r:id="rId24"/>
    <tablePart xmlns:r="http://schemas.openxmlformats.org/officeDocument/2006/relationships" r:id="rId25"/>
    <tablePart xmlns:r="http://schemas.openxmlformats.org/officeDocument/2006/relationships" r:id="rId26"/>
  </tableParts>
</worksheet>
</file>

<file path=xl/worksheets/sheet48.xml><?xml version="1.0" encoding="utf-8"?>
<worksheet xmlns="http://schemas.openxmlformats.org/spreadsheetml/2006/main">
  <sheetPr>
    <outlinePr summaryBelow="1" summaryRight="1"/>
    <pageSetUpPr/>
  </sheetPr>
  <dimension ref="A1:I165"/>
  <sheetViews>
    <sheetView showGridLines="0" workbookViewId="0">
      <selection activeCell="A1" sqref="A1"/>
    </sheetView>
  </sheetViews>
  <sheetFormatPr baseColWidth="8" defaultRowHeight="15"/>
  <cols>
    <col width="37" customWidth="1" min="1" max="1"/>
    <col width="25" customWidth="1" min="2" max="2"/>
    <col width="60" customWidth="1" min="3" max="3"/>
    <col width="60" customWidth="1" min="4" max="4"/>
    <col width="29" customWidth="1" min="5" max="5"/>
    <col width="60" customWidth="1" min="6" max="6"/>
    <col width="18" customWidth="1" min="7" max="7"/>
    <col width="45" customWidth="1" min="8" max="8"/>
    <col width="10" customWidth="1" min="9" max="9"/>
  </cols>
  <sheetData>
    <row r="1">
      <c r="A1" s="1" t="inlineStr">
        <is>
          <t>ФОП ПРІСИЧ ДМИТРО МИКОЛАЙОВИЧ</t>
        </is>
      </c>
    </row>
    <row r="2">
      <c r="A2" s="6" t="inlineStr">
        <is>
          <t>ЄДРПОУ 3248805838  ·  конкурент  ·  місце №87</t>
        </is>
      </c>
    </row>
    <row r="4">
      <c r="A4" s="7" t="inlineStr">
        <is>
          <t>ФОП ПРІСИЧ ДМИТРО МИКОЛАЙОВИЧ (3248805838)</t>
        </is>
      </c>
    </row>
    <row r="6">
      <c r="A6" s="8" t="inlineStr">
        <is>
          <t>Показники</t>
        </is>
      </c>
    </row>
    <row r="7">
      <c r="A7" s="9" t="inlineStr">
        <is>
          <t>Місце на ринку</t>
        </is>
      </c>
      <c r="B7" s="10" t="inlineStr">
        <is>
          <t>№87</t>
        </is>
      </c>
    </row>
    <row r="8">
      <c r="A8" s="9" t="inlineStr">
        <is>
          <t>Сума угод</t>
        </is>
      </c>
      <c r="B8" s="10" t="inlineStr">
        <is>
          <t>305,5 тис. грн</t>
        </is>
      </c>
    </row>
    <row r="9">
      <c r="A9" s="9" t="inlineStr">
        <is>
          <t>Частка ринку</t>
        </is>
      </c>
      <c r="B9" s="10" t="inlineStr">
        <is>
          <t>0,3%</t>
        </is>
      </c>
    </row>
    <row r="10">
      <c r="A10" s="9" t="inlineStr">
        <is>
          <t>Угод</t>
        </is>
      </c>
      <c r="B10" s="10" t="inlineStr">
        <is>
          <t>2</t>
        </is>
      </c>
    </row>
    <row r="11">
      <c r="A11" s="9" t="inlineStr">
        <is>
          <t>Закупівель виграно</t>
        </is>
      </c>
      <c r="B11" s="10" t="inlineStr">
        <is>
          <t>2</t>
        </is>
      </c>
    </row>
    <row r="12">
      <c r="A12" s="9" t="inlineStr">
        <is>
          <t>Подань (де видно)</t>
        </is>
      </c>
      <c r="B12" s="10" t="inlineStr">
        <is>
          <t>29</t>
        </is>
      </c>
    </row>
    <row r="13">
      <c r="A13" s="9" t="inlineStr">
        <is>
          <t>Виграно з поданих</t>
        </is>
      </c>
      <c r="B13" s="10" t="inlineStr">
        <is>
          <t>2 з 29</t>
        </is>
      </c>
    </row>
    <row r="14">
      <c r="A14" s="9" t="inlineStr">
        <is>
          <t>Результативність</t>
        </is>
      </c>
      <c r="B14" s="10" t="inlineStr">
        <is>
          <t>6,9%</t>
        </is>
      </c>
    </row>
    <row r="15">
      <c r="A15" s="9" t="inlineStr">
        <is>
          <t>Середня угода</t>
        </is>
      </c>
      <c r="B15" s="10" t="inlineStr">
        <is>
          <t>152,8 тис. грн</t>
        </is>
      </c>
    </row>
    <row r="16">
      <c r="A16" s="9" t="inlineStr">
        <is>
          <t>Медіанна угода</t>
        </is>
      </c>
      <c r="B16" s="10" t="inlineStr">
        <is>
          <t>152,8 тис. грн</t>
        </is>
      </c>
    </row>
    <row r="17">
      <c r="A17" s="9" t="inlineStr">
        <is>
          <t>Замовників</t>
        </is>
      </c>
      <c r="B17" s="10" t="inlineStr">
        <is>
          <t>2</t>
        </is>
      </c>
    </row>
    <row r="18">
      <c r="A18" s="9" t="inlineStr">
        <is>
          <t>Областей</t>
        </is>
      </c>
      <c r="B18" s="10" t="inlineStr">
        <is>
          <t>1</t>
        </is>
      </c>
    </row>
    <row r="19">
      <c r="A19" s="9" t="inlineStr">
        <is>
          <t>Основна ТМ</t>
        </is>
      </c>
      <c r="B19" s="10" t="inlineStr">
        <is>
          <t>Intel</t>
        </is>
      </c>
    </row>
    <row r="20">
      <c r="A20" s="9" t="inlineStr">
        <is>
          <t>Основний товар</t>
        </is>
      </c>
      <c r="B20" s="10" t="inlineStr">
        <is>
          <t>Персональний комп'ютер</t>
        </is>
      </c>
    </row>
    <row r="21">
      <c r="A21" s="9" t="inlineStr">
        <is>
          <t>Дисконт (медіана)</t>
        </is>
      </c>
      <c r="B21" s="10" t="inlineStr">
        <is>
          <t>6,3%</t>
        </is>
      </c>
    </row>
    <row r="22">
      <c r="A22" s="9" t="inlineStr">
        <is>
          <t>Повторні замовники</t>
        </is>
      </c>
      <c r="B22" s="10" t="inlineStr">
        <is>
          <t>0,0%</t>
        </is>
      </c>
    </row>
    <row r="23">
      <c r="A23" s="9" t="inlineStr">
        <is>
          <t>Активність</t>
        </is>
      </c>
      <c r="B23" s="10" t="inlineStr">
        <is>
          <t>2025-09-22 — 2025-11-10</t>
        </is>
      </c>
    </row>
    <row r="24">
      <c r="A24" s="9" t="inlineStr">
        <is>
          <t>Зірвано перемог</t>
        </is>
      </c>
      <c r="B24" s="10" t="inlineStr">
        <is>
          <t>11 на 1,3 млн грн</t>
        </is>
      </c>
    </row>
    <row r="25">
      <c r="A25" s="9" t="inlineStr">
        <is>
          <t>Причина зривів</t>
        </is>
      </c>
      <c r="B25" s="10" t="inlineStr">
        <is>
          <t>Відмова від договору</t>
        </is>
      </c>
    </row>
    <row r="27">
      <c r="A27" s="8" t="inlineStr">
        <is>
          <t>Висновки</t>
        </is>
      </c>
    </row>
    <row r="28">
      <c r="A28" t="inlineStr">
        <is>
          <t>•  87-е місце на ринку: 305,5 тис. грн (0,3% обороту)</t>
        </is>
      </c>
    </row>
    <row r="29">
      <c r="A29" t="inlineStr">
        <is>
          <t>•  Основний товар: персональний комп'ютер</t>
        </is>
      </c>
    </row>
    <row r="30">
      <c r="A30" t="inlineStr">
        <is>
          <t>•  Монобрендовий гравець: ТМ Intel у 66,7% позицій</t>
        </is>
      </c>
    </row>
    <row r="31">
      <c r="A31" t="inlineStr">
        <is>
          <t>•  Тримає ціну: дисконт 6,3% проти 8,3% по ринку</t>
        </is>
      </c>
    </row>
    <row r="32">
      <c r="A32" t="inlineStr">
        <is>
          <t>•  Результативність на торгах: 6,9% (2 з 29)</t>
        </is>
      </c>
    </row>
    <row r="33">
      <c r="A33" t="inlineStr">
        <is>
          <t>•  Зривається 84,6% виграшів: 11 з 13 на 1,3 млн грн, найчастіше — відмова від договору</t>
        </is>
      </c>
    </row>
    <row r="35">
      <c r="A35" s="8" t="inlineStr">
        <is>
          <t>Графіки</t>
        </is>
      </c>
    </row>
    <row r="37">
      <c r="A37" s="2" t="inlineStr">
        <is>
          <t>Динаміка по місяцях</t>
        </is>
      </c>
    </row>
    <row r="38">
      <c r="A38" s="3" t="inlineStr">
        <is>
          <t>Період</t>
        </is>
      </c>
      <c r="B38" s="3" t="inlineStr">
        <is>
          <t>Сума угод, грн</t>
        </is>
      </c>
    </row>
    <row r="39">
      <c r="A39" t="inlineStr">
        <is>
          <t>2025-09</t>
        </is>
      </c>
      <c r="B39" s="5" t="n">
        <v>41697</v>
      </c>
    </row>
    <row r="40">
      <c r="A40" t="inlineStr">
        <is>
          <t>2025-11</t>
        </is>
      </c>
      <c r="B40" s="5" t="n">
        <v>263824</v>
      </c>
    </row>
    <row r="57">
      <c r="A57" s="2" t="inlineStr">
        <is>
          <t>Торгові марки у позиціях</t>
        </is>
      </c>
    </row>
    <row r="58">
      <c r="A58" s="3" t="inlineStr">
        <is>
          <t>Категорія</t>
        </is>
      </c>
      <c r="B58" s="3" t="inlineStr">
        <is>
          <t>Позицій, шт</t>
        </is>
      </c>
    </row>
    <row r="59">
      <c r="A59" t="inlineStr">
        <is>
          <t>Intel</t>
        </is>
      </c>
      <c r="B59" s="5" t="n">
        <v>4</v>
      </c>
    </row>
    <row r="60">
      <c r="A60" t="inlineStr">
        <is>
          <t>AMD</t>
        </is>
      </c>
      <c r="B60" s="5" t="n">
        <v>1</v>
      </c>
    </row>
    <row r="61">
      <c r="A61" t="inlineStr">
        <is>
          <t>Microsoft</t>
        </is>
      </c>
      <c r="B61" s="5" t="n">
        <v>1</v>
      </c>
    </row>
    <row r="77">
      <c r="A77" s="2" t="inlineStr">
        <is>
          <t>Що саме продає</t>
        </is>
      </c>
    </row>
    <row r="78">
      <c r="A78" s="3" t="inlineStr">
        <is>
          <t>Категорія</t>
        </is>
      </c>
      <c r="B78" s="3" t="inlineStr">
        <is>
          <t>Позицій, шт</t>
        </is>
      </c>
    </row>
    <row r="79">
      <c r="A79" t="inlineStr">
        <is>
          <t>Персональний комп'ютер</t>
        </is>
      </c>
      <c r="B79" s="5" t="n">
        <v>17</v>
      </c>
    </row>
    <row r="80">
      <c r="A80" t="inlineStr">
        <is>
          <t>Ноутбук</t>
        </is>
      </c>
      <c r="B80" s="5" t="n">
        <v>9</v>
      </c>
    </row>
    <row r="81">
      <c r="A81" t="inlineStr">
        <is>
          <t>Монітор</t>
        </is>
      </c>
      <c r="B81" s="5" t="n">
        <v>2</v>
      </c>
    </row>
    <row r="82">
      <c r="A82" t="inlineStr">
        <is>
          <t>Планшет</t>
        </is>
      </c>
      <c r="B82" s="5" t="n">
        <v>1</v>
      </c>
    </row>
    <row r="83">
      <c r="A83" t="inlineStr">
        <is>
          <t>3D-принтер і витратні матеріали</t>
        </is>
      </c>
      <c r="B83" s="5" t="n">
        <v>1</v>
      </c>
    </row>
    <row r="84">
      <c r="A84" t="inlineStr">
        <is>
          <t>Багатофункціональний пристрій (БФП)</t>
        </is>
      </c>
      <c r="B84" s="5" t="n">
        <v>1</v>
      </c>
    </row>
    <row r="85">
      <c r="A85" t="inlineStr">
        <is>
          <t>Накопичувач SSD</t>
        </is>
      </c>
      <c r="B85" s="5" t="n">
        <v>1</v>
      </c>
    </row>
    <row r="93">
      <c r="A93" s="2" t="inlineStr">
        <is>
          <t>Ключові замовники</t>
        </is>
      </c>
    </row>
    <row r="94">
      <c r="A94" s="3" t="inlineStr">
        <is>
          <t>Категорія</t>
        </is>
      </c>
      <c r="B94" s="3" t="inlineStr">
        <is>
          <t>Сума, грн</t>
        </is>
      </c>
    </row>
    <row r="95">
      <c r="A95" t="inlineStr">
        <is>
          <t>Маневицька селищна рада</t>
        </is>
      </c>
      <c r="B95" s="5" t="n">
        <v>263824</v>
      </c>
    </row>
    <row r="96">
      <c r="A96" t="inlineStr">
        <is>
          <t>ВОЛИНСЬКА ОБЛАСНА ПРОКУРАТУРА</t>
        </is>
      </c>
      <c r="B96" s="5" t="n">
        <v>41697</v>
      </c>
    </row>
    <row r="109">
      <c r="A109" s="8" t="inlineStr">
        <is>
          <t>Таблиці</t>
        </is>
      </c>
    </row>
    <row r="111">
      <c r="A111" s="2" t="inlineStr">
        <is>
          <t>ТМ</t>
        </is>
      </c>
    </row>
    <row r="112">
      <c r="A112" s="11" t="inlineStr">
        <is>
          <t>Торгова марка</t>
        </is>
      </c>
      <c r="B112" s="11" t="inlineStr">
        <is>
          <t>Позицій</t>
        </is>
      </c>
      <c r="C112" s="11" t="inlineStr">
        <is>
          <t>Частка</t>
        </is>
      </c>
      <c r="D112" s="11" t="inlineStr">
        <is>
          <t>Власна ТМ за довідником</t>
        </is>
      </c>
    </row>
    <row r="113">
      <c r="A113" t="inlineStr">
        <is>
          <t>Intel</t>
        </is>
      </c>
      <c r="B113" s="5" t="n">
        <v>4</v>
      </c>
      <c r="C113" s="12" t="n">
        <v>0.6667</v>
      </c>
      <c r="D113" t="inlineStr"/>
    </row>
    <row r="114">
      <c r="A114" t="inlineStr">
        <is>
          <t>AMD</t>
        </is>
      </c>
      <c r="B114" s="5" t="n">
        <v>1</v>
      </c>
      <c r="C114" s="12" t="n">
        <v>0.1667</v>
      </c>
      <c r="D114" t="inlineStr"/>
    </row>
    <row r="115">
      <c r="A115" t="inlineStr">
        <is>
          <t>Microsoft</t>
        </is>
      </c>
      <c r="B115" s="5" t="n">
        <v>1</v>
      </c>
      <c r="C115" s="12" t="n">
        <v>0.1667</v>
      </c>
      <c r="D115" t="inlineStr"/>
    </row>
    <row r="117">
      <c r="A117" s="2" t="inlineStr">
        <is>
          <t>Товари</t>
        </is>
      </c>
    </row>
    <row r="118">
      <c r="A118" s="11" t="inlineStr">
        <is>
          <t>Товар</t>
        </is>
      </c>
      <c r="B118" s="11" t="inlineStr">
        <is>
          <t>Позицій</t>
        </is>
      </c>
    </row>
    <row r="119">
      <c r="A119" t="inlineStr">
        <is>
          <t>Персональний комп'ютер</t>
        </is>
      </c>
      <c r="B119" s="5" t="n">
        <v>17</v>
      </c>
    </row>
    <row r="120">
      <c r="A120" t="inlineStr">
        <is>
          <t>Ноутбук</t>
        </is>
      </c>
      <c r="B120" s="5" t="n">
        <v>9</v>
      </c>
    </row>
    <row r="121">
      <c r="A121" t="inlineStr">
        <is>
          <t>Монітор</t>
        </is>
      </c>
      <c r="B121" s="5" t="n">
        <v>2</v>
      </c>
    </row>
    <row r="122">
      <c r="A122" t="inlineStr">
        <is>
          <t>Планшет</t>
        </is>
      </c>
      <c r="B122" s="5" t="n">
        <v>1</v>
      </c>
    </row>
    <row r="123">
      <c r="A123" t="inlineStr">
        <is>
          <t>3D-принтер і витратні матеріали</t>
        </is>
      </c>
      <c r="B123" s="5" t="n">
        <v>1</v>
      </c>
    </row>
    <row r="124">
      <c r="A124" t="inlineStr">
        <is>
          <t>Багатофункціональний пристрій (БФП)</t>
        </is>
      </c>
      <c r="B124" s="5" t="n">
        <v>1</v>
      </c>
    </row>
    <row r="125">
      <c r="A125" t="inlineStr">
        <is>
          <t>Накопичувач SSD</t>
        </is>
      </c>
      <c r="B125" s="5" t="n">
        <v>1</v>
      </c>
    </row>
    <row r="127">
      <c r="A127" s="2" t="inlineStr">
        <is>
          <t>Документи</t>
        </is>
      </c>
    </row>
    <row r="128">
      <c r="A128" s="11" t="inlineStr">
        <is>
          <t>Тип документа</t>
        </is>
      </c>
      <c r="B128" s="11" t="inlineStr">
        <is>
          <t>Файлів</t>
        </is>
      </c>
    </row>
    <row r="129">
      <c r="A129" t="inlineStr">
        <is>
          <t>Підпис КЕП</t>
        </is>
      </c>
      <c r="B129" s="5" t="n">
        <v>45</v>
      </c>
    </row>
    <row r="130">
      <c r="A130" t="inlineStr">
        <is>
          <t>не класифіковано</t>
        </is>
      </c>
      <c r="B130" s="5" t="n">
        <v>10</v>
      </c>
    </row>
    <row r="131">
      <c r="A131" t="inlineStr">
        <is>
          <t>Установчі та реєстраційні</t>
        </is>
      </c>
      <c r="B131" s="5" t="n">
        <v>6</v>
      </c>
    </row>
    <row r="132">
      <c r="A132" t="inlineStr">
        <is>
          <t>Договір</t>
        </is>
      </c>
      <c r="B132" s="5" t="n">
        <v>2</v>
      </c>
    </row>
    <row r="134">
      <c r="A134" s="2" t="inlineStr">
        <is>
          <t>Зірвані перемоги</t>
        </is>
      </c>
    </row>
    <row r="135">
      <c r="A135" s="11" t="inlineStr">
        <is>
          <t>Закупівля</t>
        </is>
      </c>
      <c r="B135" s="11" t="inlineStr">
        <is>
          <t>Дата</t>
        </is>
      </c>
      <c r="C135" s="11" t="inlineStr">
        <is>
          <t>Замовник</t>
        </is>
      </c>
      <c r="D135" s="11" t="inlineStr">
        <is>
          <t>Сума, грн</t>
        </is>
      </c>
      <c r="E135" s="11" t="inlineStr">
        <is>
          <t>Причина</t>
        </is>
      </c>
      <c r="F135" s="11" t="inlineStr">
        <is>
          <t>Формулювання замовника</t>
        </is>
      </c>
    </row>
    <row r="136">
      <c r="A136" s="4" t="inlineStr">
        <is>
          <t>UA-2025-11-18-010645-a</t>
        </is>
      </c>
      <c r="B136" t="inlineStr">
        <is>
          <t>2025-11-25</t>
        </is>
      </c>
      <c r="C136" t="inlineStr">
        <is>
          <t>Луцький національний технічний університет</t>
        </is>
      </c>
      <c r="D136" s="5" t="n">
        <v>402190</v>
      </c>
      <c r="E136" t="inlineStr">
        <is>
          <t>Відмова від договору</t>
        </is>
      </c>
      <c r="F136" t="inlineStr">
        <is>
          <t>Переможець письмово відмовився від укладання договору на умовах, визначених у запиті пропозицій постачальників</t>
        </is>
      </c>
    </row>
    <row r="137">
      <c r="A137" s="4" t="inlineStr">
        <is>
          <t>UA-2026-01-14-011038-a</t>
        </is>
      </c>
      <c r="B137" t="inlineStr">
        <is>
          <t>2026-01-21</t>
        </is>
      </c>
      <c r="C137" t="inlineStr">
        <is>
          <t>Вишнівська сільська рада</t>
        </is>
      </c>
      <c r="D137" s="5" t="n">
        <v>191552</v>
      </c>
      <c r="E137" t="inlineStr">
        <is>
          <t>Відмова від договору</t>
        </is>
      </c>
      <c r="F137" t="inlineStr">
        <is>
          <t>Переможець письмово відмовився від укладання договору на умовах, визначених у запиті пропозицій постачальників</t>
        </is>
      </c>
    </row>
    <row r="138">
      <c r="A138" s="4" t="inlineStr">
        <is>
          <t>UA-2025-09-30-005210-a</t>
        </is>
      </c>
      <c r="B138" t="inlineStr">
        <is>
          <t>2025-10-06</t>
        </is>
      </c>
      <c r="C138" t="inlineStr">
        <is>
          <t>ВОЛИНСЬКА ОБЛАСНА ПРОКУРАТУРА</t>
        </is>
      </c>
      <c r="D138" s="5" t="n">
        <v>161856</v>
      </c>
      <c r="E138" t="inlineStr">
        <is>
          <t>Відмова від договору</t>
        </is>
      </c>
      <c r="F138" t="inlineStr">
        <is>
          <t>письмово відмовився від укладання договору на умовах, визначених у запиті пропозицій постачальників</t>
        </is>
      </c>
    </row>
    <row r="139">
      <c r="A139" s="4" t="inlineStr">
        <is>
          <t>UA-2025-09-05-006416-a</t>
        </is>
      </c>
      <c r="B139" t="inlineStr">
        <is>
          <t>2025-09-10</t>
        </is>
      </c>
      <c r="C139" t="inlineStr">
        <is>
          <t>Заклад професійної (професійно-технічної) освіти "Регіональний професійний коледж м. Володимир"</t>
        </is>
      </c>
      <c r="D139" s="5" t="n">
        <v>148335</v>
      </c>
      <c r="E139" t="inlineStr">
        <is>
          <t>Відмова від договору</t>
        </is>
      </c>
      <c r="F139" t="inlineStr">
        <is>
          <t>письмово відмовився від укладання договору на умовах, визначених у запиті пропозицій постачальників</t>
        </is>
      </c>
    </row>
    <row r="140">
      <c r="A140" s="4" t="inlineStr">
        <is>
          <t>UA-2026-04-17-005811-a</t>
        </is>
      </c>
      <c r="B140" t="inlineStr">
        <is>
          <t>2026-04-23</t>
        </is>
      </c>
      <c r="C140" t="inlineStr">
        <is>
          <t>Любомльська міська рада</t>
        </is>
      </c>
      <c r="D140" s="5" t="n">
        <v>95992</v>
      </c>
      <c r="E140" t="inlineStr">
        <is>
          <t>Відмова від договору</t>
        </is>
      </c>
      <c r="F140" t="inlineStr">
        <is>
          <t>Письмово відмовився від укладення договору на умовах, визначених замовником у запиті пропозицій постачальників, шляхом заповнення електронних форм з окремими полями та у проекті договору, що є складовою частиною запиту пропозицій постачальників</t>
        </is>
      </c>
    </row>
    <row r="141">
      <c r="A141" s="4" t="inlineStr">
        <is>
          <t>UA-2025-09-23-001196-a</t>
        </is>
      </c>
      <c r="B141" t="inlineStr">
        <is>
          <t>2025-10-17</t>
        </is>
      </c>
      <c r="C141" t="inlineStr">
        <is>
          <t>Виконавчий комітет Луцької міської ради</t>
        </is>
      </c>
      <c r="D141" s="5" t="n">
        <v>95600</v>
      </c>
      <c r="E141" t="inlineStr">
        <is>
          <t>Не підписав договір у строк</t>
        </is>
      </c>
      <c r="F141" t="inlineStr">
        <is>
          <t>Переможець не підписав договір у строк, визначений абзацом першим пункту 66 цього Порядку</t>
        </is>
      </c>
    </row>
    <row r="142">
      <c r="A142" s="4" t="inlineStr">
        <is>
          <t>UA-2025-10-02-010895-a</t>
        </is>
      </c>
      <c r="B142" t="inlineStr">
        <is>
          <t>2025-10-10</t>
        </is>
      </c>
      <c r="C142" t="inlineStr">
        <is>
          <t>КП "Медичне об'єднання Луцької міської територіальної громади"</t>
        </is>
      </c>
      <c r="D142" s="5" t="n">
        <v>89900</v>
      </c>
      <c r="E142" t="inlineStr">
        <is>
          <t>Відмова від договору</t>
        </is>
      </c>
      <c r="F142" t="inlineStr">
        <is>
          <t>письмово відмовився від укладання договору на умовах, визначених у запиті пропозицій постачальників</t>
        </is>
      </c>
    </row>
    <row r="143">
      <c r="A143" s="4" t="inlineStr">
        <is>
          <t>UA-2025-09-16-014691-a</t>
        </is>
      </c>
      <c r="B143" t="inlineStr">
        <is>
          <t>2025-09-25</t>
        </is>
      </c>
      <c r="C143" t="inlineStr">
        <is>
          <t>НОВОВОЛИНСЬКИЙ ЛІЦЕЙ № 7 НОВОВОЛИНСЬКОЇ МІСЬКОЇ РАДИ ВОЛИНСЬКОЇ ОБЛАСТІ</t>
        </is>
      </c>
      <c r="D143" s="5" t="n">
        <v>56997</v>
      </c>
      <c r="E143" t="inlineStr">
        <is>
          <t>Відмова від договору</t>
        </is>
      </c>
      <c r="F143" t="inlineStr">
        <is>
          <t>Переможець письмово відмовився від укладання договору на умовах, визначених у запиті пропозицій постачальників</t>
        </is>
      </c>
    </row>
    <row r="144">
      <c r="A144" s="4" t="inlineStr">
        <is>
          <t>UA-2026-05-18-012093-a</t>
        </is>
      </c>
      <c r="B144" t="inlineStr">
        <is>
          <t>2026-05-25</t>
        </is>
      </c>
      <c r="C144" t="inlineStr">
        <is>
          <t>ВИРОБНИЧЕ УПРАВЛІННЯ КОМУНАЛЬНОГО ГОСПОДАРСТВА НОВОВОЛИНСКОЇ МІСЬКОЇ РАДИ</t>
        </is>
      </c>
      <c r="D144" s="5" t="n">
        <v>49960</v>
      </c>
      <c r="E144" t="inlineStr">
        <is>
          <t>Відмова від договору</t>
        </is>
      </c>
      <c r="F144" t="inlineStr">
        <is>
          <t>Переможець письмово відмовився від укладення договору на умовах, визначених замовником у запиті пропозицій постачальників, шляхом заповнення електронних форм з окремими полями та у проекті договору, що є складовою частиною запиту пропозицій постачальників</t>
        </is>
      </c>
    </row>
    <row r="145">
      <c r="A145" s="4" t="inlineStr">
        <is>
          <t>UA-2025-12-02-019796-a</t>
        </is>
      </c>
      <c r="B145" t="inlineStr">
        <is>
          <t>2025-12-08</t>
        </is>
      </c>
      <c r="C145" t="inlineStr">
        <is>
          <t>ВІДОКРЕМЛЕНИЙ СТРУКТУРНИЙ ПІДРОЗДІЛ "ВОЛИНСЬКИЙ ФАХОВИЙ КОЛЕДЖ НАЦІОНАЛЬНОГО УНІВЕРСИТЕТУ ХАРЧОВИХ ТЕХНОЛОГІЙ"</t>
        </is>
      </c>
      <c r="D145" s="5" t="n">
        <v>26477</v>
      </c>
      <c r="E145" t="inlineStr">
        <is>
          <t>Відмова від договору</t>
        </is>
      </c>
      <c r="F145" t="inlineStr">
        <is>
          <t>Переможець письмово відмовився від укладання договору на умовах, визначених у запиті пропозицій постачальників</t>
        </is>
      </c>
    </row>
    <row r="146">
      <c r="A146" s="4" t="inlineStr">
        <is>
          <t>UA-2025-10-27-015405-a</t>
        </is>
      </c>
      <c r="B146" t="inlineStr">
        <is>
          <t>2025-11-12</t>
        </is>
      </c>
      <c r="C146" t="inlineStr">
        <is>
          <t>Департамент житлово-комунального господарства Луцької міської ради</t>
        </is>
      </c>
      <c r="D146" s="5" t="n">
        <v>14199</v>
      </c>
      <c r="E146" t="inlineStr">
        <is>
          <t>Відмова від договору</t>
        </is>
      </c>
      <c r="F146" t="inlineStr">
        <is>
          <t>Переможець письмово відмовився від укладання договору на умовах, визначених у запиті пропозицій постачальників</t>
        </is>
      </c>
    </row>
    <row r="148">
      <c r="A148" s="2" t="inlineStr">
        <is>
          <t>Угоди</t>
        </is>
      </c>
    </row>
    <row r="149">
      <c r="A149" s="11" t="inlineStr">
        <is>
          <t>Закупівля</t>
        </is>
      </c>
      <c r="B149" s="11" t="inlineStr">
        <is>
          <t>Дата</t>
        </is>
      </c>
      <c r="C149" s="11" t="inlineStr">
        <is>
          <t>Замовник</t>
        </is>
      </c>
      <c r="D149" s="11" t="inlineStr">
        <is>
          <t>Регіон</t>
        </is>
      </c>
      <c r="E149" s="11" t="inlineStr">
        <is>
          <t>Сума, грн</t>
        </is>
      </c>
      <c r="F149" s="11" t="inlineStr">
        <is>
          <t>Очікувана, грн</t>
        </is>
      </c>
      <c r="G149" s="11" t="inlineStr">
        <is>
          <t>Процедура</t>
        </is>
      </c>
      <c r="H149" s="11" t="inlineStr">
        <is>
          <t>Галузь</t>
        </is>
      </c>
      <c r="I149" s="11" t="inlineStr">
        <is>
          <t>Джерело</t>
        </is>
      </c>
    </row>
    <row r="150">
      <c r="A150" s="4" t="inlineStr">
        <is>
          <t>UA-2025-10-29-001814-a</t>
        </is>
      </c>
      <c r="B150" t="inlineStr">
        <is>
          <t>2025-11-10</t>
        </is>
      </c>
      <c r="C150" t="inlineStr">
        <is>
          <t>Маневицька селищна рада</t>
        </is>
      </c>
      <c r="D150" t="inlineStr">
        <is>
          <t>Волинська область</t>
        </is>
      </c>
      <c r="E150" s="5" t="n">
        <v>263824</v>
      </c>
      <c r="F150" s="5" t="n">
        <v>290000</v>
      </c>
      <c r="G150" t="inlineStr">
        <is>
          <t>Запит пропозицій</t>
        </is>
      </c>
      <c r="H150" t="inlineStr">
        <is>
          <t>Машини для обробки даних (апаратна частина)</t>
        </is>
      </c>
      <c r="I150" t="inlineStr">
        <is>
          <t>договір</t>
        </is>
      </c>
    </row>
    <row r="151">
      <c r="A151" s="4" t="inlineStr">
        <is>
          <t>UA-2025-09-12-010734-a</t>
        </is>
      </c>
      <c r="B151" t="inlineStr">
        <is>
          <t>2025-09-22</t>
        </is>
      </c>
      <c r="C151" t="inlineStr">
        <is>
          <t>ВОЛИНСЬКА ОБЛАСНА ПРОКУРАТУРА</t>
        </is>
      </c>
      <c r="D151" t="inlineStr">
        <is>
          <t>Волинська область</t>
        </is>
      </c>
      <c r="E151" s="5" t="n">
        <v>41697</v>
      </c>
      <c r="F151" s="5" t="n">
        <v>43200</v>
      </c>
      <c r="G151" t="inlineStr">
        <is>
          <t>Запит пропозицій</t>
        </is>
      </c>
      <c r="H151" t="inlineStr">
        <is>
          <t>Машини для обробки даних (апаратна частина)</t>
        </is>
      </c>
      <c r="I151" t="inlineStr">
        <is>
          <t>договір</t>
        </is>
      </c>
    </row>
    <row r="153">
      <c r="A153" s="2" t="inlineStr">
        <is>
          <t>Наші зустрічі</t>
        </is>
      </c>
    </row>
    <row r="154">
      <c r="A154" s="11" t="inlineStr">
        <is>
          <t>Закупівля</t>
        </is>
      </c>
      <c r="B154" s="11" t="inlineStr">
        <is>
          <t>Дата</t>
        </is>
      </c>
      <c r="C154" s="11" t="inlineStr">
        <is>
          <t>Замовник</t>
        </is>
      </c>
      <c r="D154" s="11" t="inlineStr">
        <is>
          <t>Предмет</t>
        </is>
      </c>
      <c r="E154" s="11" t="inlineStr">
        <is>
          <t>Сума переможця, грн</t>
        </is>
      </c>
      <c r="F154" s="11" t="inlineStr">
        <is>
          <t>Наша пропозиція, грн</t>
        </is>
      </c>
      <c r="G154" s="11" t="inlineStr">
        <is>
          <t>Розрив</t>
        </is>
      </c>
      <c r="H154" s="11" t="inlineStr">
        <is>
          <t>Що сталося</t>
        </is>
      </c>
    </row>
    <row r="155">
      <c r="A155" s="4" t="inlineStr">
        <is>
          <t>UA-2025-10-29-001814-a</t>
        </is>
      </c>
      <c r="B155" t="inlineStr">
        <is>
          <t>2025-10-29</t>
        </is>
      </c>
      <c r="C155" t="inlineStr">
        <is>
          <t>Маневицька селищна рада</t>
        </is>
      </c>
      <c r="D155" t="inlineStr">
        <is>
          <t>Комп'ютер настільний Tower, Intel Core i5 12-покоління, Intel H610, 16 Гб, 480 Г</t>
        </is>
      </c>
      <c r="E155" s="5" t="n">
        <v>263824</v>
      </c>
      <c r="H155" t="inlineStr">
        <is>
          <t>ми не подавалися</t>
        </is>
      </c>
    </row>
    <row r="156">
      <c r="A156" s="4" t="inlineStr">
        <is>
          <t>UA-2025-09-12-010734-a</t>
        </is>
      </c>
      <c r="B156" t="inlineStr">
        <is>
          <t>2025-09-12</t>
        </is>
      </c>
      <c r="C156" t="inlineStr">
        <is>
          <t>ВОЛИНСЬКА ОБЛАСНА ПРОКУРАТУРА</t>
        </is>
      </c>
      <c r="D156" t="inlineStr">
        <is>
          <t>Персональні комп’ютери (системні блоки)</t>
        </is>
      </c>
      <c r="E156" s="5" t="n">
        <v>41697</v>
      </c>
      <c r="H156" t="inlineStr">
        <is>
          <t>ми не подавалися</t>
        </is>
      </c>
    </row>
    <row r="158">
      <c r="A158" s="8" t="inlineStr">
        <is>
          <t>Сильні сторони</t>
        </is>
      </c>
    </row>
    <row r="159">
      <c r="A159" t="inlineStr">
        <is>
          <t>+  фокус на ТМ Intel (66,7% позицій)</t>
        </is>
      </c>
    </row>
    <row r="160">
      <c r="A160" t="inlineStr">
        <is>
          <t>+  працює з великими контрактами</t>
        </is>
      </c>
    </row>
    <row r="162">
      <c r="A162" s="8" t="inlineStr">
        <is>
          <t>Слабкі сторони</t>
        </is>
      </c>
    </row>
    <row r="163">
      <c r="A163" t="inlineStr">
        <is>
          <t>−  сертифікатів у поданих файлах не знайдено</t>
        </is>
      </c>
    </row>
    <row r="164">
      <c r="A164" t="inlineStr">
        <is>
          <t>−  слабка цінова позиція: дисконт 6,3% проти 8,3% по ринку</t>
        </is>
      </c>
    </row>
    <row r="165">
      <c r="A165" t="inlineStr">
        <is>
          <t>−  низька результативність на торгах (6,9%)</t>
        </is>
      </c>
    </row>
  </sheetData>
  <hyperlinks>
    <hyperlink xmlns:r="http://schemas.openxmlformats.org/officeDocument/2006/relationships" ref="A136" r:id="rId1"/>
    <hyperlink xmlns:r="http://schemas.openxmlformats.org/officeDocument/2006/relationships" ref="A137" r:id="rId2"/>
    <hyperlink xmlns:r="http://schemas.openxmlformats.org/officeDocument/2006/relationships" ref="A138" r:id="rId3"/>
    <hyperlink xmlns:r="http://schemas.openxmlformats.org/officeDocument/2006/relationships" ref="A139" r:id="rId4"/>
    <hyperlink xmlns:r="http://schemas.openxmlformats.org/officeDocument/2006/relationships" ref="A140" r:id="rId5"/>
    <hyperlink xmlns:r="http://schemas.openxmlformats.org/officeDocument/2006/relationships" ref="A141" r:id="rId6"/>
    <hyperlink xmlns:r="http://schemas.openxmlformats.org/officeDocument/2006/relationships" ref="A142" r:id="rId7"/>
    <hyperlink xmlns:r="http://schemas.openxmlformats.org/officeDocument/2006/relationships" ref="A143" r:id="rId8"/>
    <hyperlink xmlns:r="http://schemas.openxmlformats.org/officeDocument/2006/relationships" ref="A144" r:id="rId9"/>
    <hyperlink xmlns:r="http://schemas.openxmlformats.org/officeDocument/2006/relationships" ref="A145" r:id="rId10"/>
    <hyperlink xmlns:r="http://schemas.openxmlformats.org/officeDocument/2006/relationships" ref="A146" r:id="rId11"/>
    <hyperlink xmlns:r="http://schemas.openxmlformats.org/officeDocument/2006/relationships" ref="A150" r:id="rId12"/>
    <hyperlink xmlns:r="http://schemas.openxmlformats.org/officeDocument/2006/relationships" ref="A151" r:id="rId13"/>
    <hyperlink xmlns:r="http://schemas.openxmlformats.org/officeDocument/2006/relationships" ref="A155" r:id="rId14"/>
    <hyperlink xmlns:r="http://schemas.openxmlformats.org/officeDocument/2006/relationships" ref="A156" r:id="rId15"/>
  </hyperlinks>
  <pageMargins left="0.75" right="0.75" top="1" bottom="1" header="0.5" footer="0.5"/>
  <drawing xmlns:r="http://schemas.openxmlformats.org/officeDocument/2006/relationships" r:id="rId16"/>
  <tableParts count="6">
    <tablePart xmlns:r="http://schemas.openxmlformats.org/officeDocument/2006/relationships" r:id="rId17"/>
    <tablePart xmlns:r="http://schemas.openxmlformats.org/officeDocument/2006/relationships" r:id="rId18"/>
    <tablePart xmlns:r="http://schemas.openxmlformats.org/officeDocument/2006/relationships" r:id="rId19"/>
    <tablePart xmlns:r="http://schemas.openxmlformats.org/officeDocument/2006/relationships" r:id="rId20"/>
    <tablePart xmlns:r="http://schemas.openxmlformats.org/officeDocument/2006/relationships" r:id="rId21"/>
    <tablePart xmlns:r="http://schemas.openxmlformats.org/officeDocument/2006/relationships" r:id="rId22"/>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2026-09-02T21:20:06Z</dcterms:created>
  <dcterms:modified xsi:type="dcterms:W3CDTF">2026-09-02T21:20:06Z</dcterms:modified>
</cp:coreProperties>
</file>